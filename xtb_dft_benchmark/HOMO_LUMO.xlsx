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indianinstituteofscience-my.sharepoint.com/personal/arushityagi_iisc_ac_in/Documents/Desktop/PhD_2025/SMILES_project/P1_updated_work_in_this/SMILES_project/xTB_22may2026/Descriptors/"/>
    </mc:Choice>
  </mc:AlternateContent>
  <xr:revisionPtr revIDLastSave="2227" documentId="13_ncr:1_{C2F42A1A-F3AD-459C-B9F6-1A17F21557F3}" xr6:coauthVersionLast="47" xr6:coauthVersionMax="47" xr10:uidLastSave="{FD896DBD-9A66-4AA5-8F0A-047984D22CFE}"/>
  <bookViews>
    <workbookView xWindow="-98" yWindow="-98" windowWidth="19396" windowHeight="11596" xr2:uid="{00000000-000D-0000-FFFF-FFFF00000000}"/>
  </bookViews>
  <sheets>
    <sheet name="xTB vs DFT HOMO" sheetId="26" r:id="rId1"/>
    <sheet name="xTB vs DFT LUMO" sheetId="29" r:id="rId2"/>
    <sheet name="xTB-HOMO LUMO" sheetId="27" r:id="rId3"/>
    <sheet name="DFT-HOMO LUMO" sheetId="28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0" i="29" l="1"/>
  <c r="D139" i="29"/>
  <c r="D100" i="26"/>
  <c r="E100" i="26"/>
  <c r="F100" i="26"/>
  <c r="D97" i="26"/>
  <c r="D35" i="26"/>
  <c r="E35" i="26"/>
  <c r="D29" i="26"/>
  <c r="D13" i="26"/>
  <c r="D3" i="29"/>
  <c r="D4" i="29"/>
  <c r="D5" i="29"/>
  <c r="D6" i="29"/>
  <c r="D7" i="29"/>
  <c r="D8" i="29"/>
  <c r="D9" i="29"/>
  <c r="D10" i="29"/>
  <c r="D11" i="29"/>
  <c r="D12" i="29"/>
  <c r="D13" i="29"/>
  <c r="D14" i="29"/>
  <c r="D15" i="29"/>
  <c r="D16" i="29"/>
  <c r="D17" i="29"/>
  <c r="D18" i="29"/>
  <c r="D19" i="29"/>
  <c r="D20" i="29"/>
  <c r="D21" i="29"/>
  <c r="D22" i="29"/>
  <c r="D23" i="29"/>
  <c r="D24" i="29"/>
  <c r="D25" i="29"/>
  <c r="D26" i="29"/>
  <c r="D27" i="29"/>
  <c r="D28" i="29"/>
  <c r="D29" i="29"/>
  <c r="D30" i="29"/>
  <c r="D31" i="29"/>
  <c r="D32" i="29"/>
  <c r="D33" i="29"/>
  <c r="D34" i="29"/>
  <c r="D35" i="29"/>
  <c r="D36" i="29"/>
  <c r="D37" i="29"/>
  <c r="D38" i="29"/>
  <c r="D39" i="29"/>
  <c r="D40" i="29"/>
  <c r="D41" i="29"/>
  <c r="D42" i="29"/>
  <c r="D43" i="29"/>
  <c r="D44" i="29"/>
  <c r="D45" i="29"/>
  <c r="D46" i="29"/>
  <c r="D47" i="29"/>
  <c r="D48" i="29"/>
  <c r="D49" i="29"/>
  <c r="D50" i="29"/>
  <c r="D51" i="29"/>
  <c r="D52" i="29"/>
  <c r="D53" i="29"/>
  <c r="D54" i="29"/>
  <c r="D55" i="29"/>
  <c r="D56" i="29"/>
  <c r="D57" i="29"/>
  <c r="D58" i="29"/>
  <c r="D59" i="29"/>
  <c r="D60" i="29"/>
  <c r="D61" i="29"/>
  <c r="D62" i="29"/>
  <c r="D63" i="29"/>
  <c r="D64" i="29"/>
  <c r="D65" i="29"/>
  <c r="D66" i="29"/>
  <c r="D67" i="29"/>
  <c r="D68" i="29"/>
  <c r="D69" i="29"/>
  <c r="D70" i="29"/>
  <c r="D71" i="29"/>
  <c r="D72" i="29"/>
  <c r="D73" i="29"/>
  <c r="D74" i="29"/>
  <c r="D75" i="29"/>
  <c r="D76" i="29"/>
  <c r="D77" i="29"/>
  <c r="D78" i="29"/>
  <c r="D79" i="29"/>
  <c r="D80" i="29"/>
  <c r="D81" i="29"/>
  <c r="D82" i="29"/>
  <c r="D83" i="29"/>
  <c r="D84" i="29"/>
  <c r="D85" i="29"/>
  <c r="D86" i="29"/>
  <c r="D87" i="29"/>
  <c r="D88" i="29"/>
  <c r="D89" i="29"/>
  <c r="D90" i="29"/>
  <c r="D91" i="29"/>
  <c r="D92" i="29"/>
  <c r="D93" i="29"/>
  <c r="D94" i="29"/>
  <c r="D95" i="29"/>
  <c r="D96" i="29"/>
  <c r="D97" i="29"/>
  <c r="D98" i="29"/>
  <c r="D99" i="29"/>
  <c r="D100" i="29"/>
  <c r="D101" i="29"/>
  <c r="D102" i="29"/>
  <c r="D103" i="29"/>
  <c r="D104" i="29"/>
  <c r="D105" i="29"/>
  <c r="D106" i="29"/>
  <c r="D107" i="29"/>
  <c r="D108" i="29"/>
  <c r="D109" i="29"/>
  <c r="D110" i="29"/>
  <c r="D111" i="29"/>
  <c r="D112" i="29"/>
  <c r="D113" i="29"/>
  <c r="D114" i="29"/>
  <c r="D115" i="29"/>
  <c r="D116" i="29"/>
  <c r="D117" i="29"/>
  <c r="D118" i="29"/>
  <c r="D119" i="29"/>
  <c r="D120" i="29"/>
  <c r="D121" i="29"/>
  <c r="D122" i="29"/>
  <c r="D123" i="29"/>
  <c r="D124" i="29"/>
  <c r="D125" i="29"/>
  <c r="D126" i="29"/>
  <c r="D127" i="29"/>
  <c r="D128" i="29"/>
  <c r="D129" i="29"/>
  <c r="D130" i="29"/>
  <c r="D131" i="29"/>
  <c r="D132" i="29"/>
  <c r="D133" i="29"/>
  <c r="D134" i="29"/>
  <c r="D135" i="29"/>
  <c r="D136" i="29"/>
  <c r="D137" i="29"/>
  <c r="D2" i="29"/>
  <c r="D3" i="26"/>
  <c r="D4" i="26"/>
  <c r="D5" i="26"/>
  <c r="D6" i="26"/>
  <c r="D7" i="26"/>
  <c r="D8" i="26"/>
  <c r="D9" i="26"/>
  <c r="D10" i="26"/>
  <c r="D11" i="26"/>
  <c r="D12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30" i="26"/>
  <c r="D31" i="26"/>
  <c r="D32" i="26"/>
  <c r="D33" i="26"/>
  <c r="D34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8" i="26"/>
  <c r="D99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2" i="26"/>
  <c r="E104" i="29"/>
  <c r="E101" i="29"/>
  <c r="E91" i="29"/>
  <c r="E89" i="29"/>
  <c r="F89" i="29"/>
  <c r="E37" i="29"/>
  <c r="E17" i="29"/>
  <c r="E13" i="29"/>
  <c r="B140" i="29"/>
  <c r="B139" i="29"/>
  <c r="E137" i="29"/>
  <c r="E136" i="29"/>
  <c r="E135" i="29"/>
  <c r="E134" i="29"/>
  <c r="E133" i="29"/>
  <c r="E132" i="29"/>
  <c r="E131" i="29"/>
  <c r="E130" i="29"/>
  <c r="E129" i="29"/>
  <c r="E128" i="29"/>
  <c r="E127" i="29"/>
  <c r="E126" i="29"/>
  <c r="E125" i="29"/>
  <c r="E124" i="29"/>
  <c r="E123" i="29"/>
  <c r="E122" i="29"/>
  <c r="E121" i="29"/>
  <c r="E120" i="29"/>
  <c r="E119" i="29"/>
  <c r="E118" i="29"/>
  <c r="E117" i="29"/>
  <c r="E116" i="29"/>
  <c r="E115" i="29"/>
  <c r="E114" i="29"/>
  <c r="E113" i="29"/>
  <c r="E112" i="29"/>
  <c r="E111" i="29"/>
  <c r="E110" i="29"/>
  <c r="E109" i="29"/>
  <c r="E108" i="29"/>
  <c r="E107" i="29"/>
  <c r="E106" i="29"/>
  <c r="E105" i="29"/>
  <c r="E103" i="29"/>
  <c r="E102" i="29"/>
  <c r="E100" i="29"/>
  <c r="E99" i="29"/>
  <c r="E98" i="29"/>
  <c r="E97" i="29"/>
  <c r="E96" i="29"/>
  <c r="E95" i="29"/>
  <c r="E94" i="29"/>
  <c r="E93" i="29"/>
  <c r="E92" i="29"/>
  <c r="E90" i="29"/>
  <c r="E88" i="29"/>
  <c r="E87" i="29"/>
  <c r="E86" i="29"/>
  <c r="E85" i="29"/>
  <c r="E84" i="29"/>
  <c r="E83" i="29"/>
  <c r="E82" i="29"/>
  <c r="E81" i="29"/>
  <c r="E80" i="29"/>
  <c r="E79" i="29"/>
  <c r="E78" i="29"/>
  <c r="E77" i="29"/>
  <c r="E76" i="29"/>
  <c r="E75" i="29"/>
  <c r="E74" i="29"/>
  <c r="E73" i="29"/>
  <c r="E72" i="29"/>
  <c r="E71" i="29"/>
  <c r="E70" i="29"/>
  <c r="E69" i="29"/>
  <c r="E68" i="29"/>
  <c r="E67" i="29"/>
  <c r="E66" i="29"/>
  <c r="E65" i="29"/>
  <c r="E64" i="29"/>
  <c r="E63" i="29"/>
  <c r="E62" i="29"/>
  <c r="E61" i="29"/>
  <c r="E60" i="29"/>
  <c r="E59" i="29"/>
  <c r="E58" i="29"/>
  <c r="E57" i="29"/>
  <c r="E56" i="29"/>
  <c r="E55" i="29"/>
  <c r="E54" i="29"/>
  <c r="E53" i="29"/>
  <c r="E52" i="29"/>
  <c r="E51" i="29"/>
  <c r="E50" i="29"/>
  <c r="E49" i="29"/>
  <c r="E48" i="29"/>
  <c r="E47" i="29"/>
  <c r="E46" i="29"/>
  <c r="E45" i="29"/>
  <c r="E44" i="29"/>
  <c r="E43" i="29"/>
  <c r="E42" i="29"/>
  <c r="E41" i="29"/>
  <c r="E40" i="29"/>
  <c r="E39" i="29"/>
  <c r="E38" i="29"/>
  <c r="E36" i="29"/>
  <c r="E35" i="29"/>
  <c r="E34" i="29"/>
  <c r="E33" i="29"/>
  <c r="E32" i="29"/>
  <c r="E31" i="29"/>
  <c r="E30" i="29"/>
  <c r="E29" i="29"/>
  <c r="E28" i="29"/>
  <c r="E27" i="29"/>
  <c r="E26" i="29"/>
  <c r="E25" i="29"/>
  <c r="E24" i="29"/>
  <c r="E23" i="29"/>
  <c r="E22" i="29"/>
  <c r="E21" i="29"/>
  <c r="E20" i="29"/>
  <c r="E19" i="29"/>
  <c r="E18" i="29"/>
  <c r="E16" i="29"/>
  <c r="E15" i="29"/>
  <c r="E14" i="29"/>
  <c r="E12" i="29"/>
  <c r="E11" i="29"/>
  <c r="E10" i="29"/>
  <c r="E9" i="29"/>
  <c r="E8" i="29"/>
  <c r="E7" i="29"/>
  <c r="E6" i="29"/>
  <c r="E5" i="29"/>
  <c r="E4" i="29"/>
  <c r="E3" i="29"/>
  <c r="H2" i="29"/>
  <c r="E2" i="29"/>
  <c r="B136" i="26"/>
  <c r="B135" i="26"/>
  <c r="G100" i="26" l="1"/>
  <c r="E29" i="26"/>
  <c r="E97" i="26"/>
  <c r="F97" i="26" s="1"/>
  <c r="G97" i="26"/>
  <c r="F35" i="26"/>
  <c r="G35" i="26" s="1"/>
  <c r="F29" i="26"/>
  <c r="G29" i="26" s="1"/>
  <c r="E13" i="26"/>
  <c r="F13" i="26" s="1"/>
  <c r="G13" i="26" s="1"/>
  <c r="D136" i="26"/>
  <c r="D135" i="26"/>
  <c r="H2" i="26"/>
  <c r="E4" i="26"/>
  <c r="F4" i="26" s="1"/>
  <c r="G4" i="26" s="1"/>
  <c r="E6" i="26"/>
  <c r="F6" i="26" s="1"/>
  <c r="G6" i="26" s="1"/>
  <c r="E7" i="26"/>
  <c r="F7" i="26" s="1"/>
  <c r="G7" i="26" s="1"/>
  <c r="E9" i="26"/>
  <c r="F9" i="26" s="1"/>
  <c r="G9" i="26" s="1"/>
  <c r="E11" i="26"/>
  <c r="E14" i="26"/>
  <c r="E16" i="26"/>
  <c r="E17" i="26"/>
  <c r="E19" i="26"/>
  <c r="E21" i="26"/>
  <c r="E23" i="26"/>
  <c r="E26" i="26"/>
  <c r="E28" i="26"/>
  <c r="E30" i="26"/>
  <c r="E31" i="26"/>
  <c r="E33" i="26"/>
  <c r="E38" i="26"/>
  <c r="E40" i="26"/>
  <c r="E43" i="26"/>
  <c r="E45" i="26"/>
  <c r="E48" i="26"/>
  <c r="E52" i="26"/>
  <c r="E54" i="26"/>
  <c r="E57" i="26"/>
  <c r="E59" i="26"/>
  <c r="E61" i="26"/>
  <c r="E65" i="26"/>
  <c r="E69" i="26"/>
  <c r="E73" i="26"/>
  <c r="E77" i="26"/>
  <c r="E82" i="26"/>
  <c r="E85" i="26"/>
  <c r="E90" i="26"/>
  <c r="E93" i="26"/>
  <c r="E101" i="26"/>
  <c r="E104" i="26"/>
  <c r="E107" i="26"/>
  <c r="E112" i="26"/>
  <c r="E118" i="26"/>
  <c r="E121" i="26"/>
  <c r="E126" i="26"/>
  <c r="E131" i="26"/>
  <c r="E96" i="26"/>
  <c r="E129" i="26"/>
  <c r="E133" i="26"/>
  <c r="E36" i="26"/>
  <c r="E41" i="26"/>
  <c r="E44" i="26"/>
  <c r="E46" i="26"/>
  <c r="E49" i="26"/>
  <c r="E51" i="26"/>
  <c r="E53" i="26"/>
  <c r="E55" i="26"/>
  <c r="E60" i="26"/>
  <c r="E63" i="26"/>
  <c r="E66" i="26"/>
  <c r="E70" i="26"/>
  <c r="E72" i="26"/>
  <c r="E75" i="26"/>
  <c r="E78" i="26"/>
  <c r="E80" i="26"/>
  <c r="E83" i="26"/>
  <c r="E86" i="26"/>
  <c r="E88" i="26"/>
  <c r="E92" i="26"/>
  <c r="E94" i="26"/>
  <c r="E99" i="26"/>
  <c r="E102" i="26"/>
  <c r="E105" i="26"/>
  <c r="E108" i="26"/>
  <c r="E111" i="26"/>
  <c r="E114" i="26"/>
  <c r="E117" i="26"/>
  <c r="E119" i="26"/>
  <c r="E124" i="26"/>
  <c r="E127" i="26"/>
  <c r="E132" i="26"/>
  <c r="E3" i="26"/>
  <c r="F3" i="26" s="1"/>
  <c r="G3" i="26" s="1"/>
  <c r="E5" i="26"/>
  <c r="F5" i="26" s="1"/>
  <c r="G5" i="26" s="1"/>
  <c r="E8" i="26"/>
  <c r="F8" i="26" s="1"/>
  <c r="G8" i="26" s="1"/>
  <c r="E10" i="26"/>
  <c r="F10" i="26" s="1"/>
  <c r="G10" i="26" s="1"/>
  <c r="E12" i="26"/>
  <c r="E15" i="26"/>
  <c r="E18" i="26"/>
  <c r="E20" i="26"/>
  <c r="E22" i="26"/>
  <c r="E24" i="26"/>
  <c r="E25" i="26"/>
  <c r="E27" i="26"/>
  <c r="E32" i="26"/>
  <c r="E34" i="26"/>
  <c r="E37" i="26"/>
  <c r="E39" i="26"/>
  <c r="E42" i="26"/>
  <c r="E47" i="26"/>
  <c r="E50" i="26"/>
  <c r="E56" i="26"/>
  <c r="E58" i="26"/>
  <c r="E62" i="26"/>
  <c r="E64" i="26"/>
  <c r="E67" i="26"/>
  <c r="E68" i="26"/>
  <c r="E71" i="26"/>
  <c r="E74" i="26"/>
  <c r="E76" i="26"/>
  <c r="E79" i="26"/>
  <c r="E81" i="26"/>
  <c r="E84" i="26"/>
  <c r="E87" i="26"/>
  <c r="E89" i="26"/>
  <c r="E91" i="26"/>
  <c r="E95" i="26"/>
  <c r="E98" i="26"/>
  <c r="E103" i="26"/>
  <c r="E106" i="26"/>
  <c r="E109" i="26"/>
  <c r="E110" i="26"/>
  <c r="E113" i="26"/>
  <c r="E116" i="26"/>
  <c r="E120" i="26"/>
  <c r="E123" i="26"/>
  <c r="E130" i="26"/>
  <c r="E115" i="26"/>
  <c r="E122" i="26"/>
  <c r="E125" i="26"/>
  <c r="E128" i="26"/>
  <c r="E2" i="26"/>
  <c r="F101" i="29"/>
  <c r="F104" i="29"/>
  <c r="G104" i="29" s="1"/>
  <c r="F91" i="29"/>
  <c r="G91" i="29" s="1"/>
  <c r="G89" i="29"/>
  <c r="F37" i="29"/>
  <c r="G37" i="29" s="1"/>
  <c r="F17" i="29"/>
  <c r="G17" i="29" s="1"/>
  <c r="F13" i="29"/>
  <c r="G13" i="29" s="1"/>
  <c r="F112" i="29"/>
  <c r="F7" i="29"/>
  <c r="F107" i="29"/>
  <c r="F131" i="29"/>
  <c r="G131" i="29" s="1"/>
  <c r="F130" i="29"/>
  <c r="G130" i="29" s="1"/>
  <c r="F129" i="29"/>
  <c r="G129" i="29" s="1"/>
  <c r="F128" i="29"/>
  <c r="G128" i="29" s="1"/>
  <c r="F127" i="29"/>
  <c r="G127" i="29" s="1"/>
  <c r="F126" i="29"/>
  <c r="G126" i="29" s="1"/>
  <c r="F125" i="29"/>
  <c r="G125" i="29" s="1"/>
  <c r="F122" i="29"/>
  <c r="G122" i="29" s="1"/>
  <c r="F117" i="29"/>
  <c r="G117" i="29" s="1"/>
  <c r="F116" i="29"/>
  <c r="G116" i="29" s="1"/>
  <c r="F108" i="29"/>
  <c r="G108" i="29" s="1"/>
  <c r="F106" i="29"/>
  <c r="G106" i="29" s="1"/>
  <c r="F105" i="29"/>
  <c r="G105" i="29" s="1"/>
  <c r="F85" i="29"/>
  <c r="G85" i="29" s="1"/>
  <c r="F84" i="29"/>
  <c r="G84" i="29" s="1"/>
  <c r="F82" i="29"/>
  <c r="G82" i="29" s="1"/>
  <c r="F79" i="29"/>
  <c r="G79" i="29" s="1"/>
  <c r="F77" i="29"/>
  <c r="G77" i="29" s="1"/>
  <c r="F76" i="29"/>
  <c r="G76" i="29" s="1"/>
  <c r="F75" i="29"/>
  <c r="G75" i="29" s="1"/>
  <c r="F73" i="29"/>
  <c r="G73" i="29" s="1"/>
  <c r="F72" i="29"/>
  <c r="G72" i="29" s="1"/>
  <c r="F71" i="29"/>
  <c r="G71" i="29" s="1"/>
  <c r="F70" i="29"/>
  <c r="G70" i="29" s="1"/>
  <c r="F69" i="29"/>
  <c r="G69" i="29" s="1"/>
  <c r="F68" i="29"/>
  <c r="G68" i="29" s="1"/>
  <c r="F67" i="29"/>
  <c r="G67" i="29" s="1"/>
  <c r="F66" i="29"/>
  <c r="G66" i="29" s="1"/>
  <c r="F65" i="29"/>
  <c r="G65" i="29" s="1"/>
  <c r="F64" i="29"/>
  <c r="G64" i="29" s="1"/>
  <c r="F63" i="29"/>
  <c r="G63" i="29" s="1"/>
  <c r="F62" i="29"/>
  <c r="G62" i="29" s="1"/>
  <c r="F61" i="29"/>
  <c r="G61" i="29" s="1"/>
  <c r="F60" i="29"/>
  <c r="G60" i="29" s="1"/>
  <c r="F59" i="29"/>
  <c r="G59" i="29" s="1"/>
  <c r="F58" i="29"/>
  <c r="G58" i="29" s="1"/>
  <c r="F57" i="29"/>
  <c r="G57" i="29" s="1"/>
  <c r="F56" i="29"/>
  <c r="G56" i="29" s="1"/>
  <c r="F55" i="29"/>
  <c r="G55" i="29" s="1"/>
  <c r="F54" i="29"/>
  <c r="G54" i="29" s="1"/>
  <c r="F53" i="29"/>
  <c r="G53" i="29" s="1"/>
  <c r="F52" i="29"/>
  <c r="G52" i="29" s="1"/>
  <c r="F51" i="29"/>
  <c r="G51" i="29" s="1"/>
  <c r="F50" i="29"/>
  <c r="G50" i="29" s="1"/>
  <c r="F49" i="29"/>
  <c r="G49" i="29" s="1"/>
  <c r="F48" i="29"/>
  <c r="G48" i="29" s="1"/>
  <c r="F47" i="29"/>
  <c r="G47" i="29" s="1"/>
  <c r="F46" i="29"/>
  <c r="G46" i="29" s="1"/>
  <c r="F45" i="29"/>
  <c r="G45" i="29" s="1"/>
  <c r="F44" i="29"/>
  <c r="G44" i="29" s="1"/>
  <c r="F43" i="29"/>
  <c r="G43" i="29" s="1"/>
  <c r="F42" i="29"/>
  <c r="G42" i="29" s="1"/>
  <c r="F41" i="29"/>
  <c r="G41" i="29" s="1"/>
  <c r="F2" i="29"/>
  <c r="F134" i="29"/>
  <c r="G134" i="29" s="1"/>
  <c r="F132" i="29"/>
  <c r="G132" i="29" s="1"/>
  <c r="F123" i="29"/>
  <c r="G123" i="29" s="1"/>
  <c r="F118" i="29"/>
  <c r="G118" i="29" s="1"/>
  <c r="F96" i="29"/>
  <c r="G96" i="29" s="1"/>
  <c r="F94" i="29"/>
  <c r="G94" i="29" s="1"/>
  <c r="F93" i="29"/>
  <c r="G93" i="29" s="1"/>
  <c r="F92" i="29"/>
  <c r="G92" i="29" s="1"/>
  <c r="F90" i="29"/>
  <c r="G90" i="29" s="1"/>
  <c r="F74" i="29"/>
  <c r="G74" i="29" s="1"/>
  <c r="F40" i="29"/>
  <c r="G40" i="29" s="1"/>
  <c r="F39" i="29"/>
  <c r="G39" i="29" s="1"/>
  <c r="F38" i="29"/>
  <c r="G38" i="29" s="1"/>
  <c r="F36" i="29"/>
  <c r="G36" i="29" s="1"/>
  <c r="F35" i="29"/>
  <c r="G35" i="29" s="1"/>
  <c r="F34" i="29"/>
  <c r="G34" i="29" s="1"/>
  <c r="F33" i="29"/>
  <c r="G33" i="29" s="1"/>
  <c r="F32" i="29"/>
  <c r="G32" i="29" s="1"/>
  <c r="F31" i="29"/>
  <c r="G31" i="29" s="1"/>
  <c r="F30" i="29"/>
  <c r="G30" i="29" s="1"/>
  <c r="F29" i="29"/>
  <c r="G29" i="29" s="1"/>
  <c r="F28" i="29"/>
  <c r="G28" i="29" s="1"/>
  <c r="F27" i="29"/>
  <c r="G27" i="29" s="1"/>
  <c r="F26" i="29"/>
  <c r="G26" i="29" s="1"/>
  <c r="F25" i="29"/>
  <c r="G25" i="29" s="1"/>
  <c r="F24" i="29"/>
  <c r="G24" i="29" s="1"/>
  <c r="F23" i="29"/>
  <c r="G23" i="29" s="1"/>
  <c r="F22" i="29"/>
  <c r="G22" i="29" s="1"/>
  <c r="F21" i="29"/>
  <c r="G21" i="29" s="1"/>
  <c r="F20" i="29"/>
  <c r="G20" i="29" s="1"/>
  <c r="F19" i="29"/>
  <c r="G19" i="29" s="1"/>
  <c r="F18" i="29"/>
  <c r="G18" i="29" s="1"/>
  <c r="F16" i="29"/>
  <c r="G16" i="29" s="1"/>
  <c r="F15" i="29"/>
  <c r="G15" i="29" s="1"/>
  <c r="F14" i="29"/>
  <c r="G14" i="29" s="1"/>
  <c r="F12" i="29"/>
  <c r="G12" i="29" s="1"/>
  <c r="F11" i="29"/>
  <c r="G11" i="29" s="1"/>
  <c r="F10" i="29"/>
  <c r="G10" i="29" s="1"/>
  <c r="F9" i="29"/>
  <c r="G9" i="29" s="1"/>
  <c r="F8" i="29"/>
  <c r="G8" i="29" s="1"/>
  <c r="F124" i="29"/>
  <c r="G124" i="29" s="1"/>
  <c r="F119" i="29"/>
  <c r="G119" i="29" s="1"/>
  <c r="F113" i="29"/>
  <c r="G113" i="29" s="1"/>
  <c r="F100" i="29"/>
  <c r="G100" i="29" s="1"/>
  <c r="F99" i="29"/>
  <c r="G99" i="29" s="1"/>
  <c r="F97" i="29"/>
  <c r="G97" i="29" s="1"/>
  <c r="F95" i="29"/>
  <c r="G95" i="29" s="1"/>
  <c r="F6" i="29"/>
  <c r="G6" i="29" s="1"/>
  <c r="F5" i="29"/>
  <c r="G5" i="29" s="1"/>
  <c r="F4" i="29"/>
  <c r="G4" i="29" s="1"/>
  <c r="F3" i="29"/>
  <c r="G3" i="29" s="1"/>
  <c r="I2" i="29"/>
  <c r="E138" i="29"/>
  <c r="F137" i="29"/>
  <c r="G137" i="29" s="1"/>
  <c r="F136" i="29"/>
  <c r="G136" i="29" s="1"/>
  <c r="F135" i="29"/>
  <c r="G135" i="29" s="1"/>
  <c r="F133" i="29"/>
  <c r="G133" i="29" s="1"/>
  <c r="F121" i="29"/>
  <c r="G121" i="29" s="1"/>
  <c r="F120" i="29"/>
  <c r="G120" i="29" s="1"/>
  <c r="F115" i="29"/>
  <c r="G115" i="29" s="1"/>
  <c r="F114" i="29"/>
  <c r="G114" i="29" s="1"/>
  <c r="F111" i="29"/>
  <c r="G111" i="29" s="1"/>
  <c r="F110" i="29"/>
  <c r="G110" i="29" s="1"/>
  <c r="F109" i="29"/>
  <c r="G109" i="29" s="1"/>
  <c r="F103" i="29"/>
  <c r="G103" i="29" s="1"/>
  <c r="F102" i="29"/>
  <c r="G102" i="29" s="1"/>
  <c r="F98" i="29"/>
  <c r="G98" i="29" s="1"/>
  <c r="F88" i="29"/>
  <c r="G88" i="29" s="1"/>
  <c r="F87" i="29"/>
  <c r="G87" i="29" s="1"/>
  <c r="F86" i="29"/>
  <c r="G86" i="29" s="1"/>
  <c r="F83" i="29"/>
  <c r="G83" i="29" s="1"/>
  <c r="F81" i="29"/>
  <c r="G81" i="29" s="1"/>
  <c r="F80" i="29"/>
  <c r="G80" i="29" s="1"/>
  <c r="F78" i="29"/>
  <c r="G78" i="29" s="1"/>
  <c r="I2" i="26" l="1"/>
  <c r="E134" i="26"/>
  <c r="F32" i="26"/>
  <c r="G32" i="26" s="1"/>
  <c r="F57" i="26"/>
  <c r="G57" i="26" s="1"/>
  <c r="F62" i="26"/>
  <c r="G62" i="26" s="1"/>
  <c r="F68" i="26"/>
  <c r="G68" i="26" s="1"/>
  <c r="F74" i="26"/>
  <c r="G74" i="26" s="1"/>
  <c r="F80" i="26"/>
  <c r="G80" i="26" s="1"/>
  <c r="F84" i="26"/>
  <c r="G84" i="26" s="1"/>
  <c r="F90" i="26"/>
  <c r="G90" i="26" s="1"/>
  <c r="F30" i="26"/>
  <c r="G30" i="26" s="1"/>
  <c r="F59" i="26"/>
  <c r="G59" i="26" s="1"/>
  <c r="F69" i="26"/>
  <c r="G69" i="26" s="1"/>
  <c r="F82" i="26"/>
  <c r="G82" i="26" s="1"/>
  <c r="F121" i="26"/>
  <c r="G121" i="26" s="1"/>
  <c r="F11" i="26"/>
  <c r="G11" i="26" s="1"/>
  <c r="F33" i="26"/>
  <c r="G33" i="26" s="1"/>
  <c r="F41" i="26"/>
  <c r="G41" i="26" s="1"/>
  <c r="F46" i="26"/>
  <c r="G46" i="26" s="1"/>
  <c r="F52" i="26"/>
  <c r="G52" i="26" s="1"/>
  <c r="F65" i="26"/>
  <c r="G65" i="26" s="1"/>
  <c r="F95" i="26"/>
  <c r="G95" i="26" s="1"/>
  <c r="F101" i="26"/>
  <c r="G101" i="26" s="1"/>
  <c r="F107" i="26"/>
  <c r="G107" i="26" s="1"/>
  <c r="F112" i="26"/>
  <c r="G112" i="26" s="1"/>
  <c r="F123" i="26"/>
  <c r="G123" i="26" s="1"/>
  <c r="F127" i="26"/>
  <c r="G127" i="26" s="1"/>
  <c r="F20" i="26"/>
  <c r="G20" i="26" s="1"/>
  <c r="F34" i="26"/>
  <c r="G34" i="26" s="1"/>
  <c r="F39" i="26"/>
  <c r="G39" i="26" s="1"/>
  <c r="F43" i="26"/>
  <c r="G43" i="26" s="1"/>
  <c r="F48" i="26"/>
  <c r="G48" i="26" s="1"/>
  <c r="F54" i="26"/>
  <c r="G54" i="26" s="1"/>
  <c r="F64" i="26"/>
  <c r="G64" i="26" s="1"/>
  <c r="F72" i="26"/>
  <c r="G72" i="26" s="1"/>
  <c r="F79" i="26"/>
  <c r="G79" i="26" s="1"/>
  <c r="F87" i="26"/>
  <c r="G87" i="26" s="1"/>
  <c r="F98" i="26"/>
  <c r="G98" i="26" s="1"/>
  <c r="F110" i="26"/>
  <c r="G110" i="26" s="1"/>
  <c r="F117" i="26"/>
  <c r="G117" i="26" s="1"/>
  <c r="F125" i="26"/>
  <c r="G125" i="26" s="1"/>
  <c r="F132" i="26"/>
  <c r="G132" i="26" s="1"/>
  <c r="F14" i="26"/>
  <c r="G14" i="26" s="1"/>
  <c r="F31" i="26"/>
  <c r="G31" i="26" s="1"/>
  <c r="F38" i="26"/>
  <c r="G38" i="26" s="1"/>
  <c r="F44" i="26"/>
  <c r="G44" i="26" s="1"/>
  <c r="F50" i="26"/>
  <c r="G50" i="26" s="1"/>
  <c r="F56" i="26"/>
  <c r="G56" i="26" s="1"/>
  <c r="F60" i="26"/>
  <c r="G60" i="26" s="1"/>
  <c r="F66" i="26"/>
  <c r="G66" i="26" s="1"/>
  <c r="F73" i="26"/>
  <c r="G73" i="26" s="1"/>
  <c r="F78" i="26"/>
  <c r="G78" i="26" s="1"/>
  <c r="F83" i="26"/>
  <c r="G83" i="26" s="1"/>
  <c r="F88" i="26"/>
  <c r="G88" i="26" s="1"/>
  <c r="F93" i="26"/>
  <c r="G93" i="26" s="1"/>
  <c r="F105" i="26"/>
  <c r="G105" i="26" s="1"/>
  <c r="F111" i="26"/>
  <c r="G111" i="26" s="1"/>
  <c r="F116" i="26"/>
  <c r="G116" i="26" s="1"/>
  <c r="F122" i="26"/>
  <c r="G122" i="26" s="1"/>
  <c r="F129" i="26"/>
  <c r="G129" i="26" s="1"/>
  <c r="F12" i="26"/>
  <c r="G12" i="26" s="1"/>
  <c r="F36" i="26"/>
  <c r="G36" i="26" s="1"/>
  <c r="F40" i="26"/>
  <c r="G40" i="26" s="1"/>
  <c r="F45" i="26"/>
  <c r="G45" i="26" s="1"/>
  <c r="F49" i="26"/>
  <c r="G49" i="26" s="1"/>
  <c r="F53" i="26"/>
  <c r="G53" i="26" s="1"/>
  <c r="F61" i="26"/>
  <c r="G61" i="26" s="1"/>
  <c r="F67" i="26"/>
  <c r="G67" i="26" s="1"/>
  <c r="F70" i="26"/>
  <c r="G70" i="26" s="1"/>
  <c r="F77" i="26"/>
  <c r="G77" i="26" s="1"/>
  <c r="F81" i="26"/>
  <c r="G81" i="26" s="1"/>
  <c r="F86" i="26"/>
  <c r="G86" i="26" s="1"/>
  <c r="F92" i="26"/>
  <c r="G92" i="26" s="1"/>
  <c r="F96" i="26"/>
  <c r="G96" i="26" s="1"/>
  <c r="F103" i="26"/>
  <c r="G103" i="26" s="1"/>
  <c r="F108" i="26"/>
  <c r="G108" i="26" s="1"/>
  <c r="F113" i="26"/>
  <c r="G113" i="26" s="1"/>
  <c r="F118" i="26"/>
  <c r="G118" i="26" s="1"/>
  <c r="F120" i="26"/>
  <c r="G120" i="26" s="1"/>
  <c r="F130" i="26"/>
  <c r="G130" i="26" s="1"/>
  <c r="F42" i="26"/>
  <c r="G42" i="26" s="1"/>
  <c r="F47" i="26"/>
  <c r="G47" i="26" s="1"/>
  <c r="F51" i="26"/>
  <c r="G51" i="26" s="1"/>
  <c r="F55" i="26"/>
  <c r="G55" i="26" s="1"/>
  <c r="F63" i="26"/>
  <c r="G63" i="26" s="1"/>
  <c r="F75" i="26"/>
  <c r="G75" i="26" s="1"/>
  <c r="F91" i="26"/>
  <c r="G91" i="26" s="1"/>
  <c r="F94" i="26"/>
  <c r="G94" i="26" s="1"/>
  <c r="F102" i="26"/>
  <c r="G102" i="26" s="1"/>
  <c r="F106" i="26"/>
  <c r="G106" i="26" s="1"/>
  <c r="F114" i="26"/>
  <c r="G114" i="26" s="1"/>
  <c r="F128" i="26"/>
  <c r="G128" i="26" s="1"/>
  <c r="F37" i="26"/>
  <c r="G37" i="26" s="1"/>
  <c r="F58" i="26"/>
  <c r="G58" i="26" s="1"/>
  <c r="F71" i="26"/>
  <c r="G71" i="26" s="1"/>
  <c r="F76" i="26"/>
  <c r="G76" i="26" s="1"/>
  <c r="F85" i="26"/>
  <c r="G85" i="26" s="1"/>
  <c r="F89" i="26"/>
  <c r="G89" i="26" s="1"/>
  <c r="F99" i="26"/>
  <c r="G99" i="26" s="1"/>
  <c r="F104" i="26"/>
  <c r="G104" i="26" s="1"/>
  <c r="F109" i="26"/>
  <c r="G109" i="26" s="1"/>
  <c r="F115" i="26"/>
  <c r="G115" i="26" s="1"/>
  <c r="F119" i="26"/>
  <c r="G119" i="26" s="1"/>
  <c r="F124" i="26"/>
  <c r="G124" i="26" s="1"/>
  <c r="F126" i="26"/>
  <c r="G126" i="26" s="1"/>
  <c r="F131" i="26"/>
  <c r="G131" i="26" s="1"/>
  <c r="F133" i="26"/>
  <c r="G133" i="26" s="1"/>
  <c r="F16" i="26"/>
  <c r="G16" i="26" s="1"/>
  <c r="F18" i="26"/>
  <c r="G18" i="26" s="1"/>
  <c r="F19" i="26"/>
  <c r="G19" i="26" s="1"/>
  <c r="F23" i="26"/>
  <c r="G23" i="26" s="1"/>
  <c r="F25" i="26"/>
  <c r="G25" i="26" s="1"/>
  <c r="F27" i="26"/>
  <c r="G27" i="26" s="1"/>
  <c r="F17" i="26"/>
  <c r="G17" i="26" s="1"/>
  <c r="F21" i="26"/>
  <c r="G21" i="26" s="1"/>
  <c r="F24" i="26"/>
  <c r="G24" i="26" s="1"/>
  <c r="F28" i="26"/>
  <c r="G28" i="26" s="1"/>
  <c r="F15" i="26"/>
  <c r="G15" i="26" s="1"/>
  <c r="F22" i="26"/>
  <c r="G22" i="26" s="1"/>
  <c r="F26" i="26"/>
  <c r="G26" i="26" s="1"/>
  <c r="F2" i="26"/>
  <c r="G101" i="29"/>
  <c r="G112" i="29"/>
  <c r="G7" i="29"/>
  <c r="G107" i="29"/>
  <c r="G2" i="29"/>
  <c r="F138" i="29"/>
  <c r="F134" i="26" l="1"/>
  <c r="G2" i="26"/>
  <c r="G134" i="26"/>
  <c r="G138" i="29"/>
</calcChain>
</file>

<file path=xl/sharedStrings.xml><?xml version="1.0" encoding="utf-8"?>
<sst xmlns="http://schemas.openxmlformats.org/spreadsheetml/2006/main" count="567" uniqueCount="152">
  <si>
    <t>Bias</t>
  </si>
  <si>
    <t>MAE</t>
  </si>
  <si>
    <t>RMSE</t>
  </si>
  <si>
    <t>R</t>
  </si>
  <si>
    <t>R2</t>
  </si>
  <si>
    <t>Perfect line</t>
  </si>
  <si>
    <t>Name</t>
  </si>
  <si>
    <t>M4_L8_D1</t>
  </si>
  <si>
    <t>M4_L9_D1</t>
  </si>
  <si>
    <t>M4_L10_D1</t>
  </si>
  <si>
    <t>M4_L11_D1</t>
  </si>
  <si>
    <t>M4_L12_D1</t>
  </si>
  <si>
    <t>M4_L13_D1</t>
  </si>
  <si>
    <t>M4_L14_D1</t>
  </si>
  <si>
    <t>M4_L16_D1</t>
  </si>
  <si>
    <t>M4_L23_D1</t>
  </si>
  <si>
    <t>M4_L24_D1</t>
  </si>
  <si>
    <t>M4_L25_D1</t>
  </si>
  <si>
    <t>M4_L26_D1</t>
  </si>
  <si>
    <t>M4_L27_D1</t>
  </si>
  <si>
    <t>M4_L28_D1</t>
  </si>
  <si>
    <t>M4_L29_D1</t>
  </si>
  <si>
    <t>M4_L30_D1</t>
  </si>
  <si>
    <t>M4_L31_D1</t>
  </si>
  <si>
    <t>M4_L32_D1</t>
  </si>
  <si>
    <t>M4_L35_D1</t>
  </si>
  <si>
    <t>M4_L36_D1</t>
  </si>
  <si>
    <t>M4_L37_D1</t>
  </si>
  <si>
    <t>M4_L38_D1</t>
  </si>
  <si>
    <t>M4_L40_D1</t>
  </si>
  <si>
    <t>M4_L41_D1</t>
  </si>
  <si>
    <t>M4_L42_D1</t>
  </si>
  <si>
    <t>M4_L46_D1</t>
  </si>
  <si>
    <t>M4_L47_D1</t>
  </si>
  <si>
    <t>M4_L48_D1</t>
  </si>
  <si>
    <t>M4_L49_D1</t>
  </si>
  <si>
    <t>M4_L50_D1</t>
  </si>
  <si>
    <t>M4_L51_D1</t>
  </si>
  <si>
    <t>M4_L52_D1</t>
  </si>
  <si>
    <t>M4_L53_D1</t>
  </si>
  <si>
    <t>M4_L54_D1</t>
  </si>
  <si>
    <t>M4_L55_D1</t>
  </si>
  <si>
    <t>M4_L56_D1</t>
  </si>
  <si>
    <t>M4_L57_D1</t>
  </si>
  <si>
    <t>M4_L58_D1</t>
  </si>
  <si>
    <t>M4_L59_D1</t>
  </si>
  <si>
    <t>M4_L60_D1</t>
  </si>
  <si>
    <t>M4_L61_D1</t>
  </si>
  <si>
    <t>M4_L62_D1</t>
  </si>
  <si>
    <t>M4_L63_D1</t>
  </si>
  <si>
    <t>M4_L64_D1</t>
  </si>
  <si>
    <t>M4_L65_D1</t>
  </si>
  <si>
    <t>M4_L66_D1</t>
  </si>
  <si>
    <t>M4_L67_D1</t>
  </si>
  <si>
    <t>M4_L70_D1</t>
  </si>
  <si>
    <t>M4_L71_D1</t>
  </si>
  <si>
    <t>M4_L72_D1</t>
  </si>
  <si>
    <t>M4_L73_D1</t>
  </si>
  <si>
    <t>M4_L74_D1</t>
  </si>
  <si>
    <t>M4_L78_D1</t>
  </si>
  <si>
    <t>M4_L79_D1</t>
  </si>
  <si>
    <t>M4_L80_D1</t>
  </si>
  <si>
    <t>M4_L81_D1</t>
  </si>
  <si>
    <t>M4_L82_D1</t>
  </si>
  <si>
    <t>M4_L83_D1</t>
  </si>
  <si>
    <t>M4_L84_D1</t>
  </si>
  <si>
    <t>M4_L85_D1</t>
  </si>
  <si>
    <t>M4_L86_D1</t>
  </si>
  <si>
    <t>M4_L92_D1</t>
  </si>
  <si>
    <t>M4_L93_D1</t>
  </si>
  <si>
    <t>M4_L94_D1</t>
  </si>
  <si>
    <t>M4_L95_D1</t>
  </si>
  <si>
    <t>M4_L96_D1</t>
  </si>
  <si>
    <t>M4_L97_D1</t>
  </si>
  <si>
    <t>M4_L98_D1</t>
  </si>
  <si>
    <t>M4_L99_D1</t>
  </si>
  <si>
    <t>M4_L100_D1</t>
  </si>
  <si>
    <t>M4_L101_D1</t>
  </si>
  <si>
    <t>M4_L102_D1</t>
  </si>
  <si>
    <t>M4_L103_D1</t>
  </si>
  <si>
    <t>M4_L104_D1</t>
  </si>
  <si>
    <t>M4_L106_D1</t>
  </si>
  <si>
    <t>M4_L108_D1</t>
  </si>
  <si>
    <t>M4_L109_D1</t>
  </si>
  <si>
    <t>M4_L110_D1</t>
  </si>
  <si>
    <t>M4_L113_D1</t>
  </si>
  <si>
    <t>M4_L114_D1</t>
  </si>
  <si>
    <t>M4_L115_D1</t>
  </si>
  <si>
    <t>M4_L116_D1</t>
  </si>
  <si>
    <t>M4_L117_D1</t>
  </si>
  <si>
    <t>M4_L118_D1</t>
  </si>
  <si>
    <t>M4_L119_D1</t>
  </si>
  <si>
    <t>M4_L120_D1</t>
  </si>
  <si>
    <t>M4_L121_D1</t>
  </si>
  <si>
    <t>M4_L122_D1</t>
  </si>
  <si>
    <t>M4_L123_D1</t>
  </si>
  <si>
    <t>M4_L124_D1</t>
  </si>
  <si>
    <t>M4_L125_D1</t>
  </si>
  <si>
    <t>M4_L126_D1</t>
  </si>
  <si>
    <t>M4_L127_D1</t>
  </si>
  <si>
    <t>M4_L128_D1</t>
  </si>
  <si>
    <t>M4_L129_D1</t>
  </si>
  <si>
    <t>M4_L130_D1</t>
  </si>
  <si>
    <t>M4_L131_D1</t>
  </si>
  <si>
    <t>M4_L132_D1</t>
  </si>
  <si>
    <t>M4_L133_D1</t>
  </si>
  <si>
    <t>M4_L134_D1</t>
  </si>
  <si>
    <t>M4_L137_D1</t>
  </si>
  <si>
    <t>M4_L138_D1</t>
  </si>
  <si>
    <t>M4_L139_D1</t>
  </si>
  <si>
    <t>M4_L140_D1</t>
  </si>
  <si>
    <t>M4_L141_D1</t>
  </si>
  <si>
    <t>M4_L142_D1</t>
  </si>
  <si>
    <t>M4_L1_D1</t>
  </si>
  <si>
    <t>M4_L2_D1</t>
  </si>
  <si>
    <t>M4_L3_D1</t>
  </si>
  <si>
    <t>M4_L4_D1</t>
  </si>
  <si>
    <t>M4_L5_D1</t>
  </si>
  <si>
    <t>M4_L7_D1</t>
  </si>
  <si>
    <t>M4_L15_D1</t>
  </si>
  <si>
    <t>M4_L17_D1</t>
  </si>
  <si>
    <t>M4_L18_D1</t>
  </si>
  <si>
    <t>M4_L19_D1</t>
  </si>
  <si>
    <t>M4_L20_D1</t>
  </si>
  <si>
    <t>M4_L21_D1</t>
  </si>
  <si>
    <t>M4_L22_D1</t>
  </si>
  <si>
    <t>M4_L39_D1</t>
  </si>
  <si>
    <t>M4_L43_D1</t>
  </si>
  <si>
    <t>M4_L44_D1</t>
  </si>
  <si>
    <t>M4_L68_D1</t>
  </si>
  <si>
    <t>M4_L69_D1</t>
  </si>
  <si>
    <t>M4_L75_D1</t>
  </si>
  <si>
    <t>M4_L76_D1</t>
  </si>
  <si>
    <t>M4_L77_D1</t>
  </si>
  <si>
    <t>M4_L87_D1</t>
  </si>
  <si>
    <t>M4_L88_D1</t>
  </si>
  <si>
    <t>M4_L89_D1</t>
  </si>
  <si>
    <t>M4_L90_D1</t>
  </si>
  <si>
    <t>M4_L91_D1</t>
  </si>
  <si>
    <t>M4_L111_D1</t>
  </si>
  <si>
    <t>M4_L112_D1</t>
  </si>
  <si>
    <t>M4_L135_D1</t>
  </si>
  <si>
    <t>M4_L136_D1</t>
  </si>
  <si>
    <t>HOMO</t>
  </si>
  <si>
    <t>LUMO</t>
  </si>
  <si>
    <t>GAP</t>
  </si>
  <si>
    <t>xTB_HOMO (eV)</t>
  </si>
  <si>
    <t>DFT_HOMO (Hartree)</t>
  </si>
  <si>
    <t>DFT_HOMO (eV)</t>
  </si>
  <si>
    <t>xTB_LUMO (eV)</t>
  </si>
  <si>
    <t>DFT_LUMO (Hartree)</t>
  </si>
  <si>
    <t>DFT_LUMO (eV)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</si>
</sst>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readingOrder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l-GR" sz="1600" b="1" i="1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ε</a:t>
            </a:r>
            <a:r>
              <a:rPr lang="en-IN" sz="1600" b="1" baseline="-2500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HOMO</a:t>
            </a:r>
            <a:r>
              <a:rPr lang="en-IN" sz="1600" b="1" baseline="-25000">
                <a:solidFill>
                  <a:sysClr val="windowText" lastClr="000000"/>
                </a:solidFill>
              </a:rPr>
              <a:t> </a:t>
            </a:r>
          </a:p>
        </c:rich>
      </c:tx>
      <c:layout>
        <c:manualLayout>
          <c:xMode val="edge"/>
          <c:yMode val="edge"/>
          <c:x val="0.49122604610130627"/>
          <c:y val="1.38888888888888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1077216624029021"/>
          <c:y val="0.17374999999999999"/>
          <c:w val="0.84452666717631175"/>
          <c:h val="0.53841243802857974"/>
        </c:manualLayout>
      </c:layout>
      <c:scatterChart>
        <c:scatterStyle val="lineMarker"/>
        <c:varyColors val="0"/>
        <c:ser>
          <c:idx val="0"/>
          <c:order val="0"/>
          <c:tx>
            <c:v>Data points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25400" cap="rnd">
                <a:solidFill>
                  <a:schemeClr val="accent6">
                    <a:lumMod val="75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5014290537544527E-3"/>
                  <c:y val="0.14843075842285514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000" b="1" i="0" u="none" strike="noStrike" kern="120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l-GR" sz="1000" b="1" i="1" u="none" strike="noStrike" baseline="0">
                        <a:effectLst/>
                      </a:rPr>
                      <a:t>ε</a:t>
                    </a:r>
                    <a:r>
                      <a:rPr lang="en-GB" sz="1000" b="1" i="0" u="none" strike="noStrike" baseline="-25000">
                        <a:effectLst/>
                      </a:rPr>
                      <a:t>HOMO,DFT </a:t>
                    </a:r>
                    <a:r>
                      <a:rPr lang="en-US" sz="1000" b="1" baseline="0"/>
                      <a:t> = 1.25</a:t>
                    </a:r>
                    <a:r>
                      <a:rPr lang="el-GR" sz="1000" b="1" i="1" u="none" strike="noStrike" baseline="0">
                        <a:effectLst/>
                      </a:rPr>
                      <a:t>ε</a:t>
                    </a:r>
                    <a:r>
                      <a:rPr lang="en-GB" sz="1000" b="1" i="0" u="none" strike="noStrike" baseline="-25000">
                        <a:effectLst/>
                      </a:rPr>
                      <a:t>HOMO,xTB </a:t>
                    </a:r>
                    <a:r>
                      <a:rPr lang="en-US" sz="1000" b="1" baseline="0"/>
                      <a:t> + 7.30</a:t>
                    </a:r>
                    <a:br>
                      <a:rPr lang="en-US" sz="1000" b="1" baseline="0"/>
                    </a:br>
                    <a:r>
                      <a:rPr lang="en-US" sz="1000" b="1" baseline="0"/>
                      <a:t>R² = 0.54</a:t>
                    </a:r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sz="1000" b="1" baseline="0"/>
                      <a:t>Pearson R = 0.73</a:t>
                    </a:r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sz="1000" b="1" baseline="0"/>
                      <a:t>MAE = 4.17eV</a:t>
                    </a:r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sz="1000" b="1" baseline="0"/>
                      <a:t>RMSE = 4.18eV</a:t>
                    </a:r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sz="1000" b="1" baseline="0"/>
                      <a:t>N = 132</a:t>
                    </a:r>
                  </a:p>
                </c:rich>
              </c:tx>
              <c:numFmt formatCode="General" sourceLinked="0"/>
              <c:spPr>
                <a:solidFill>
                  <a:schemeClr val="bg1">
                    <a:lumMod val="9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'xTB vs DFT HOMO'!$B$2:$B$133</c:f>
              <c:numCache>
                <c:formatCode>General</c:formatCode>
                <c:ptCount val="132"/>
                <c:pt idx="0">
                  <c:v>-12.9702</c:v>
                </c:pt>
                <c:pt idx="1">
                  <c:v>-12.897500000000001</c:v>
                </c:pt>
                <c:pt idx="2">
                  <c:v>-13.1647</c:v>
                </c:pt>
                <c:pt idx="3">
                  <c:v>-12.5177</c:v>
                </c:pt>
                <c:pt idx="4">
                  <c:v>-12.6152</c:v>
                </c:pt>
                <c:pt idx="5">
                  <c:v>-12.494</c:v>
                </c:pt>
                <c:pt idx="6">
                  <c:v>-12.6158</c:v>
                </c:pt>
                <c:pt idx="7">
                  <c:v>-12.4956</c:v>
                </c:pt>
                <c:pt idx="8">
                  <c:v>-12.6046</c:v>
                </c:pt>
                <c:pt idx="9">
                  <c:v>-12.5868</c:v>
                </c:pt>
                <c:pt idx="10">
                  <c:v>-12.6991</c:v>
                </c:pt>
                <c:pt idx="11">
                  <c:v>-12.2233</c:v>
                </c:pt>
                <c:pt idx="12">
                  <c:v>-12.549099999999999</c:v>
                </c:pt>
                <c:pt idx="13">
                  <c:v>-12.9428</c:v>
                </c:pt>
                <c:pt idx="14">
                  <c:v>-12.8117</c:v>
                </c:pt>
                <c:pt idx="15">
                  <c:v>-12.9084</c:v>
                </c:pt>
                <c:pt idx="16">
                  <c:v>-12.7232</c:v>
                </c:pt>
                <c:pt idx="17">
                  <c:v>-12.7226</c:v>
                </c:pt>
                <c:pt idx="18">
                  <c:v>-12.811199999999999</c:v>
                </c:pt>
                <c:pt idx="19">
                  <c:v>-12.7803</c:v>
                </c:pt>
                <c:pt idx="20">
                  <c:v>-12.5762</c:v>
                </c:pt>
                <c:pt idx="21">
                  <c:v>-13.1076</c:v>
                </c:pt>
                <c:pt idx="22">
                  <c:v>-12.923999999999999</c:v>
                </c:pt>
                <c:pt idx="23">
                  <c:v>-12.588200000000001</c:v>
                </c:pt>
                <c:pt idx="24">
                  <c:v>-12.506500000000001</c:v>
                </c:pt>
                <c:pt idx="25">
                  <c:v>-12.7425</c:v>
                </c:pt>
                <c:pt idx="26">
                  <c:v>-12.161</c:v>
                </c:pt>
                <c:pt idx="27">
                  <c:v>-12.2967</c:v>
                </c:pt>
                <c:pt idx="28">
                  <c:v>-12.1699</c:v>
                </c:pt>
                <c:pt idx="29">
                  <c:v>-12.5837</c:v>
                </c:pt>
                <c:pt idx="30">
                  <c:v>-12.6911</c:v>
                </c:pt>
                <c:pt idx="31">
                  <c:v>-12.738099999999999</c:v>
                </c:pt>
                <c:pt idx="32">
                  <c:v>-12.1396</c:v>
                </c:pt>
                <c:pt idx="33">
                  <c:v>-12.835699999999999</c:v>
                </c:pt>
                <c:pt idx="34">
                  <c:v>-12.371499999999999</c:v>
                </c:pt>
                <c:pt idx="35">
                  <c:v>-12.360900000000001</c:v>
                </c:pt>
                <c:pt idx="36">
                  <c:v>-12.5854</c:v>
                </c:pt>
                <c:pt idx="37">
                  <c:v>-12.9254</c:v>
                </c:pt>
                <c:pt idx="38">
                  <c:v>-12.553900000000001</c:v>
                </c:pt>
                <c:pt idx="39">
                  <c:v>-12.6159</c:v>
                </c:pt>
                <c:pt idx="40">
                  <c:v>-12.597099999999999</c:v>
                </c:pt>
                <c:pt idx="41">
                  <c:v>-12.5815</c:v>
                </c:pt>
                <c:pt idx="42">
                  <c:v>-12.412000000000001</c:v>
                </c:pt>
                <c:pt idx="43">
                  <c:v>-12.1557</c:v>
                </c:pt>
                <c:pt idx="44">
                  <c:v>-12.733000000000001</c:v>
                </c:pt>
                <c:pt idx="45">
                  <c:v>-12.4285</c:v>
                </c:pt>
                <c:pt idx="46">
                  <c:v>-12.0442</c:v>
                </c:pt>
                <c:pt idx="47">
                  <c:v>-12.2943</c:v>
                </c:pt>
                <c:pt idx="48">
                  <c:v>-12.3124</c:v>
                </c:pt>
                <c:pt idx="49">
                  <c:v>-12.4269</c:v>
                </c:pt>
                <c:pt idx="50">
                  <c:v>-12.4316</c:v>
                </c:pt>
                <c:pt idx="51">
                  <c:v>-12.6074</c:v>
                </c:pt>
                <c:pt idx="52">
                  <c:v>-12.4681</c:v>
                </c:pt>
                <c:pt idx="53">
                  <c:v>-12.7271</c:v>
                </c:pt>
                <c:pt idx="54">
                  <c:v>-12.3666</c:v>
                </c:pt>
                <c:pt idx="55">
                  <c:v>-12.5237</c:v>
                </c:pt>
                <c:pt idx="56">
                  <c:v>-12.6532</c:v>
                </c:pt>
                <c:pt idx="57">
                  <c:v>-12.7926</c:v>
                </c:pt>
                <c:pt idx="58">
                  <c:v>-12.7387</c:v>
                </c:pt>
                <c:pt idx="59">
                  <c:v>-12.444900000000001</c:v>
                </c:pt>
                <c:pt idx="60">
                  <c:v>-12.4671</c:v>
                </c:pt>
                <c:pt idx="61">
                  <c:v>-13.2005</c:v>
                </c:pt>
                <c:pt idx="62">
                  <c:v>-12.899900000000001</c:v>
                </c:pt>
                <c:pt idx="63">
                  <c:v>-12.6104</c:v>
                </c:pt>
                <c:pt idx="64">
                  <c:v>-12.456300000000001</c:v>
                </c:pt>
                <c:pt idx="65">
                  <c:v>-12.4924</c:v>
                </c:pt>
                <c:pt idx="66">
                  <c:v>-12.5686</c:v>
                </c:pt>
                <c:pt idx="67">
                  <c:v>-12.5229</c:v>
                </c:pt>
                <c:pt idx="68">
                  <c:v>-12.8904</c:v>
                </c:pt>
                <c:pt idx="69">
                  <c:v>-13.187799999999999</c:v>
                </c:pt>
                <c:pt idx="70">
                  <c:v>-12.805899999999999</c:v>
                </c:pt>
                <c:pt idx="71">
                  <c:v>-12.419600000000001</c:v>
                </c:pt>
                <c:pt idx="72">
                  <c:v>-12.55</c:v>
                </c:pt>
                <c:pt idx="73">
                  <c:v>-12.5183</c:v>
                </c:pt>
                <c:pt idx="74">
                  <c:v>-12.606</c:v>
                </c:pt>
                <c:pt idx="75">
                  <c:v>-12.6968</c:v>
                </c:pt>
                <c:pt idx="76">
                  <c:v>-12.673299999999999</c:v>
                </c:pt>
                <c:pt idx="77">
                  <c:v>-12.6066</c:v>
                </c:pt>
                <c:pt idx="78">
                  <c:v>-12.582599999999999</c:v>
                </c:pt>
                <c:pt idx="79">
                  <c:v>-12.814500000000001</c:v>
                </c:pt>
                <c:pt idx="80">
                  <c:v>-12.405799999999999</c:v>
                </c:pt>
                <c:pt idx="81">
                  <c:v>-12.5223</c:v>
                </c:pt>
                <c:pt idx="82">
                  <c:v>-12.714</c:v>
                </c:pt>
                <c:pt idx="83">
                  <c:v>-12.8391</c:v>
                </c:pt>
                <c:pt idx="84">
                  <c:v>-12.7431</c:v>
                </c:pt>
                <c:pt idx="85">
                  <c:v>-13.164899999999999</c:v>
                </c:pt>
                <c:pt idx="86">
                  <c:v>-12.946400000000001</c:v>
                </c:pt>
                <c:pt idx="87">
                  <c:v>-12.610200000000001</c:v>
                </c:pt>
                <c:pt idx="88">
                  <c:v>-12.5084</c:v>
                </c:pt>
                <c:pt idx="89">
                  <c:v>-12.7067</c:v>
                </c:pt>
                <c:pt idx="90">
                  <c:v>-12.1661</c:v>
                </c:pt>
                <c:pt idx="91">
                  <c:v>-12.8246</c:v>
                </c:pt>
                <c:pt idx="92">
                  <c:v>-12.1892</c:v>
                </c:pt>
                <c:pt idx="93">
                  <c:v>-12.287599999999999</c:v>
                </c:pt>
                <c:pt idx="94">
                  <c:v>-12.4747</c:v>
                </c:pt>
                <c:pt idx="95">
                  <c:v>-12.4217</c:v>
                </c:pt>
                <c:pt idx="96">
                  <c:v>-12.277799999999999</c:v>
                </c:pt>
                <c:pt idx="97">
                  <c:v>-11.875299999999999</c:v>
                </c:pt>
                <c:pt idx="98">
                  <c:v>-12.1858</c:v>
                </c:pt>
                <c:pt idx="99">
                  <c:v>-12.614100000000001</c:v>
                </c:pt>
                <c:pt idx="100">
                  <c:v>-12.927300000000001</c:v>
                </c:pt>
                <c:pt idx="101">
                  <c:v>-12.523899999999999</c:v>
                </c:pt>
                <c:pt idx="102">
                  <c:v>-12.632899999999999</c:v>
                </c:pt>
                <c:pt idx="103">
                  <c:v>-12.596399999999999</c:v>
                </c:pt>
                <c:pt idx="104">
                  <c:v>-12.4994</c:v>
                </c:pt>
                <c:pt idx="105">
                  <c:v>-12.5535</c:v>
                </c:pt>
                <c:pt idx="106">
                  <c:v>-12.5565</c:v>
                </c:pt>
                <c:pt idx="107">
                  <c:v>-12.1134</c:v>
                </c:pt>
                <c:pt idx="108">
                  <c:v>-12.662000000000001</c:v>
                </c:pt>
                <c:pt idx="109">
                  <c:v>-12.4498</c:v>
                </c:pt>
                <c:pt idx="110">
                  <c:v>-12.223100000000001</c:v>
                </c:pt>
                <c:pt idx="111">
                  <c:v>-12.3065</c:v>
                </c:pt>
                <c:pt idx="112">
                  <c:v>-12.1911</c:v>
                </c:pt>
                <c:pt idx="113">
                  <c:v>-12.280099999999999</c:v>
                </c:pt>
                <c:pt idx="114">
                  <c:v>-12.234400000000001</c:v>
                </c:pt>
                <c:pt idx="115">
                  <c:v>-12.484400000000001</c:v>
                </c:pt>
                <c:pt idx="116">
                  <c:v>-12.7285</c:v>
                </c:pt>
                <c:pt idx="117">
                  <c:v>-12.7159</c:v>
                </c:pt>
                <c:pt idx="118">
                  <c:v>-12.360799999999999</c:v>
                </c:pt>
                <c:pt idx="119">
                  <c:v>-12.821</c:v>
                </c:pt>
                <c:pt idx="120">
                  <c:v>-12.7471</c:v>
                </c:pt>
                <c:pt idx="121">
                  <c:v>-12.7852</c:v>
                </c:pt>
                <c:pt idx="122">
                  <c:v>-12.5366</c:v>
                </c:pt>
                <c:pt idx="123">
                  <c:v>-12.5548</c:v>
                </c:pt>
                <c:pt idx="124">
                  <c:v>-13.216699999999999</c:v>
                </c:pt>
                <c:pt idx="125">
                  <c:v>-12.8644</c:v>
                </c:pt>
                <c:pt idx="126">
                  <c:v>-12.6081</c:v>
                </c:pt>
                <c:pt idx="127">
                  <c:v>-12.482799999999999</c:v>
                </c:pt>
                <c:pt idx="128">
                  <c:v>-12.5909</c:v>
                </c:pt>
                <c:pt idx="129">
                  <c:v>-12.6105</c:v>
                </c:pt>
                <c:pt idx="130">
                  <c:v>-12.5778</c:v>
                </c:pt>
                <c:pt idx="131">
                  <c:v>-12.574999999999999</c:v>
                </c:pt>
              </c:numCache>
            </c:numRef>
          </c:xVal>
          <c:yVal>
            <c:numRef>
              <c:f>'xTB vs DFT HOMO'!$D$2:$D$133</c:f>
              <c:numCache>
                <c:formatCode>General</c:formatCode>
                <c:ptCount val="132"/>
                <c:pt idx="0">
                  <c:v>-9.3192639999999987</c:v>
                </c:pt>
                <c:pt idx="1">
                  <c:v>-8.8500639999999997</c:v>
                </c:pt>
                <c:pt idx="2">
                  <c:v>-9.5806559999999994</c:v>
                </c:pt>
                <c:pt idx="3">
                  <c:v>-8.8840640000000004</c:v>
                </c:pt>
                <c:pt idx="4">
                  <c:v>-8.4834079999999989</c:v>
                </c:pt>
                <c:pt idx="5">
                  <c:v>-8.772272000000001</c:v>
                </c:pt>
                <c:pt idx="6">
                  <c:v>-8.2309919999999988</c:v>
                </c:pt>
                <c:pt idx="7">
                  <c:v>-8.1507519999999989</c:v>
                </c:pt>
                <c:pt idx="8">
                  <c:v>-8.5397119999999997</c:v>
                </c:pt>
                <c:pt idx="9">
                  <c:v>-8.5187679999999997</c:v>
                </c:pt>
                <c:pt idx="10">
                  <c:v>-8.9188799999999997</c:v>
                </c:pt>
                <c:pt idx="11">
                  <c:v>-8.7045440000000003</c:v>
                </c:pt>
                <c:pt idx="12">
                  <c:v>-8.4975520000000007</c:v>
                </c:pt>
                <c:pt idx="13">
                  <c:v>-9.2197119999999995</c:v>
                </c:pt>
                <c:pt idx="14">
                  <c:v>-8.9303039999999996</c:v>
                </c:pt>
                <c:pt idx="15">
                  <c:v>-9.1329440000000002</c:v>
                </c:pt>
                <c:pt idx="16">
                  <c:v>-8.3971839999999993</c:v>
                </c:pt>
                <c:pt idx="17">
                  <c:v>-8.3593759999999993</c:v>
                </c:pt>
                <c:pt idx="18">
                  <c:v>-8.3517599999999987</c:v>
                </c:pt>
                <c:pt idx="19">
                  <c:v>-8.3833120000000001</c:v>
                </c:pt>
                <c:pt idx="20">
                  <c:v>-8.4591999999999992</c:v>
                </c:pt>
                <c:pt idx="21">
                  <c:v>-9.0328479999999995</c:v>
                </c:pt>
                <c:pt idx="22">
                  <c:v>-8.7877759999999991</c:v>
                </c:pt>
                <c:pt idx="23">
                  <c:v>-7.9951679999999996</c:v>
                </c:pt>
                <c:pt idx="24">
                  <c:v>-7.9372319999999998</c:v>
                </c:pt>
                <c:pt idx="25">
                  <c:v>-8.0528319999999987</c:v>
                </c:pt>
                <c:pt idx="26">
                  <c:v>-7.688623999999999</c:v>
                </c:pt>
                <c:pt idx="27">
                  <c:v>-8.2554719999999993</c:v>
                </c:pt>
                <c:pt idx="28">
                  <c:v>-7.6293280000000001</c:v>
                </c:pt>
                <c:pt idx="29">
                  <c:v>-8.1251839999999991</c:v>
                </c:pt>
                <c:pt idx="30">
                  <c:v>-7.8526400000000001</c:v>
                </c:pt>
                <c:pt idx="31">
                  <c:v>-8.3229279999999992</c:v>
                </c:pt>
                <c:pt idx="32">
                  <c:v>-8.0601759999999985</c:v>
                </c:pt>
                <c:pt idx="33">
                  <c:v>-8.5217600000000004</c:v>
                </c:pt>
                <c:pt idx="34">
                  <c:v>-7.367119999999999</c:v>
                </c:pt>
                <c:pt idx="35">
                  <c:v>-7.6301439999999996</c:v>
                </c:pt>
                <c:pt idx="36">
                  <c:v>-8.6580319999999986</c:v>
                </c:pt>
                <c:pt idx="37">
                  <c:v>-8.9471679999999996</c:v>
                </c:pt>
                <c:pt idx="38">
                  <c:v>-8.2010719999999999</c:v>
                </c:pt>
                <c:pt idx="39">
                  <c:v>-8.8707359999999991</c:v>
                </c:pt>
                <c:pt idx="40">
                  <c:v>-8.782335999999999</c:v>
                </c:pt>
                <c:pt idx="41">
                  <c:v>-8.4393440000000002</c:v>
                </c:pt>
                <c:pt idx="42">
                  <c:v>-8.4790559999999999</c:v>
                </c:pt>
                <c:pt idx="43">
                  <c:v>-8.0090399999999988</c:v>
                </c:pt>
                <c:pt idx="44">
                  <c:v>-8.5432479999999984</c:v>
                </c:pt>
                <c:pt idx="45">
                  <c:v>-8.2946399999999993</c:v>
                </c:pt>
                <c:pt idx="46">
                  <c:v>-7.9472959999999997</c:v>
                </c:pt>
                <c:pt idx="47">
                  <c:v>-8.4194879999999994</c:v>
                </c:pt>
                <c:pt idx="48">
                  <c:v>-7.9913600000000002</c:v>
                </c:pt>
                <c:pt idx="49">
                  <c:v>-8.224736</c:v>
                </c:pt>
                <c:pt idx="50">
                  <c:v>-8.2182080000000006</c:v>
                </c:pt>
                <c:pt idx="51">
                  <c:v>-8.5152319999999992</c:v>
                </c:pt>
                <c:pt idx="52">
                  <c:v>-8.2552000000000003</c:v>
                </c:pt>
                <c:pt idx="53">
                  <c:v>-8.3123199999999997</c:v>
                </c:pt>
                <c:pt idx="54">
                  <c:v>-8.0974400000000006</c:v>
                </c:pt>
                <c:pt idx="55">
                  <c:v>-7.9622559999999991</c:v>
                </c:pt>
                <c:pt idx="56">
                  <c:v>-8.6232159999999993</c:v>
                </c:pt>
                <c:pt idx="57">
                  <c:v>-8.5530399999999993</c:v>
                </c:pt>
                <c:pt idx="58">
                  <c:v>-8.6408959999999997</c:v>
                </c:pt>
                <c:pt idx="59">
                  <c:v>-8.1638079999999995</c:v>
                </c:pt>
                <c:pt idx="60">
                  <c:v>-8.1431359999999984</c:v>
                </c:pt>
                <c:pt idx="61">
                  <c:v>-9.2542559999999998</c:v>
                </c:pt>
                <c:pt idx="62">
                  <c:v>-9.1838079999999991</c:v>
                </c:pt>
                <c:pt idx="63">
                  <c:v>-8.6776159999999987</c:v>
                </c:pt>
                <c:pt idx="64">
                  <c:v>-8.6471520000000002</c:v>
                </c:pt>
                <c:pt idx="65">
                  <c:v>-8.6596639999999994</c:v>
                </c:pt>
                <c:pt idx="66">
                  <c:v>-8.7831519999999994</c:v>
                </c:pt>
                <c:pt idx="67">
                  <c:v>-7.9636159999999991</c:v>
                </c:pt>
                <c:pt idx="68">
                  <c:v>-8.8508800000000001</c:v>
                </c:pt>
                <c:pt idx="69">
                  <c:v>-9.3766559999999988</c:v>
                </c:pt>
                <c:pt idx="70">
                  <c:v>-8.5429760000000012</c:v>
                </c:pt>
                <c:pt idx="71">
                  <c:v>-8.050927999999999</c:v>
                </c:pt>
                <c:pt idx="72">
                  <c:v>-8.261455999999999</c:v>
                </c:pt>
                <c:pt idx="73">
                  <c:v>-8.1559200000000001</c:v>
                </c:pt>
                <c:pt idx="74">
                  <c:v>-8.5707199999999997</c:v>
                </c:pt>
                <c:pt idx="75">
                  <c:v>-8.6074400000000004</c:v>
                </c:pt>
                <c:pt idx="76">
                  <c:v>-8.7116159999999994</c:v>
                </c:pt>
                <c:pt idx="77">
                  <c:v>-8.7048159999999992</c:v>
                </c:pt>
                <c:pt idx="78">
                  <c:v>-8.5133279999999996</c:v>
                </c:pt>
                <c:pt idx="79">
                  <c:v>-8.9305760000000003</c:v>
                </c:pt>
                <c:pt idx="80">
                  <c:v>-8.5802399999999999</c:v>
                </c:pt>
                <c:pt idx="81">
                  <c:v>-8.0658880000000011</c:v>
                </c:pt>
                <c:pt idx="82">
                  <c:v>-8.3593759999999993</c:v>
                </c:pt>
                <c:pt idx="83">
                  <c:v>-8.3362559999999988</c:v>
                </c:pt>
                <c:pt idx="84">
                  <c:v>-8.4513119999999997</c:v>
                </c:pt>
                <c:pt idx="85">
                  <c:v>-9.0945919999999987</c:v>
                </c:pt>
                <c:pt idx="86">
                  <c:v>-8.9237760000000002</c:v>
                </c:pt>
                <c:pt idx="87">
                  <c:v>-8.0114879999999999</c:v>
                </c:pt>
                <c:pt idx="88">
                  <c:v>-7.9007839999999998</c:v>
                </c:pt>
                <c:pt idx="89">
                  <c:v>-8.0754079999999995</c:v>
                </c:pt>
                <c:pt idx="90">
                  <c:v>-7.7038559999999991</c:v>
                </c:pt>
                <c:pt idx="91">
                  <c:v>-8.2111359999999998</c:v>
                </c:pt>
                <c:pt idx="92">
                  <c:v>-7.6320480000000002</c:v>
                </c:pt>
                <c:pt idx="93">
                  <c:v>-7.7653280000000002</c:v>
                </c:pt>
                <c:pt idx="94">
                  <c:v>-8.0919999999999987</c:v>
                </c:pt>
                <c:pt idx="95">
                  <c:v>-7.7704959999999996</c:v>
                </c:pt>
                <c:pt idx="96">
                  <c:v>-8.2535679999999996</c:v>
                </c:pt>
                <c:pt idx="97">
                  <c:v>-7.511552</c:v>
                </c:pt>
                <c:pt idx="98">
                  <c:v>-7.3799039999999998</c:v>
                </c:pt>
                <c:pt idx="99">
                  <c:v>-8.6789759999999987</c:v>
                </c:pt>
                <c:pt idx="100">
                  <c:v>-8.9468960000000006</c:v>
                </c:pt>
                <c:pt idx="101">
                  <c:v>-8.2056959999999997</c:v>
                </c:pt>
                <c:pt idx="102">
                  <c:v>-8.7050879999999999</c:v>
                </c:pt>
                <c:pt idx="103">
                  <c:v>-8.8342880000000008</c:v>
                </c:pt>
                <c:pt idx="104">
                  <c:v>-8.6971999999999987</c:v>
                </c:pt>
                <c:pt idx="105">
                  <c:v>-8.6368159999999996</c:v>
                </c:pt>
                <c:pt idx="106">
                  <c:v>-8.4651839999999989</c:v>
                </c:pt>
                <c:pt idx="107">
                  <c:v>-8.1436799999999998</c:v>
                </c:pt>
                <c:pt idx="108">
                  <c:v>-8.3321759999999987</c:v>
                </c:pt>
                <c:pt idx="109">
                  <c:v>-8.2856640000000006</c:v>
                </c:pt>
                <c:pt idx="110">
                  <c:v>-7.8907200000000008</c:v>
                </c:pt>
                <c:pt idx="111">
                  <c:v>-8.4126879999999993</c:v>
                </c:pt>
                <c:pt idx="112">
                  <c:v>-8.0579999999999998</c:v>
                </c:pt>
                <c:pt idx="113">
                  <c:v>-8.2190239999999992</c:v>
                </c:pt>
                <c:pt idx="114">
                  <c:v>-8.2976320000000001</c:v>
                </c:pt>
                <c:pt idx="115">
                  <c:v>-8.4630080000000003</c:v>
                </c:pt>
                <c:pt idx="116">
                  <c:v>-8.3446879999999997</c:v>
                </c:pt>
                <c:pt idx="117">
                  <c:v>-7.9859200000000001</c:v>
                </c:pt>
                <c:pt idx="118">
                  <c:v>-8.1757760000000008</c:v>
                </c:pt>
                <c:pt idx="119">
                  <c:v>-8.553312</c:v>
                </c:pt>
                <c:pt idx="120">
                  <c:v>-8.5620159999999998</c:v>
                </c:pt>
                <c:pt idx="121">
                  <c:v>-8.5712639999999993</c:v>
                </c:pt>
                <c:pt idx="122">
                  <c:v>-8.3419679999999996</c:v>
                </c:pt>
                <c:pt idx="123">
                  <c:v>-8.2546560000000007</c:v>
                </c:pt>
                <c:pt idx="124">
                  <c:v>-9.2675840000000012</c:v>
                </c:pt>
                <c:pt idx="125">
                  <c:v>-9.1019359999999985</c:v>
                </c:pt>
                <c:pt idx="126">
                  <c:v>-8.6806079999999994</c:v>
                </c:pt>
                <c:pt idx="127">
                  <c:v>-8.6686399999999999</c:v>
                </c:pt>
                <c:pt idx="128">
                  <c:v>-8.6743520000000007</c:v>
                </c:pt>
                <c:pt idx="129">
                  <c:v>-8.7777119999999993</c:v>
                </c:pt>
                <c:pt idx="130">
                  <c:v>-7.9967999999999995</c:v>
                </c:pt>
                <c:pt idx="131">
                  <c:v>-8.0351520000000001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010-4146-BE25-96A699CCEC71}"/>
            </c:ext>
          </c:extLst>
        </c:ser>
        <c:ser>
          <c:idx val="1"/>
          <c:order val="1"/>
          <c:tx>
            <c:v>Perfect line</c:v>
          </c:tx>
          <c:spPr>
            <a:ln w="25400" cap="rnd">
              <a:solidFill>
                <a:schemeClr val="bg1">
                  <a:lumMod val="8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'xTB vs DFT HOMO'!$B$2:$B$133</c:f>
              <c:numCache>
                <c:formatCode>General</c:formatCode>
                <c:ptCount val="132"/>
                <c:pt idx="0">
                  <c:v>-12.9702</c:v>
                </c:pt>
                <c:pt idx="1">
                  <c:v>-12.897500000000001</c:v>
                </c:pt>
                <c:pt idx="2">
                  <c:v>-13.1647</c:v>
                </c:pt>
                <c:pt idx="3">
                  <c:v>-12.5177</c:v>
                </c:pt>
                <c:pt idx="4">
                  <c:v>-12.6152</c:v>
                </c:pt>
                <c:pt idx="5">
                  <c:v>-12.494</c:v>
                </c:pt>
                <c:pt idx="6">
                  <c:v>-12.6158</c:v>
                </c:pt>
                <c:pt idx="7">
                  <c:v>-12.4956</c:v>
                </c:pt>
                <c:pt idx="8">
                  <c:v>-12.6046</c:v>
                </c:pt>
                <c:pt idx="9">
                  <c:v>-12.5868</c:v>
                </c:pt>
                <c:pt idx="10">
                  <c:v>-12.6991</c:v>
                </c:pt>
                <c:pt idx="11">
                  <c:v>-12.2233</c:v>
                </c:pt>
                <c:pt idx="12">
                  <c:v>-12.549099999999999</c:v>
                </c:pt>
                <c:pt idx="13">
                  <c:v>-12.9428</c:v>
                </c:pt>
                <c:pt idx="14">
                  <c:v>-12.8117</c:v>
                </c:pt>
                <c:pt idx="15">
                  <c:v>-12.9084</c:v>
                </c:pt>
                <c:pt idx="16">
                  <c:v>-12.7232</c:v>
                </c:pt>
                <c:pt idx="17">
                  <c:v>-12.7226</c:v>
                </c:pt>
                <c:pt idx="18">
                  <c:v>-12.811199999999999</c:v>
                </c:pt>
                <c:pt idx="19">
                  <c:v>-12.7803</c:v>
                </c:pt>
                <c:pt idx="20">
                  <c:v>-12.5762</c:v>
                </c:pt>
                <c:pt idx="21">
                  <c:v>-13.1076</c:v>
                </c:pt>
                <c:pt idx="22">
                  <c:v>-12.923999999999999</c:v>
                </c:pt>
                <c:pt idx="23">
                  <c:v>-12.588200000000001</c:v>
                </c:pt>
                <c:pt idx="24">
                  <c:v>-12.506500000000001</c:v>
                </c:pt>
                <c:pt idx="25">
                  <c:v>-12.7425</c:v>
                </c:pt>
                <c:pt idx="26">
                  <c:v>-12.161</c:v>
                </c:pt>
                <c:pt idx="27">
                  <c:v>-12.2967</c:v>
                </c:pt>
                <c:pt idx="28">
                  <c:v>-12.1699</c:v>
                </c:pt>
                <c:pt idx="29">
                  <c:v>-12.5837</c:v>
                </c:pt>
                <c:pt idx="30">
                  <c:v>-12.6911</c:v>
                </c:pt>
                <c:pt idx="31">
                  <c:v>-12.738099999999999</c:v>
                </c:pt>
                <c:pt idx="32">
                  <c:v>-12.1396</c:v>
                </c:pt>
                <c:pt idx="33">
                  <c:v>-12.835699999999999</c:v>
                </c:pt>
                <c:pt idx="34">
                  <c:v>-12.371499999999999</c:v>
                </c:pt>
                <c:pt idx="35">
                  <c:v>-12.360900000000001</c:v>
                </c:pt>
                <c:pt idx="36">
                  <c:v>-12.5854</c:v>
                </c:pt>
                <c:pt idx="37">
                  <c:v>-12.9254</c:v>
                </c:pt>
                <c:pt idx="38">
                  <c:v>-12.553900000000001</c:v>
                </c:pt>
                <c:pt idx="39">
                  <c:v>-12.6159</c:v>
                </c:pt>
                <c:pt idx="40">
                  <c:v>-12.597099999999999</c:v>
                </c:pt>
                <c:pt idx="41">
                  <c:v>-12.5815</c:v>
                </c:pt>
                <c:pt idx="42">
                  <c:v>-12.412000000000001</c:v>
                </c:pt>
                <c:pt idx="43">
                  <c:v>-12.1557</c:v>
                </c:pt>
                <c:pt idx="44">
                  <c:v>-12.733000000000001</c:v>
                </c:pt>
                <c:pt idx="45">
                  <c:v>-12.4285</c:v>
                </c:pt>
                <c:pt idx="46">
                  <c:v>-12.0442</c:v>
                </c:pt>
                <c:pt idx="47">
                  <c:v>-12.2943</c:v>
                </c:pt>
                <c:pt idx="48">
                  <c:v>-12.3124</c:v>
                </c:pt>
                <c:pt idx="49">
                  <c:v>-12.4269</c:v>
                </c:pt>
                <c:pt idx="50">
                  <c:v>-12.4316</c:v>
                </c:pt>
                <c:pt idx="51">
                  <c:v>-12.6074</c:v>
                </c:pt>
                <c:pt idx="52">
                  <c:v>-12.4681</c:v>
                </c:pt>
                <c:pt idx="53">
                  <c:v>-12.7271</c:v>
                </c:pt>
                <c:pt idx="54">
                  <c:v>-12.3666</c:v>
                </c:pt>
                <c:pt idx="55">
                  <c:v>-12.5237</c:v>
                </c:pt>
                <c:pt idx="56">
                  <c:v>-12.6532</c:v>
                </c:pt>
                <c:pt idx="57">
                  <c:v>-12.7926</c:v>
                </c:pt>
                <c:pt idx="58">
                  <c:v>-12.7387</c:v>
                </c:pt>
                <c:pt idx="59">
                  <c:v>-12.444900000000001</c:v>
                </c:pt>
                <c:pt idx="60">
                  <c:v>-12.4671</c:v>
                </c:pt>
                <c:pt idx="61">
                  <c:v>-13.2005</c:v>
                </c:pt>
                <c:pt idx="62">
                  <c:v>-12.899900000000001</c:v>
                </c:pt>
                <c:pt idx="63">
                  <c:v>-12.6104</c:v>
                </c:pt>
                <c:pt idx="64">
                  <c:v>-12.456300000000001</c:v>
                </c:pt>
                <c:pt idx="65">
                  <c:v>-12.4924</c:v>
                </c:pt>
                <c:pt idx="66">
                  <c:v>-12.5686</c:v>
                </c:pt>
                <c:pt idx="67">
                  <c:v>-12.5229</c:v>
                </c:pt>
                <c:pt idx="68">
                  <c:v>-12.8904</c:v>
                </c:pt>
                <c:pt idx="69">
                  <c:v>-13.187799999999999</c:v>
                </c:pt>
                <c:pt idx="70">
                  <c:v>-12.805899999999999</c:v>
                </c:pt>
                <c:pt idx="71">
                  <c:v>-12.419600000000001</c:v>
                </c:pt>
                <c:pt idx="72">
                  <c:v>-12.55</c:v>
                </c:pt>
                <c:pt idx="73">
                  <c:v>-12.5183</c:v>
                </c:pt>
                <c:pt idx="74">
                  <c:v>-12.606</c:v>
                </c:pt>
                <c:pt idx="75">
                  <c:v>-12.6968</c:v>
                </c:pt>
                <c:pt idx="76">
                  <c:v>-12.673299999999999</c:v>
                </c:pt>
                <c:pt idx="77">
                  <c:v>-12.6066</c:v>
                </c:pt>
                <c:pt idx="78">
                  <c:v>-12.582599999999999</c:v>
                </c:pt>
                <c:pt idx="79">
                  <c:v>-12.814500000000001</c:v>
                </c:pt>
                <c:pt idx="80">
                  <c:v>-12.405799999999999</c:v>
                </c:pt>
                <c:pt idx="81">
                  <c:v>-12.5223</c:v>
                </c:pt>
                <c:pt idx="82">
                  <c:v>-12.714</c:v>
                </c:pt>
                <c:pt idx="83">
                  <c:v>-12.8391</c:v>
                </c:pt>
                <c:pt idx="84">
                  <c:v>-12.7431</c:v>
                </c:pt>
                <c:pt idx="85">
                  <c:v>-13.164899999999999</c:v>
                </c:pt>
                <c:pt idx="86">
                  <c:v>-12.946400000000001</c:v>
                </c:pt>
                <c:pt idx="87">
                  <c:v>-12.610200000000001</c:v>
                </c:pt>
                <c:pt idx="88">
                  <c:v>-12.5084</c:v>
                </c:pt>
                <c:pt idx="89">
                  <c:v>-12.7067</c:v>
                </c:pt>
                <c:pt idx="90">
                  <c:v>-12.1661</c:v>
                </c:pt>
                <c:pt idx="91">
                  <c:v>-12.8246</c:v>
                </c:pt>
                <c:pt idx="92">
                  <c:v>-12.1892</c:v>
                </c:pt>
                <c:pt idx="93">
                  <c:v>-12.287599999999999</c:v>
                </c:pt>
                <c:pt idx="94">
                  <c:v>-12.4747</c:v>
                </c:pt>
                <c:pt idx="95">
                  <c:v>-12.4217</c:v>
                </c:pt>
                <c:pt idx="96">
                  <c:v>-12.277799999999999</c:v>
                </c:pt>
                <c:pt idx="97">
                  <c:v>-11.875299999999999</c:v>
                </c:pt>
                <c:pt idx="98">
                  <c:v>-12.1858</c:v>
                </c:pt>
                <c:pt idx="99">
                  <c:v>-12.614100000000001</c:v>
                </c:pt>
                <c:pt idx="100">
                  <c:v>-12.927300000000001</c:v>
                </c:pt>
                <c:pt idx="101">
                  <c:v>-12.523899999999999</c:v>
                </c:pt>
                <c:pt idx="102">
                  <c:v>-12.632899999999999</c:v>
                </c:pt>
                <c:pt idx="103">
                  <c:v>-12.596399999999999</c:v>
                </c:pt>
                <c:pt idx="104">
                  <c:v>-12.4994</c:v>
                </c:pt>
                <c:pt idx="105">
                  <c:v>-12.5535</c:v>
                </c:pt>
                <c:pt idx="106">
                  <c:v>-12.5565</c:v>
                </c:pt>
                <c:pt idx="107">
                  <c:v>-12.1134</c:v>
                </c:pt>
                <c:pt idx="108">
                  <c:v>-12.662000000000001</c:v>
                </c:pt>
                <c:pt idx="109">
                  <c:v>-12.4498</c:v>
                </c:pt>
                <c:pt idx="110">
                  <c:v>-12.223100000000001</c:v>
                </c:pt>
                <c:pt idx="111">
                  <c:v>-12.3065</c:v>
                </c:pt>
                <c:pt idx="112">
                  <c:v>-12.1911</c:v>
                </c:pt>
                <c:pt idx="113">
                  <c:v>-12.280099999999999</c:v>
                </c:pt>
                <c:pt idx="114">
                  <c:v>-12.234400000000001</c:v>
                </c:pt>
                <c:pt idx="115">
                  <c:v>-12.484400000000001</c:v>
                </c:pt>
                <c:pt idx="116">
                  <c:v>-12.7285</c:v>
                </c:pt>
                <c:pt idx="117">
                  <c:v>-12.7159</c:v>
                </c:pt>
                <c:pt idx="118">
                  <c:v>-12.360799999999999</c:v>
                </c:pt>
                <c:pt idx="119">
                  <c:v>-12.821</c:v>
                </c:pt>
                <c:pt idx="120">
                  <c:v>-12.7471</c:v>
                </c:pt>
                <c:pt idx="121">
                  <c:v>-12.7852</c:v>
                </c:pt>
                <c:pt idx="122">
                  <c:v>-12.5366</c:v>
                </c:pt>
                <c:pt idx="123">
                  <c:v>-12.5548</c:v>
                </c:pt>
                <c:pt idx="124">
                  <c:v>-13.216699999999999</c:v>
                </c:pt>
                <c:pt idx="125">
                  <c:v>-12.8644</c:v>
                </c:pt>
                <c:pt idx="126">
                  <c:v>-12.6081</c:v>
                </c:pt>
                <c:pt idx="127">
                  <c:v>-12.482799999999999</c:v>
                </c:pt>
                <c:pt idx="128">
                  <c:v>-12.5909</c:v>
                </c:pt>
                <c:pt idx="129">
                  <c:v>-12.6105</c:v>
                </c:pt>
                <c:pt idx="130">
                  <c:v>-12.5778</c:v>
                </c:pt>
                <c:pt idx="131">
                  <c:v>-12.574999999999999</c:v>
                </c:pt>
              </c:numCache>
            </c:numRef>
          </c:xVal>
          <c:yVal>
            <c:numRef>
              <c:f>'xTB vs DFT HOMO'!#REF!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010-4146-BE25-96A699CCEC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5447664"/>
        <c:axId val="745434704"/>
      </c:scatterChart>
      <c:valAx>
        <c:axId val="745447664"/>
        <c:scaling>
          <c:orientation val="minMax"/>
          <c:max val="-11.7"/>
          <c:min val="-13.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400" b="0" i="1" u="none" strike="noStrike" kern="1200" baseline="0">
                    <a:solidFill>
                      <a:sysClr val="windowText" lastClr="000000"/>
                    </a:solidFill>
                    <a:latin typeface="+mn-lt"/>
                    <a:cs typeface="Times New Roman" panose="02020603050405020304" pitchFamily="18" charset="0"/>
                  </a:rPr>
                  <a:t>ε</a:t>
                </a:r>
                <a:r>
                  <a:rPr lang="en-GB" sz="1400" b="0" i="0" u="none" strike="noStrike" kern="1200" baseline="-25000">
                    <a:solidFill>
                      <a:sysClr val="windowText" lastClr="000000"/>
                    </a:solidFill>
                    <a:latin typeface="+mn-lt"/>
                  </a:rPr>
                  <a:t>HOMO,xTB </a:t>
                </a:r>
                <a:r>
                  <a:rPr lang="en-GB"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</a:rPr>
                  <a:t>(</a:t>
                </a:r>
                <a:r>
                  <a:rPr lang="en-IN" sz="1400" b="0" i="0" u="none" strike="noStrike" kern="1200" baseline="0">
                    <a:solidFill>
                      <a:sysClr val="windowText" lastClr="000000"/>
                    </a:solidFill>
                    <a:effectLst/>
                    <a:latin typeface="+mn-lt"/>
                  </a:rPr>
                  <a:t>eV</a:t>
                </a:r>
                <a:r>
                  <a:rPr lang="en-GB"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</a:rPr>
                  <a:t>)</a:t>
                </a:r>
                <a:endParaRPr lang="en-IN" sz="1400" b="0" i="0" u="none" strike="noStrike" kern="1200" baseline="0">
                  <a:solidFill>
                    <a:sysClr val="windowText" lastClr="000000"/>
                  </a:solidFill>
                  <a:latin typeface="+mn-lt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434704"/>
        <c:crosses val="autoZero"/>
        <c:crossBetween val="midCat"/>
      </c:valAx>
      <c:valAx>
        <c:axId val="745434704"/>
        <c:scaling>
          <c:orientation val="minMax"/>
          <c:max val="-7.5"/>
          <c:min val="-13.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400" b="0" i="1" u="none" strike="noStrike" kern="1200" baseline="0">
                    <a:solidFill>
                      <a:sysClr val="windowText" lastClr="000000"/>
                    </a:solidFill>
                    <a:latin typeface="+mn-lt"/>
                    <a:cs typeface="Times New Roman" panose="02020603050405020304" pitchFamily="18" charset="0"/>
                  </a:rPr>
                  <a:t>ε</a:t>
                </a:r>
                <a:r>
                  <a:rPr lang="en-GB" sz="1400" b="0" i="0" u="none" strike="noStrike" kern="1200" baseline="-25000">
                    <a:solidFill>
                      <a:sysClr val="windowText" lastClr="000000"/>
                    </a:solidFill>
                    <a:latin typeface="+mn-lt"/>
                  </a:rPr>
                  <a:t>HOMO,DFT </a:t>
                </a:r>
                <a:r>
                  <a:rPr lang="en-GB"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</a:rPr>
                  <a:t>(</a:t>
                </a:r>
                <a:r>
                  <a:rPr lang="en-IN" sz="1400" b="0" i="0" u="none" strike="noStrike" kern="1200" baseline="0">
                    <a:solidFill>
                      <a:sysClr val="windowText" lastClr="000000"/>
                    </a:solidFill>
                    <a:effectLst/>
                    <a:latin typeface="+mn-lt"/>
                  </a:rPr>
                  <a:t>eV</a:t>
                </a:r>
                <a:r>
                  <a:rPr lang="en-GB"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</a:rPr>
                  <a:t>)</a:t>
                </a:r>
                <a:endParaRPr lang="en-IN" sz="1400" b="0" i="0" u="none" strike="noStrike" kern="1200" baseline="0">
                  <a:solidFill>
                    <a:sysClr val="windowText" lastClr="000000"/>
                  </a:solidFill>
                  <a:latin typeface="+mn-lt"/>
                </a:endParaRPr>
              </a:p>
            </c:rich>
          </c:tx>
          <c:layout>
            <c:manualLayout>
              <c:xMode val="edge"/>
              <c:yMode val="edge"/>
              <c:x val="2.7385301131846917E-4"/>
              <c:y val="0.3784601924759405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4476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4173737991488932E-2"/>
          <c:y val="0.89313466025080201"/>
          <c:w val="0.89165266841644797"/>
          <c:h val="8.37171916010498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l-GR" sz="1600" b="1" i="1" u="none" strike="noStrike" kern="1200" spc="0" baseline="0">
                <a:solidFill>
                  <a:sysClr val="windowText" lastClr="000000"/>
                </a:solidFill>
                <a:cs typeface="Times New Roman" panose="02020603050405020304" pitchFamily="18" charset="0"/>
              </a:rPr>
              <a:t>ε</a:t>
            </a:r>
            <a:r>
              <a:rPr lang="en-GB" sz="1600" b="1" i="0" u="none" strike="noStrike" kern="1200" spc="0" baseline="-25000">
                <a:solidFill>
                  <a:sysClr val="windowText" lastClr="000000"/>
                </a:solidFill>
              </a:rPr>
              <a:t>LUMO</a:t>
            </a:r>
            <a:endParaRPr lang="en-IN" sz="1600" b="1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510410691134390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11024692301811788"/>
          <c:y val="0.17374999999999999"/>
          <c:w val="0.84452666717631175"/>
          <c:h val="0.53841243802857974"/>
        </c:manualLayout>
      </c:layout>
      <c:scatterChart>
        <c:scatterStyle val="lineMarker"/>
        <c:varyColors val="0"/>
        <c:ser>
          <c:idx val="0"/>
          <c:order val="0"/>
          <c:tx>
            <c:v>Data points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25400" cap="rnd">
                <a:solidFill>
                  <a:schemeClr val="accent6">
                    <a:lumMod val="75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0487871565599215"/>
                  <c:y val="-0.15091243802857976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000" b="1" i="0" u="none" strike="noStrike" kern="120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000" b="1" baseline="0"/>
                      <a:t>y = </a:t>
                    </a:r>
                    <a:r>
                      <a:rPr lang="el-GR" sz="1000" b="1" i="1" u="none" strike="noStrike" baseline="0">
                        <a:effectLst/>
                      </a:rPr>
                      <a:t>ε</a:t>
                    </a:r>
                    <a:r>
                      <a:rPr lang="en-GB" sz="1000" b="1" i="0" u="none" strike="noStrike" baseline="-25000">
                        <a:effectLst/>
                      </a:rPr>
                      <a:t>LUMO,DFT</a:t>
                    </a:r>
                    <a:r>
                      <a:rPr lang="en-US" sz="1000" b="1" baseline="0"/>
                      <a:t>1.14</a:t>
                    </a:r>
                    <a:r>
                      <a:rPr lang="el-GR" sz="1000" b="1" i="1" u="none" strike="noStrike" baseline="0">
                        <a:effectLst/>
                      </a:rPr>
                      <a:t>ε</a:t>
                    </a:r>
                    <a:r>
                      <a:rPr lang="en-GB" sz="1000" b="1" i="0" u="none" strike="noStrike" baseline="-25000">
                        <a:effectLst/>
                      </a:rPr>
                      <a:t>LUMO,xTB </a:t>
                    </a:r>
                    <a:r>
                      <a:rPr lang="en-US" sz="1000" b="1" baseline="0"/>
                      <a:t> - 7.80</a:t>
                    </a:r>
                    <a:br>
                      <a:rPr lang="en-US" sz="1000" b="1" baseline="0"/>
                    </a:br>
                    <a:r>
                      <a:rPr lang="en-US" sz="1000" b="1" baseline="0"/>
                      <a:t>R² = 0.01</a:t>
                    </a:r>
                    <a:endParaRPr lang="en-IN" sz="1000" b="1" i="0" u="none" strike="noStrike" baseline="0">
                      <a:effectLst/>
                    </a:endParaRPr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IN" sz="1000" b="1" i="0" u="none" strike="noStrike" baseline="0">
                        <a:effectLst/>
                      </a:rPr>
                      <a:t>Pearson R = -0.09</a:t>
                    </a:r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IN" sz="1000" b="1" i="0" u="none" strike="noStrike" baseline="0">
                        <a:effectLst/>
                      </a:rPr>
                      <a:t>MAE = 17.36eV</a:t>
                    </a:r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IN" sz="1000" b="1" i="0" u="none" strike="noStrike" baseline="0">
                        <a:effectLst/>
                      </a:rPr>
                      <a:t>RMSE = 17.60eV</a:t>
                    </a:r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IN" sz="1000" b="1" i="0" u="none" strike="noStrike" baseline="0">
                        <a:effectLst/>
                      </a:rPr>
                      <a:t>N = 136</a:t>
                    </a:r>
                    <a:endParaRPr lang="en-US" sz="1000" b="1" baseline="0"/>
                  </a:p>
                </c:rich>
              </c:tx>
              <c:numFmt formatCode="General" sourceLinked="0"/>
              <c:spPr>
                <a:solidFill>
                  <a:schemeClr val="bg1">
                    <a:lumMod val="9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IN"/>
                </a:p>
              </c:txPr>
            </c:trendlineLbl>
          </c:trendline>
          <c:xVal>
            <c:numRef>
              <c:f>'xTB vs DFT LUMO'!$B$2:$B$137</c:f>
              <c:numCache>
                <c:formatCode>General</c:formatCode>
                <c:ptCount val="136"/>
                <c:pt idx="0">
                  <c:v>-11.907999999999999</c:v>
                </c:pt>
                <c:pt idx="1">
                  <c:v>-11.8269</c:v>
                </c:pt>
                <c:pt idx="2">
                  <c:v>-12.111700000000001</c:v>
                </c:pt>
                <c:pt idx="3">
                  <c:v>-11.961399999999999</c:v>
                </c:pt>
                <c:pt idx="4">
                  <c:v>-11.6816</c:v>
                </c:pt>
                <c:pt idx="5">
                  <c:v>-11.932499999999999</c:v>
                </c:pt>
                <c:pt idx="6">
                  <c:v>-11.775600000000001</c:v>
                </c:pt>
                <c:pt idx="7">
                  <c:v>-11.691000000000001</c:v>
                </c:pt>
                <c:pt idx="8">
                  <c:v>-11.708</c:v>
                </c:pt>
                <c:pt idx="9">
                  <c:v>-11.734999999999999</c:v>
                </c:pt>
                <c:pt idx="10">
                  <c:v>-11.756399999999999</c:v>
                </c:pt>
                <c:pt idx="11">
                  <c:v>-11.267200000000001</c:v>
                </c:pt>
                <c:pt idx="12">
                  <c:v>-11.6922</c:v>
                </c:pt>
                <c:pt idx="13">
                  <c:v>-12.0276</c:v>
                </c:pt>
                <c:pt idx="14">
                  <c:v>-11.859299999999999</c:v>
                </c:pt>
                <c:pt idx="15">
                  <c:v>-11.3811</c:v>
                </c:pt>
                <c:pt idx="16">
                  <c:v>-11.9413</c:v>
                </c:pt>
                <c:pt idx="17">
                  <c:v>-12.1881</c:v>
                </c:pt>
                <c:pt idx="18">
                  <c:v>-11.8154</c:v>
                </c:pt>
                <c:pt idx="19">
                  <c:v>-11.9247</c:v>
                </c:pt>
                <c:pt idx="20">
                  <c:v>-11.961600000000001</c:v>
                </c:pt>
                <c:pt idx="21">
                  <c:v>-11.815300000000001</c:v>
                </c:pt>
                <c:pt idx="22">
                  <c:v>-11.9903</c:v>
                </c:pt>
                <c:pt idx="23">
                  <c:v>-11.7859</c:v>
                </c:pt>
                <c:pt idx="24">
                  <c:v>-11.498200000000001</c:v>
                </c:pt>
                <c:pt idx="25">
                  <c:v>-11.6127</c:v>
                </c:pt>
                <c:pt idx="26">
                  <c:v>-11.7165</c:v>
                </c:pt>
                <c:pt idx="27">
                  <c:v>-11.7707</c:v>
                </c:pt>
                <c:pt idx="28">
                  <c:v>-11.5954</c:v>
                </c:pt>
                <c:pt idx="29">
                  <c:v>-11.321400000000001</c:v>
                </c:pt>
                <c:pt idx="30">
                  <c:v>-11.8353</c:v>
                </c:pt>
                <c:pt idx="31">
                  <c:v>-12.2761</c:v>
                </c:pt>
                <c:pt idx="32">
                  <c:v>-12.300800000000001</c:v>
                </c:pt>
                <c:pt idx="33">
                  <c:v>-12.271599999999999</c:v>
                </c:pt>
                <c:pt idx="34">
                  <c:v>-12.020200000000001</c:v>
                </c:pt>
                <c:pt idx="35">
                  <c:v>-11.977399999999999</c:v>
                </c:pt>
                <c:pt idx="36">
                  <c:v>-11.8774</c:v>
                </c:pt>
                <c:pt idx="37">
                  <c:v>-11.998799999999999</c:v>
                </c:pt>
                <c:pt idx="38">
                  <c:v>-11.808400000000001</c:v>
                </c:pt>
                <c:pt idx="39">
                  <c:v>-11.892300000000001</c:v>
                </c:pt>
                <c:pt idx="40">
                  <c:v>-11.829800000000001</c:v>
                </c:pt>
                <c:pt idx="41">
                  <c:v>-11.837199999999999</c:v>
                </c:pt>
                <c:pt idx="42">
                  <c:v>-11.8629</c:v>
                </c:pt>
                <c:pt idx="43">
                  <c:v>-11.6861</c:v>
                </c:pt>
                <c:pt idx="44">
                  <c:v>-11.666</c:v>
                </c:pt>
                <c:pt idx="45">
                  <c:v>-11.4716</c:v>
                </c:pt>
                <c:pt idx="46">
                  <c:v>-11.882199999999999</c:v>
                </c:pt>
                <c:pt idx="47">
                  <c:v>-11.583299999999999</c:v>
                </c:pt>
                <c:pt idx="48">
                  <c:v>-11.3119</c:v>
                </c:pt>
                <c:pt idx="49">
                  <c:v>-11.5084</c:v>
                </c:pt>
                <c:pt idx="50">
                  <c:v>-11.538500000000001</c:v>
                </c:pt>
                <c:pt idx="51">
                  <c:v>-11.520099999999999</c:v>
                </c:pt>
                <c:pt idx="52">
                  <c:v>-11.522</c:v>
                </c:pt>
                <c:pt idx="53">
                  <c:v>-11.6005</c:v>
                </c:pt>
                <c:pt idx="54">
                  <c:v>-11.69</c:v>
                </c:pt>
                <c:pt idx="55">
                  <c:v>-12.492900000000001</c:v>
                </c:pt>
                <c:pt idx="56">
                  <c:v>-11.579000000000001</c:v>
                </c:pt>
                <c:pt idx="57">
                  <c:v>-11.517300000000001</c:v>
                </c:pt>
                <c:pt idx="58">
                  <c:v>-11.837300000000001</c:v>
                </c:pt>
                <c:pt idx="59">
                  <c:v>-12.049300000000001</c:v>
                </c:pt>
                <c:pt idx="60">
                  <c:v>-11.7531</c:v>
                </c:pt>
                <c:pt idx="61">
                  <c:v>-11.55</c:v>
                </c:pt>
                <c:pt idx="62">
                  <c:v>-11.5334</c:v>
                </c:pt>
                <c:pt idx="63">
                  <c:v>-12.171900000000001</c:v>
                </c:pt>
                <c:pt idx="64">
                  <c:v>-11.8652</c:v>
                </c:pt>
                <c:pt idx="65">
                  <c:v>-11.803599999999999</c:v>
                </c:pt>
                <c:pt idx="66">
                  <c:v>-11.6944</c:v>
                </c:pt>
                <c:pt idx="67">
                  <c:v>-11.7044</c:v>
                </c:pt>
                <c:pt idx="68">
                  <c:v>-11.770899999999999</c:v>
                </c:pt>
                <c:pt idx="69">
                  <c:v>-11.523300000000001</c:v>
                </c:pt>
                <c:pt idx="70">
                  <c:v>-11.8362</c:v>
                </c:pt>
                <c:pt idx="71">
                  <c:v>-12.164400000000001</c:v>
                </c:pt>
                <c:pt idx="72">
                  <c:v>-11.7165</c:v>
                </c:pt>
                <c:pt idx="73">
                  <c:v>-11.5915</c:v>
                </c:pt>
                <c:pt idx="74">
                  <c:v>-11.751200000000001</c:v>
                </c:pt>
                <c:pt idx="75">
                  <c:v>-11.6746</c:v>
                </c:pt>
                <c:pt idx="76">
                  <c:v>-11.71</c:v>
                </c:pt>
                <c:pt idx="77">
                  <c:v>-11.7784</c:v>
                </c:pt>
                <c:pt idx="78">
                  <c:v>-11.810600000000001</c:v>
                </c:pt>
                <c:pt idx="79">
                  <c:v>-11.930300000000001</c:v>
                </c:pt>
                <c:pt idx="80">
                  <c:v>-11.703200000000001</c:v>
                </c:pt>
                <c:pt idx="81">
                  <c:v>-11.860799999999999</c:v>
                </c:pt>
                <c:pt idx="82">
                  <c:v>-11.8522</c:v>
                </c:pt>
                <c:pt idx="83">
                  <c:v>-12.377000000000001</c:v>
                </c:pt>
                <c:pt idx="84">
                  <c:v>-11.8294</c:v>
                </c:pt>
                <c:pt idx="85">
                  <c:v>-11.929399999999999</c:v>
                </c:pt>
                <c:pt idx="86">
                  <c:v>-11.9733</c:v>
                </c:pt>
                <c:pt idx="87">
                  <c:v>-11.127700000000001</c:v>
                </c:pt>
                <c:pt idx="88">
                  <c:v>-11.991899999999999</c:v>
                </c:pt>
                <c:pt idx="89">
                  <c:v>-11.3581</c:v>
                </c:pt>
                <c:pt idx="90">
                  <c:v>-11.850300000000001</c:v>
                </c:pt>
                <c:pt idx="91">
                  <c:v>-11.6205</c:v>
                </c:pt>
                <c:pt idx="92">
                  <c:v>-11.7356</c:v>
                </c:pt>
                <c:pt idx="93">
                  <c:v>-11.8102</c:v>
                </c:pt>
                <c:pt idx="94">
                  <c:v>-11.718500000000001</c:v>
                </c:pt>
                <c:pt idx="95">
                  <c:v>-11.8378</c:v>
                </c:pt>
                <c:pt idx="96">
                  <c:v>-11.6732</c:v>
                </c:pt>
                <c:pt idx="97">
                  <c:v>-12.1403</c:v>
                </c:pt>
                <c:pt idx="98">
                  <c:v>-12.214700000000001</c:v>
                </c:pt>
                <c:pt idx="99">
                  <c:v>-11.5884</c:v>
                </c:pt>
                <c:pt idx="100">
                  <c:v>-11.911099999999999</c:v>
                </c:pt>
                <c:pt idx="101">
                  <c:v>-11.779500000000001</c:v>
                </c:pt>
                <c:pt idx="102">
                  <c:v>-11.8714</c:v>
                </c:pt>
                <c:pt idx="103">
                  <c:v>-11.8666</c:v>
                </c:pt>
                <c:pt idx="104">
                  <c:v>-11.889200000000001</c:v>
                </c:pt>
                <c:pt idx="105">
                  <c:v>-11.8086</c:v>
                </c:pt>
                <c:pt idx="106">
                  <c:v>-11.7637</c:v>
                </c:pt>
                <c:pt idx="107">
                  <c:v>-11.8209</c:v>
                </c:pt>
                <c:pt idx="108">
                  <c:v>-11.818300000000001</c:v>
                </c:pt>
                <c:pt idx="109">
                  <c:v>-11.6395</c:v>
                </c:pt>
                <c:pt idx="110">
                  <c:v>-11.774699999999999</c:v>
                </c:pt>
                <c:pt idx="111">
                  <c:v>-11.4998</c:v>
                </c:pt>
                <c:pt idx="112">
                  <c:v>-11.9489</c:v>
                </c:pt>
                <c:pt idx="113">
                  <c:v>-11.613799999999999</c:v>
                </c:pt>
                <c:pt idx="114">
                  <c:v>-11.401</c:v>
                </c:pt>
                <c:pt idx="115">
                  <c:v>-11.4558</c:v>
                </c:pt>
                <c:pt idx="116">
                  <c:v>-11.476800000000001</c:v>
                </c:pt>
                <c:pt idx="117">
                  <c:v>-11.5382</c:v>
                </c:pt>
                <c:pt idx="118">
                  <c:v>-11.790699999999999</c:v>
                </c:pt>
                <c:pt idx="119">
                  <c:v>-11.6038</c:v>
                </c:pt>
                <c:pt idx="120">
                  <c:v>-11.7448</c:v>
                </c:pt>
                <c:pt idx="121">
                  <c:v>-12.475</c:v>
                </c:pt>
                <c:pt idx="122">
                  <c:v>-11.653499999999999</c:v>
                </c:pt>
                <c:pt idx="123">
                  <c:v>-11.868600000000001</c:v>
                </c:pt>
                <c:pt idx="124">
                  <c:v>-11.8658</c:v>
                </c:pt>
                <c:pt idx="125">
                  <c:v>-11.7272</c:v>
                </c:pt>
                <c:pt idx="126">
                  <c:v>-11.620200000000001</c:v>
                </c:pt>
                <c:pt idx="127">
                  <c:v>-11.676</c:v>
                </c:pt>
                <c:pt idx="128">
                  <c:v>-12.178000000000001</c:v>
                </c:pt>
                <c:pt idx="129">
                  <c:v>-11.8635</c:v>
                </c:pt>
                <c:pt idx="130">
                  <c:v>-11.8</c:v>
                </c:pt>
                <c:pt idx="131">
                  <c:v>-11.795299999999999</c:v>
                </c:pt>
                <c:pt idx="132">
                  <c:v>-11.7906</c:v>
                </c:pt>
                <c:pt idx="133">
                  <c:v>-11.818899999999999</c:v>
                </c:pt>
                <c:pt idx="134">
                  <c:v>-11.495699999999999</c:v>
                </c:pt>
                <c:pt idx="135">
                  <c:v>-11.495799999999999</c:v>
                </c:pt>
              </c:numCache>
            </c:numRef>
          </c:xVal>
          <c:yVal>
            <c:numRef>
              <c:f>'xTB vs DFT LUMO'!$C$2:$C$137</c:f>
              <c:numCache>
                <c:formatCode>General</c:formatCode>
                <c:ptCount val="136"/>
                <c:pt idx="0">
                  <c:v>10.80857</c:v>
                </c:pt>
                <c:pt idx="1">
                  <c:v>3.8053599999999999</c:v>
                </c:pt>
                <c:pt idx="2">
                  <c:v>3.4714700000000001</c:v>
                </c:pt>
                <c:pt idx="3">
                  <c:v>3.4506899999999998</c:v>
                </c:pt>
                <c:pt idx="4">
                  <c:v>3.7362299999999999</c:v>
                </c:pt>
                <c:pt idx="5">
                  <c:v>3.4683700000000002</c:v>
                </c:pt>
                <c:pt idx="6">
                  <c:v>3.8411400000000002</c:v>
                </c:pt>
                <c:pt idx="7">
                  <c:v>3.8386100000000001</c:v>
                </c:pt>
                <c:pt idx="8">
                  <c:v>3.81562</c:v>
                </c:pt>
                <c:pt idx="9">
                  <c:v>3.8087900000000001</c:v>
                </c:pt>
                <c:pt idx="10">
                  <c:v>11.57314</c:v>
                </c:pt>
                <c:pt idx="11">
                  <c:v>10.77495</c:v>
                </c:pt>
                <c:pt idx="12">
                  <c:v>3.81108</c:v>
                </c:pt>
                <c:pt idx="13">
                  <c:v>10.35697</c:v>
                </c:pt>
                <c:pt idx="14">
                  <c:v>9.4331600000000009</c:v>
                </c:pt>
                <c:pt idx="15">
                  <c:v>3.8372299999999999</c:v>
                </c:pt>
                <c:pt idx="16">
                  <c:v>10.687099999999999</c:v>
                </c:pt>
                <c:pt idx="17">
                  <c:v>3.8542299999999998</c:v>
                </c:pt>
                <c:pt idx="18">
                  <c:v>3.8140000000000001</c:v>
                </c:pt>
                <c:pt idx="19">
                  <c:v>9.4749999999999996</c:v>
                </c:pt>
                <c:pt idx="20">
                  <c:v>9.7490000000000006</c:v>
                </c:pt>
                <c:pt idx="21">
                  <c:v>3.80762</c:v>
                </c:pt>
                <c:pt idx="22">
                  <c:v>8.7178900000000006</c:v>
                </c:pt>
                <c:pt idx="23">
                  <c:v>8.2383900000000008</c:v>
                </c:pt>
                <c:pt idx="24">
                  <c:v>8.0558399999999999</c:v>
                </c:pt>
                <c:pt idx="25">
                  <c:v>3.8038599999999998</c:v>
                </c:pt>
                <c:pt idx="26">
                  <c:v>8.2938399999999994</c:v>
                </c:pt>
                <c:pt idx="27">
                  <c:v>8.6572200000000006</c:v>
                </c:pt>
                <c:pt idx="28">
                  <c:v>3.8785699999999999</c:v>
                </c:pt>
                <c:pt idx="29">
                  <c:v>5.2014199999999997</c:v>
                </c:pt>
                <c:pt idx="30">
                  <c:v>3.8298700000000001</c:v>
                </c:pt>
                <c:pt idx="31">
                  <c:v>3.8031700000000002</c:v>
                </c:pt>
                <c:pt idx="32">
                  <c:v>3.8085599999999999</c:v>
                </c:pt>
                <c:pt idx="33">
                  <c:v>3.6428400000000001</c:v>
                </c:pt>
                <c:pt idx="34">
                  <c:v>3.8026200000000001</c:v>
                </c:pt>
                <c:pt idx="35">
                  <c:v>3.78559</c:v>
                </c:pt>
                <c:pt idx="36">
                  <c:v>3.8153700000000002</c:v>
                </c:pt>
                <c:pt idx="37">
                  <c:v>3.8167900000000001</c:v>
                </c:pt>
                <c:pt idx="38">
                  <c:v>12.47315</c:v>
                </c:pt>
                <c:pt idx="39">
                  <c:v>3.6853400000000001</c:v>
                </c:pt>
                <c:pt idx="40">
                  <c:v>3.8024499999999999</c:v>
                </c:pt>
                <c:pt idx="41">
                  <c:v>10.725949999999999</c:v>
                </c:pt>
                <c:pt idx="42">
                  <c:v>11.5533</c:v>
                </c:pt>
                <c:pt idx="43">
                  <c:v>3.8071999999999999</c:v>
                </c:pt>
                <c:pt idx="44">
                  <c:v>3.81046</c:v>
                </c:pt>
                <c:pt idx="45">
                  <c:v>3.8462299999999998</c:v>
                </c:pt>
                <c:pt idx="46">
                  <c:v>3.81311</c:v>
                </c:pt>
                <c:pt idx="47">
                  <c:v>3.8160599999999998</c:v>
                </c:pt>
                <c:pt idx="48">
                  <c:v>3.8205200000000001</c:v>
                </c:pt>
                <c:pt idx="49">
                  <c:v>3.5386299999999999</c:v>
                </c:pt>
                <c:pt idx="50">
                  <c:v>3.5793400000000002</c:v>
                </c:pt>
                <c:pt idx="51">
                  <c:v>3.5592299999999999</c:v>
                </c:pt>
                <c:pt idx="52">
                  <c:v>3.5391300000000001</c:v>
                </c:pt>
                <c:pt idx="53">
                  <c:v>3.8449499999999999</c:v>
                </c:pt>
                <c:pt idx="54">
                  <c:v>3.56603</c:v>
                </c:pt>
                <c:pt idx="55">
                  <c:v>7.2784700000000004</c:v>
                </c:pt>
                <c:pt idx="56">
                  <c:v>3.8267799999999998</c:v>
                </c:pt>
                <c:pt idx="57">
                  <c:v>3.8050899999999999</c:v>
                </c:pt>
                <c:pt idx="58">
                  <c:v>3.8014299999999999</c:v>
                </c:pt>
                <c:pt idx="59">
                  <c:v>3.78775</c:v>
                </c:pt>
                <c:pt idx="60">
                  <c:v>3.8027899999999999</c:v>
                </c:pt>
                <c:pt idx="61">
                  <c:v>3.8090999999999999</c:v>
                </c:pt>
                <c:pt idx="62">
                  <c:v>3.8121999999999998</c:v>
                </c:pt>
                <c:pt idx="63">
                  <c:v>3.8030499999999998</c:v>
                </c:pt>
                <c:pt idx="64">
                  <c:v>3.5502199999999999</c:v>
                </c:pt>
                <c:pt idx="65">
                  <c:v>11.84746</c:v>
                </c:pt>
                <c:pt idx="66">
                  <c:v>3.7200099999999998</c:v>
                </c:pt>
                <c:pt idx="67">
                  <c:v>11.380570000000001</c:v>
                </c:pt>
                <c:pt idx="68">
                  <c:v>10.72326</c:v>
                </c:pt>
                <c:pt idx="69">
                  <c:v>3.80504</c:v>
                </c:pt>
                <c:pt idx="70">
                  <c:v>3.8053599999999999</c:v>
                </c:pt>
                <c:pt idx="71">
                  <c:v>3.48089</c:v>
                </c:pt>
                <c:pt idx="72">
                  <c:v>3.7351399999999999</c:v>
                </c:pt>
                <c:pt idx="73">
                  <c:v>3.8283499999999999</c:v>
                </c:pt>
                <c:pt idx="74">
                  <c:v>3.84091</c:v>
                </c:pt>
                <c:pt idx="75">
                  <c:v>3.8382100000000001</c:v>
                </c:pt>
                <c:pt idx="76">
                  <c:v>3.8135599999999998</c:v>
                </c:pt>
                <c:pt idx="77">
                  <c:v>3.80037</c:v>
                </c:pt>
                <c:pt idx="78">
                  <c:v>11.77969</c:v>
                </c:pt>
                <c:pt idx="79">
                  <c:v>10.777049999999999</c:v>
                </c:pt>
                <c:pt idx="80">
                  <c:v>3.8168299999999999</c:v>
                </c:pt>
                <c:pt idx="81">
                  <c:v>9.4359099999999998</c:v>
                </c:pt>
                <c:pt idx="82">
                  <c:v>3.8351199999999999</c:v>
                </c:pt>
                <c:pt idx="83">
                  <c:v>3.8525999999999998</c:v>
                </c:pt>
                <c:pt idx="84">
                  <c:v>3.81399</c:v>
                </c:pt>
                <c:pt idx="85">
                  <c:v>9.8387700000000002</c:v>
                </c:pt>
                <c:pt idx="86">
                  <c:v>9.6290499999999994</c:v>
                </c:pt>
                <c:pt idx="87">
                  <c:v>3.8044899999999999</c:v>
                </c:pt>
                <c:pt idx="88">
                  <c:v>8.6792300000000004</c:v>
                </c:pt>
                <c:pt idx="89">
                  <c:v>8.1113199999999992</c:v>
                </c:pt>
                <c:pt idx="90">
                  <c:v>8.0531100000000002</c:v>
                </c:pt>
                <c:pt idx="91">
                  <c:v>3.80287</c:v>
                </c:pt>
                <c:pt idx="92">
                  <c:v>8.1617700000000006</c:v>
                </c:pt>
                <c:pt idx="93">
                  <c:v>8.2825100000000003</c:v>
                </c:pt>
                <c:pt idx="94">
                  <c:v>3.87961</c:v>
                </c:pt>
                <c:pt idx="95">
                  <c:v>7.9961399999999996</c:v>
                </c:pt>
                <c:pt idx="96">
                  <c:v>3.8312900000000001</c:v>
                </c:pt>
                <c:pt idx="97">
                  <c:v>3.80647</c:v>
                </c:pt>
                <c:pt idx="98">
                  <c:v>3.8042199999999999</c:v>
                </c:pt>
                <c:pt idx="99">
                  <c:v>3.8103099999999999</c:v>
                </c:pt>
                <c:pt idx="100">
                  <c:v>3.81589</c:v>
                </c:pt>
                <c:pt idx="101">
                  <c:v>3.8142</c:v>
                </c:pt>
                <c:pt idx="102">
                  <c:v>3.8177500000000002</c:v>
                </c:pt>
                <c:pt idx="103">
                  <c:v>12.495839999999999</c:v>
                </c:pt>
                <c:pt idx="104">
                  <c:v>3.6853400000000001</c:v>
                </c:pt>
                <c:pt idx="105">
                  <c:v>3.8066900000000001</c:v>
                </c:pt>
                <c:pt idx="106">
                  <c:v>3.8155399999999999</c:v>
                </c:pt>
                <c:pt idx="107">
                  <c:v>11.103199999999999</c:v>
                </c:pt>
                <c:pt idx="108">
                  <c:v>11.63734</c:v>
                </c:pt>
                <c:pt idx="109">
                  <c:v>3.8111299999999999</c:v>
                </c:pt>
                <c:pt idx="110">
                  <c:v>3.81148</c:v>
                </c:pt>
                <c:pt idx="111">
                  <c:v>3.8484099999999999</c:v>
                </c:pt>
                <c:pt idx="112">
                  <c:v>3.8165</c:v>
                </c:pt>
                <c:pt idx="113">
                  <c:v>3.8117399999999999</c:v>
                </c:pt>
                <c:pt idx="114">
                  <c:v>3.8140000000000001</c:v>
                </c:pt>
                <c:pt idx="115">
                  <c:v>3.5408499999999998</c:v>
                </c:pt>
                <c:pt idx="116">
                  <c:v>3.5796600000000001</c:v>
                </c:pt>
                <c:pt idx="117">
                  <c:v>3.5603899999999999</c:v>
                </c:pt>
                <c:pt idx="118">
                  <c:v>3.5313300000000001</c:v>
                </c:pt>
                <c:pt idx="119">
                  <c:v>3.8464100000000001</c:v>
                </c:pt>
                <c:pt idx="120">
                  <c:v>3.5620699999999998</c:v>
                </c:pt>
                <c:pt idx="121">
                  <c:v>6.1410400000000003</c:v>
                </c:pt>
                <c:pt idx="122">
                  <c:v>3.8324199999999999</c:v>
                </c:pt>
                <c:pt idx="123">
                  <c:v>3.80864</c:v>
                </c:pt>
                <c:pt idx="124">
                  <c:v>3.80301</c:v>
                </c:pt>
                <c:pt idx="125">
                  <c:v>3.8041399999999999</c:v>
                </c:pt>
                <c:pt idx="126">
                  <c:v>3.8090099999999998</c:v>
                </c:pt>
                <c:pt idx="127">
                  <c:v>3.8116099999999999</c:v>
                </c:pt>
                <c:pt idx="128">
                  <c:v>3.8024100000000001</c:v>
                </c:pt>
                <c:pt idx="129">
                  <c:v>3.5358800000000001</c:v>
                </c:pt>
                <c:pt idx="130">
                  <c:v>11.459390000000001</c:v>
                </c:pt>
                <c:pt idx="131">
                  <c:v>3.7141799999999998</c:v>
                </c:pt>
                <c:pt idx="132">
                  <c:v>12.667949999999999</c:v>
                </c:pt>
                <c:pt idx="133">
                  <c:v>10.80486</c:v>
                </c:pt>
                <c:pt idx="134">
                  <c:v>8.8914799999999996</c:v>
                </c:pt>
                <c:pt idx="135">
                  <c:v>9.0155700000000003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FA6-40B4-923B-1377C726AFA6}"/>
            </c:ext>
          </c:extLst>
        </c:ser>
        <c:ser>
          <c:idx val="1"/>
          <c:order val="1"/>
          <c:tx>
            <c:v>Perfect line</c:v>
          </c:tx>
          <c:spPr>
            <a:ln w="25400" cap="rnd">
              <a:solidFill>
                <a:schemeClr val="bg1">
                  <a:lumMod val="8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'xTB vs DFT LUMO'!$B$2:$B$137</c:f>
              <c:numCache>
                <c:formatCode>General</c:formatCode>
                <c:ptCount val="136"/>
                <c:pt idx="0">
                  <c:v>-11.907999999999999</c:v>
                </c:pt>
                <c:pt idx="1">
                  <c:v>-11.8269</c:v>
                </c:pt>
                <c:pt idx="2">
                  <c:v>-12.111700000000001</c:v>
                </c:pt>
                <c:pt idx="3">
                  <c:v>-11.961399999999999</c:v>
                </c:pt>
                <c:pt idx="4">
                  <c:v>-11.6816</c:v>
                </c:pt>
                <c:pt idx="5">
                  <c:v>-11.932499999999999</c:v>
                </c:pt>
                <c:pt idx="6">
                  <c:v>-11.775600000000001</c:v>
                </c:pt>
                <c:pt idx="7">
                  <c:v>-11.691000000000001</c:v>
                </c:pt>
                <c:pt idx="8">
                  <c:v>-11.708</c:v>
                </c:pt>
                <c:pt idx="9">
                  <c:v>-11.734999999999999</c:v>
                </c:pt>
                <c:pt idx="10">
                  <c:v>-11.756399999999999</c:v>
                </c:pt>
                <c:pt idx="11">
                  <c:v>-11.267200000000001</c:v>
                </c:pt>
                <c:pt idx="12">
                  <c:v>-11.6922</c:v>
                </c:pt>
                <c:pt idx="13">
                  <c:v>-12.0276</c:v>
                </c:pt>
                <c:pt idx="14">
                  <c:v>-11.859299999999999</c:v>
                </c:pt>
                <c:pt idx="15">
                  <c:v>-11.3811</c:v>
                </c:pt>
                <c:pt idx="16">
                  <c:v>-11.9413</c:v>
                </c:pt>
                <c:pt idx="17">
                  <c:v>-12.1881</c:v>
                </c:pt>
                <c:pt idx="18">
                  <c:v>-11.8154</c:v>
                </c:pt>
                <c:pt idx="19">
                  <c:v>-11.9247</c:v>
                </c:pt>
                <c:pt idx="20">
                  <c:v>-11.961600000000001</c:v>
                </c:pt>
                <c:pt idx="21">
                  <c:v>-11.815300000000001</c:v>
                </c:pt>
                <c:pt idx="22">
                  <c:v>-11.9903</c:v>
                </c:pt>
                <c:pt idx="23">
                  <c:v>-11.7859</c:v>
                </c:pt>
                <c:pt idx="24">
                  <c:v>-11.498200000000001</c:v>
                </c:pt>
                <c:pt idx="25">
                  <c:v>-11.6127</c:v>
                </c:pt>
                <c:pt idx="26">
                  <c:v>-11.7165</c:v>
                </c:pt>
                <c:pt idx="27">
                  <c:v>-11.7707</c:v>
                </c:pt>
                <c:pt idx="28">
                  <c:v>-11.5954</c:v>
                </c:pt>
                <c:pt idx="29">
                  <c:v>-11.321400000000001</c:v>
                </c:pt>
                <c:pt idx="30">
                  <c:v>-11.8353</c:v>
                </c:pt>
                <c:pt idx="31">
                  <c:v>-12.2761</c:v>
                </c:pt>
                <c:pt idx="32">
                  <c:v>-12.300800000000001</c:v>
                </c:pt>
                <c:pt idx="33">
                  <c:v>-12.271599999999999</c:v>
                </c:pt>
                <c:pt idx="34">
                  <c:v>-12.020200000000001</c:v>
                </c:pt>
                <c:pt idx="35">
                  <c:v>-11.977399999999999</c:v>
                </c:pt>
                <c:pt idx="36">
                  <c:v>-11.8774</c:v>
                </c:pt>
                <c:pt idx="37">
                  <c:v>-11.998799999999999</c:v>
                </c:pt>
                <c:pt idx="38">
                  <c:v>-11.808400000000001</c:v>
                </c:pt>
                <c:pt idx="39">
                  <c:v>-11.892300000000001</c:v>
                </c:pt>
                <c:pt idx="40">
                  <c:v>-11.829800000000001</c:v>
                </c:pt>
                <c:pt idx="41">
                  <c:v>-11.837199999999999</c:v>
                </c:pt>
                <c:pt idx="42">
                  <c:v>-11.8629</c:v>
                </c:pt>
                <c:pt idx="43">
                  <c:v>-11.6861</c:v>
                </c:pt>
                <c:pt idx="44">
                  <c:v>-11.666</c:v>
                </c:pt>
                <c:pt idx="45">
                  <c:v>-11.4716</c:v>
                </c:pt>
                <c:pt idx="46">
                  <c:v>-11.882199999999999</c:v>
                </c:pt>
                <c:pt idx="47">
                  <c:v>-11.583299999999999</c:v>
                </c:pt>
                <c:pt idx="48">
                  <c:v>-11.3119</c:v>
                </c:pt>
                <c:pt idx="49">
                  <c:v>-11.5084</c:v>
                </c:pt>
                <c:pt idx="50">
                  <c:v>-11.538500000000001</c:v>
                </c:pt>
                <c:pt idx="51">
                  <c:v>-11.520099999999999</c:v>
                </c:pt>
                <c:pt idx="52">
                  <c:v>-11.522</c:v>
                </c:pt>
                <c:pt idx="53">
                  <c:v>-11.6005</c:v>
                </c:pt>
                <c:pt idx="54">
                  <c:v>-11.69</c:v>
                </c:pt>
                <c:pt idx="55">
                  <c:v>-12.492900000000001</c:v>
                </c:pt>
                <c:pt idx="56">
                  <c:v>-11.579000000000001</c:v>
                </c:pt>
                <c:pt idx="57">
                  <c:v>-11.517300000000001</c:v>
                </c:pt>
                <c:pt idx="58">
                  <c:v>-11.837300000000001</c:v>
                </c:pt>
                <c:pt idx="59">
                  <c:v>-12.049300000000001</c:v>
                </c:pt>
                <c:pt idx="60">
                  <c:v>-11.7531</c:v>
                </c:pt>
                <c:pt idx="61">
                  <c:v>-11.55</c:v>
                </c:pt>
                <c:pt idx="62">
                  <c:v>-11.5334</c:v>
                </c:pt>
                <c:pt idx="63">
                  <c:v>-12.171900000000001</c:v>
                </c:pt>
                <c:pt idx="64">
                  <c:v>-11.8652</c:v>
                </c:pt>
                <c:pt idx="65">
                  <c:v>-11.803599999999999</c:v>
                </c:pt>
                <c:pt idx="66">
                  <c:v>-11.6944</c:v>
                </c:pt>
                <c:pt idx="67">
                  <c:v>-11.7044</c:v>
                </c:pt>
                <c:pt idx="68">
                  <c:v>-11.770899999999999</c:v>
                </c:pt>
                <c:pt idx="69">
                  <c:v>-11.523300000000001</c:v>
                </c:pt>
                <c:pt idx="70">
                  <c:v>-11.8362</c:v>
                </c:pt>
                <c:pt idx="71">
                  <c:v>-12.164400000000001</c:v>
                </c:pt>
                <c:pt idx="72">
                  <c:v>-11.7165</c:v>
                </c:pt>
                <c:pt idx="73">
                  <c:v>-11.5915</c:v>
                </c:pt>
                <c:pt idx="74">
                  <c:v>-11.751200000000001</c:v>
                </c:pt>
                <c:pt idx="75">
                  <c:v>-11.6746</c:v>
                </c:pt>
                <c:pt idx="76">
                  <c:v>-11.71</c:v>
                </c:pt>
                <c:pt idx="77">
                  <c:v>-11.7784</c:v>
                </c:pt>
                <c:pt idx="78">
                  <c:v>-11.810600000000001</c:v>
                </c:pt>
                <c:pt idx="79">
                  <c:v>-11.930300000000001</c:v>
                </c:pt>
                <c:pt idx="80">
                  <c:v>-11.703200000000001</c:v>
                </c:pt>
                <c:pt idx="81">
                  <c:v>-11.860799999999999</c:v>
                </c:pt>
                <c:pt idx="82">
                  <c:v>-11.8522</c:v>
                </c:pt>
                <c:pt idx="83">
                  <c:v>-12.377000000000001</c:v>
                </c:pt>
                <c:pt idx="84">
                  <c:v>-11.8294</c:v>
                </c:pt>
                <c:pt idx="85">
                  <c:v>-11.929399999999999</c:v>
                </c:pt>
                <c:pt idx="86">
                  <c:v>-11.9733</c:v>
                </c:pt>
                <c:pt idx="87">
                  <c:v>-11.127700000000001</c:v>
                </c:pt>
                <c:pt idx="88">
                  <c:v>-11.991899999999999</c:v>
                </c:pt>
                <c:pt idx="89">
                  <c:v>-11.3581</c:v>
                </c:pt>
                <c:pt idx="90">
                  <c:v>-11.850300000000001</c:v>
                </c:pt>
                <c:pt idx="91">
                  <c:v>-11.6205</c:v>
                </c:pt>
                <c:pt idx="92">
                  <c:v>-11.7356</c:v>
                </c:pt>
                <c:pt idx="93">
                  <c:v>-11.8102</c:v>
                </c:pt>
                <c:pt idx="94">
                  <c:v>-11.718500000000001</c:v>
                </c:pt>
                <c:pt idx="95">
                  <c:v>-11.8378</c:v>
                </c:pt>
                <c:pt idx="96">
                  <c:v>-11.6732</c:v>
                </c:pt>
                <c:pt idx="97">
                  <c:v>-12.1403</c:v>
                </c:pt>
                <c:pt idx="98">
                  <c:v>-12.214700000000001</c:v>
                </c:pt>
                <c:pt idx="99">
                  <c:v>-11.5884</c:v>
                </c:pt>
                <c:pt idx="100">
                  <c:v>-11.911099999999999</c:v>
                </c:pt>
                <c:pt idx="101">
                  <c:v>-11.779500000000001</c:v>
                </c:pt>
                <c:pt idx="102">
                  <c:v>-11.8714</c:v>
                </c:pt>
                <c:pt idx="103">
                  <c:v>-11.8666</c:v>
                </c:pt>
                <c:pt idx="104">
                  <c:v>-11.889200000000001</c:v>
                </c:pt>
                <c:pt idx="105">
                  <c:v>-11.8086</c:v>
                </c:pt>
                <c:pt idx="106">
                  <c:v>-11.7637</c:v>
                </c:pt>
                <c:pt idx="107">
                  <c:v>-11.8209</c:v>
                </c:pt>
                <c:pt idx="108">
                  <c:v>-11.818300000000001</c:v>
                </c:pt>
                <c:pt idx="109">
                  <c:v>-11.6395</c:v>
                </c:pt>
                <c:pt idx="110">
                  <c:v>-11.774699999999999</c:v>
                </c:pt>
                <c:pt idx="111">
                  <c:v>-11.4998</c:v>
                </c:pt>
                <c:pt idx="112">
                  <c:v>-11.9489</c:v>
                </c:pt>
                <c:pt idx="113">
                  <c:v>-11.613799999999999</c:v>
                </c:pt>
                <c:pt idx="114">
                  <c:v>-11.401</c:v>
                </c:pt>
                <c:pt idx="115">
                  <c:v>-11.4558</c:v>
                </c:pt>
                <c:pt idx="116">
                  <c:v>-11.476800000000001</c:v>
                </c:pt>
                <c:pt idx="117">
                  <c:v>-11.5382</c:v>
                </c:pt>
                <c:pt idx="118">
                  <c:v>-11.790699999999999</c:v>
                </c:pt>
                <c:pt idx="119">
                  <c:v>-11.6038</c:v>
                </c:pt>
                <c:pt idx="120">
                  <c:v>-11.7448</c:v>
                </c:pt>
                <c:pt idx="121">
                  <c:v>-12.475</c:v>
                </c:pt>
                <c:pt idx="122">
                  <c:v>-11.653499999999999</c:v>
                </c:pt>
                <c:pt idx="123">
                  <c:v>-11.868600000000001</c:v>
                </c:pt>
                <c:pt idx="124">
                  <c:v>-11.8658</c:v>
                </c:pt>
                <c:pt idx="125">
                  <c:v>-11.7272</c:v>
                </c:pt>
                <c:pt idx="126">
                  <c:v>-11.620200000000001</c:v>
                </c:pt>
                <c:pt idx="127">
                  <c:v>-11.676</c:v>
                </c:pt>
                <c:pt idx="128">
                  <c:v>-12.178000000000001</c:v>
                </c:pt>
                <c:pt idx="129">
                  <c:v>-11.8635</c:v>
                </c:pt>
                <c:pt idx="130">
                  <c:v>-11.8</c:v>
                </c:pt>
                <c:pt idx="131">
                  <c:v>-11.795299999999999</c:v>
                </c:pt>
                <c:pt idx="132">
                  <c:v>-11.7906</c:v>
                </c:pt>
                <c:pt idx="133">
                  <c:v>-11.818899999999999</c:v>
                </c:pt>
                <c:pt idx="134">
                  <c:v>-11.495699999999999</c:v>
                </c:pt>
                <c:pt idx="135">
                  <c:v>-11.495799999999999</c:v>
                </c:pt>
              </c:numCache>
            </c:numRef>
          </c:xVal>
          <c:yVal>
            <c:numRef>
              <c:f>'xTB vs DFT LUMO'!$J$2:$J$137</c:f>
              <c:numCache>
                <c:formatCode>General</c:formatCode>
                <c:ptCount val="136"/>
                <c:pt idx="0">
                  <c:v>-11.907999999999999</c:v>
                </c:pt>
                <c:pt idx="1">
                  <c:v>-11.8269</c:v>
                </c:pt>
                <c:pt idx="2">
                  <c:v>-12.111700000000001</c:v>
                </c:pt>
                <c:pt idx="3">
                  <c:v>-11.961399999999999</c:v>
                </c:pt>
                <c:pt idx="4">
                  <c:v>-11.6816</c:v>
                </c:pt>
                <c:pt idx="5">
                  <c:v>-11.932499999999999</c:v>
                </c:pt>
                <c:pt idx="6">
                  <c:v>-11.775600000000001</c:v>
                </c:pt>
                <c:pt idx="7">
                  <c:v>-11.691000000000001</c:v>
                </c:pt>
                <c:pt idx="8">
                  <c:v>-11.708</c:v>
                </c:pt>
                <c:pt idx="9">
                  <c:v>-11.734999999999999</c:v>
                </c:pt>
                <c:pt idx="10">
                  <c:v>-11.756399999999999</c:v>
                </c:pt>
                <c:pt idx="11">
                  <c:v>-11.267200000000001</c:v>
                </c:pt>
                <c:pt idx="12">
                  <c:v>-11.6922</c:v>
                </c:pt>
                <c:pt idx="13">
                  <c:v>-12.0276</c:v>
                </c:pt>
                <c:pt idx="14">
                  <c:v>-11.859299999999999</c:v>
                </c:pt>
                <c:pt idx="15">
                  <c:v>-11.3811</c:v>
                </c:pt>
                <c:pt idx="16">
                  <c:v>-11.9413</c:v>
                </c:pt>
                <c:pt idx="17">
                  <c:v>-12.1881</c:v>
                </c:pt>
                <c:pt idx="18">
                  <c:v>-11.8154</c:v>
                </c:pt>
                <c:pt idx="19">
                  <c:v>-11.9247</c:v>
                </c:pt>
                <c:pt idx="20">
                  <c:v>-11.961600000000001</c:v>
                </c:pt>
                <c:pt idx="21">
                  <c:v>-11.815300000000001</c:v>
                </c:pt>
                <c:pt idx="22">
                  <c:v>-11.9903</c:v>
                </c:pt>
                <c:pt idx="23">
                  <c:v>-11.7859</c:v>
                </c:pt>
                <c:pt idx="24">
                  <c:v>-11.498200000000001</c:v>
                </c:pt>
                <c:pt idx="25">
                  <c:v>-11.6127</c:v>
                </c:pt>
                <c:pt idx="26">
                  <c:v>-11.7165</c:v>
                </c:pt>
                <c:pt idx="27">
                  <c:v>-11.7707</c:v>
                </c:pt>
                <c:pt idx="28">
                  <c:v>-11.5954</c:v>
                </c:pt>
                <c:pt idx="29">
                  <c:v>-11.321400000000001</c:v>
                </c:pt>
                <c:pt idx="30">
                  <c:v>-11.8353</c:v>
                </c:pt>
                <c:pt idx="31">
                  <c:v>-12.2761</c:v>
                </c:pt>
                <c:pt idx="32">
                  <c:v>-12.300800000000001</c:v>
                </c:pt>
                <c:pt idx="33">
                  <c:v>-12.271599999999999</c:v>
                </c:pt>
                <c:pt idx="34">
                  <c:v>-12.020200000000001</c:v>
                </c:pt>
                <c:pt idx="35">
                  <c:v>-11.977399999999999</c:v>
                </c:pt>
                <c:pt idx="36">
                  <c:v>-11.8774</c:v>
                </c:pt>
                <c:pt idx="37">
                  <c:v>-11.998799999999999</c:v>
                </c:pt>
                <c:pt idx="38">
                  <c:v>-11.808400000000001</c:v>
                </c:pt>
                <c:pt idx="39">
                  <c:v>-11.892300000000001</c:v>
                </c:pt>
                <c:pt idx="40">
                  <c:v>-11.829800000000001</c:v>
                </c:pt>
                <c:pt idx="41">
                  <c:v>-11.837199999999999</c:v>
                </c:pt>
                <c:pt idx="42">
                  <c:v>-11.8629</c:v>
                </c:pt>
                <c:pt idx="43">
                  <c:v>-11.6861</c:v>
                </c:pt>
                <c:pt idx="44">
                  <c:v>-11.666</c:v>
                </c:pt>
                <c:pt idx="45">
                  <c:v>-11.4716</c:v>
                </c:pt>
                <c:pt idx="46">
                  <c:v>-11.882199999999999</c:v>
                </c:pt>
                <c:pt idx="47">
                  <c:v>-11.583299999999999</c:v>
                </c:pt>
                <c:pt idx="48">
                  <c:v>-11.3119</c:v>
                </c:pt>
                <c:pt idx="49">
                  <c:v>-11.5084</c:v>
                </c:pt>
                <c:pt idx="50">
                  <c:v>-11.538500000000001</c:v>
                </c:pt>
                <c:pt idx="51">
                  <c:v>-11.520099999999999</c:v>
                </c:pt>
                <c:pt idx="52">
                  <c:v>-11.522</c:v>
                </c:pt>
                <c:pt idx="53">
                  <c:v>-11.6005</c:v>
                </c:pt>
                <c:pt idx="54">
                  <c:v>-11.69</c:v>
                </c:pt>
                <c:pt idx="55">
                  <c:v>-12.492900000000001</c:v>
                </c:pt>
                <c:pt idx="56">
                  <c:v>-11.579000000000001</c:v>
                </c:pt>
                <c:pt idx="57">
                  <c:v>-11.517300000000001</c:v>
                </c:pt>
                <c:pt idx="58">
                  <c:v>-11.837300000000001</c:v>
                </c:pt>
                <c:pt idx="59">
                  <c:v>-12.049300000000001</c:v>
                </c:pt>
                <c:pt idx="60">
                  <c:v>-11.7531</c:v>
                </c:pt>
                <c:pt idx="61">
                  <c:v>-11.55</c:v>
                </c:pt>
                <c:pt idx="62">
                  <c:v>-11.5334</c:v>
                </c:pt>
                <c:pt idx="63">
                  <c:v>-12.171900000000001</c:v>
                </c:pt>
                <c:pt idx="64">
                  <c:v>-11.8652</c:v>
                </c:pt>
                <c:pt idx="65">
                  <c:v>-11.803599999999999</c:v>
                </c:pt>
                <c:pt idx="66">
                  <c:v>-11.6944</c:v>
                </c:pt>
                <c:pt idx="67">
                  <c:v>-11.7044</c:v>
                </c:pt>
                <c:pt idx="68">
                  <c:v>-11.770899999999999</c:v>
                </c:pt>
                <c:pt idx="69">
                  <c:v>-11.523300000000001</c:v>
                </c:pt>
                <c:pt idx="70">
                  <c:v>-11.8362</c:v>
                </c:pt>
                <c:pt idx="71">
                  <c:v>-12.164400000000001</c:v>
                </c:pt>
                <c:pt idx="72">
                  <c:v>-11.7165</c:v>
                </c:pt>
                <c:pt idx="73">
                  <c:v>-11.5915</c:v>
                </c:pt>
                <c:pt idx="74">
                  <c:v>-11.751200000000001</c:v>
                </c:pt>
                <c:pt idx="75">
                  <c:v>-11.6746</c:v>
                </c:pt>
                <c:pt idx="76">
                  <c:v>-11.71</c:v>
                </c:pt>
                <c:pt idx="77">
                  <c:v>-11.7784</c:v>
                </c:pt>
                <c:pt idx="78">
                  <c:v>-11.810600000000001</c:v>
                </c:pt>
                <c:pt idx="79">
                  <c:v>-11.930300000000001</c:v>
                </c:pt>
                <c:pt idx="80">
                  <c:v>-11.703200000000001</c:v>
                </c:pt>
                <c:pt idx="81">
                  <c:v>-11.860799999999999</c:v>
                </c:pt>
                <c:pt idx="82">
                  <c:v>-11.8522</c:v>
                </c:pt>
                <c:pt idx="83">
                  <c:v>-12.377000000000001</c:v>
                </c:pt>
                <c:pt idx="84">
                  <c:v>-11.8294</c:v>
                </c:pt>
                <c:pt idx="85">
                  <c:v>-11.929399999999999</c:v>
                </c:pt>
                <c:pt idx="86">
                  <c:v>-11.9733</c:v>
                </c:pt>
                <c:pt idx="87">
                  <c:v>-11.127700000000001</c:v>
                </c:pt>
                <c:pt idx="88">
                  <c:v>-11.991899999999999</c:v>
                </c:pt>
                <c:pt idx="89">
                  <c:v>-11.3581</c:v>
                </c:pt>
                <c:pt idx="90">
                  <c:v>-11.850300000000001</c:v>
                </c:pt>
                <c:pt idx="91">
                  <c:v>-11.6205</c:v>
                </c:pt>
                <c:pt idx="92">
                  <c:v>-11.7356</c:v>
                </c:pt>
                <c:pt idx="93">
                  <c:v>-11.8102</c:v>
                </c:pt>
                <c:pt idx="94">
                  <c:v>-11.718500000000001</c:v>
                </c:pt>
                <c:pt idx="95">
                  <c:v>-11.8378</c:v>
                </c:pt>
                <c:pt idx="96">
                  <c:v>-11.6732</c:v>
                </c:pt>
                <c:pt idx="97">
                  <c:v>-12.1403</c:v>
                </c:pt>
                <c:pt idx="98">
                  <c:v>-12.214700000000001</c:v>
                </c:pt>
                <c:pt idx="99">
                  <c:v>-11.5884</c:v>
                </c:pt>
                <c:pt idx="100">
                  <c:v>-11.911099999999999</c:v>
                </c:pt>
                <c:pt idx="101">
                  <c:v>-11.779500000000001</c:v>
                </c:pt>
                <c:pt idx="102">
                  <c:v>-11.8714</c:v>
                </c:pt>
                <c:pt idx="103">
                  <c:v>-11.8666</c:v>
                </c:pt>
                <c:pt idx="104">
                  <c:v>-11.889200000000001</c:v>
                </c:pt>
                <c:pt idx="105">
                  <c:v>-11.8086</c:v>
                </c:pt>
                <c:pt idx="106">
                  <c:v>-11.7637</c:v>
                </c:pt>
                <c:pt idx="107">
                  <c:v>-11.8209</c:v>
                </c:pt>
                <c:pt idx="108">
                  <c:v>-11.818300000000001</c:v>
                </c:pt>
                <c:pt idx="109">
                  <c:v>-11.6395</c:v>
                </c:pt>
                <c:pt idx="110">
                  <c:v>-11.774699999999999</c:v>
                </c:pt>
                <c:pt idx="111">
                  <c:v>-11.4998</c:v>
                </c:pt>
                <c:pt idx="112">
                  <c:v>-11.9489</c:v>
                </c:pt>
                <c:pt idx="113">
                  <c:v>-11.613799999999999</c:v>
                </c:pt>
                <c:pt idx="114">
                  <c:v>-11.401</c:v>
                </c:pt>
                <c:pt idx="115">
                  <c:v>-11.4558</c:v>
                </c:pt>
                <c:pt idx="116">
                  <c:v>-11.476800000000001</c:v>
                </c:pt>
                <c:pt idx="117">
                  <c:v>-11.5382</c:v>
                </c:pt>
                <c:pt idx="118">
                  <c:v>-11.790699999999999</c:v>
                </c:pt>
                <c:pt idx="119">
                  <c:v>-11.6038</c:v>
                </c:pt>
                <c:pt idx="120">
                  <c:v>-11.7448</c:v>
                </c:pt>
                <c:pt idx="121">
                  <c:v>-12.475</c:v>
                </c:pt>
                <c:pt idx="122">
                  <c:v>-11.653499999999999</c:v>
                </c:pt>
                <c:pt idx="123">
                  <c:v>-11.868600000000001</c:v>
                </c:pt>
                <c:pt idx="124">
                  <c:v>-11.8658</c:v>
                </c:pt>
                <c:pt idx="125">
                  <c:v>-11.7272</c:v>
                </c:pt>
                <c:pt idx="126">
                  <c:v>-11.620200000000001</c:v>
                </c:pt>
                <c:pt idx="127">
                  <c:v>-11.676</c:v>
                </c:pt>
                <c:pt idx="128">
                  <c:v>-12.178000000000001</c:v>
                </c:pt>
                <c:pt idx="129">
                  <c:v>-11.8635</c:v>
                </c:pt>
                <c:pt idx="130">
                  <c:v>-11.8</c:v>
                </c:pt>
                <c:pt idx="131">
                  <c:v>-11.795299999999999</c:v>
                </c:pt>
                <c:pt idx="132">
                  <c:v>-11.7906</c:v>
                </c:pt>
                <c:pt idx="133">
                  <c:v>-11.818899999999999</c:v>
                </c:pt>
                <c:pt idx="134">
                  <c:v>-11.495699999999999</c:v>
                </c:pt>
                <c:pt idx="135">
                  <c:v>-11.495799999999999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FA6-40B4-923B-1377C726AF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5447664"/>
        <c:axId val="745434704"/>
      </c:scatterChart>
      <c:valAx>
        <c:axId val="745447664"/>
        <c:scaling>
          <c:orientation val="minMax"/>
          <c:max val="-11"/>
          <c:min val="-12.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400" b="0" i="1" u="none" strike="noStrike" kern="1200" baseline="0">
                    <a:solidFill>
                      <a:sysClr val="windowText" lastClr="000000"/>
                    </a:solidFill>
                    <a:cs typeface="Times New Roman" panose="02020603050405020304" pitchFamily="18" charset="0"/>
                  </a:rPr>
                  <a:t>ε</a:t>
                </a:r>
                <a:r>
                  <a:rPr lang="en-GB" sz="1400" b="0" i="0" u="none" strike="noStrike" kern="1200" baseline="-25000">
                    <a:solidFill>
                      <a:sysClr val="windowText" lastClr="000000"/>
                    </a:solidFill>
                  </a:rPr>
                  <a:t>LUMO,xTB </a:t>
                </a:r>
                <a:r>
                  <a:rPr lang="en-GB" sz="1400" b="0" i="0" u="none" strike="noStrike" kern="1200" baseline="0">
                    <a:solidFill>
                      <a:sysClr val="windowText" lastClr="000000"/>
                    </a:solidFill>
                  </a:rPr>
                  <a:t>(</a:t>
                </a:r>
                <a:r>
                  <a:rPr lang="en-IN" sz="1400" b="0" i="0" u="none" strike="noStrike" kern="1200" baseline="0">
                    <a:solidFill>
                      <a:sysClr val="windowText" lastClr="000000"/>
                    </a:solidFill>
                    <a:effectLst/>
                  </a:rPr>
                  <a:t>eV</a:t>
                </a:r>
                <a:r>
                  <a:rPr lang="en-GB" sz="1400" b="0" i="0" u="none" strike="noStrike" kern="1200" baseline="0">
                    <a:solidFill>
                      <a:sysClr val="windowText" lastClr="000000"/>
                    </a:solidFill>
                  </a:rPr>
                  <a:t>)</a:t>
                </a:r>
                <a:endParaRPr lang="en-IN" sz="1400" b="0" i="0" u="none" strike="noStrike" kern="1200" baseline="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434704"/>
        <c:crosses val="autoZero"/>
        <c:crossBetween val="midCat"/>
      </c:valAx>
      <c:valAx>
        <c:axId val="745434704"/>
        <c:scaling>
          <c:orientation val="minMax"/>
          <c:max val="350"/>
          <c:min val="-12.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400" b="0" i="1" u="none" strike="noStrike" kern="1200" baseline="0">
                    <a:solidFill>
                      <a:sysClr val="windowText" lastClr="000000"/>
                    </a:solidFill>
                    <a:cs typeface="Times New Roman" panose="02020603050405020304" pitchFamily="18" charset="0"/>
                  </a:rPr>
                  <a:t>ε</a:t>
                </a:r>
                <a:r>
                  <a:rPr lang="en-GB" sz="1400" b="0" i="0" u="none" strike="noStrike" kern="1200" baseline="-25000">
                    <a:solidFill>
                      <a:sysClr val="windowText" lastClr="000000"/>
                    </a:solidFill>
                  </a:rPr>
                  <a:t>LUMO,DFT </a:t>
                </a:r>
                <a:r>
                  <a:rPr lang="en-GB" sz="1400" b="0" i="0" u="none" strike="noStrike" kern="1200" baseline="0">
                    <a:solidFill>
                      <a:sysClr val="windowText" lastClr="000000"/>
                    </a:solidFill>
                  </a:rPr>
                  <a:t>(</a:t>
                </a:r>
                <a:r>
                  <a:rPr lang="en-IN" sz="1400" b="0" i="0" u="none" strike="noStrike" kern="1200" baseline="0">
                    <a:solidFill>
                      <a:sysClr val="windowText" lastClr="000000"/>
                    </a:solidFill>
                    <a:effectLst/>
                  </a:rPr>
                  <a:t>eV</a:t>
                </a:r>
                <a:r>
                  <a:rPr lang="en-GB" sz="1400" b="0" i="0" u="none" strike="noStrike" kern="1200" baseline="0">
                    <a:solidFill>
                      <a:sysClr val="windowText" lastClr="000000"/>
                    </a:solidFill>
                  </a:rPr>
                  <a:t>)</a:t>
                </a:r>
                <a:endParaRPr lang="en-IN" sz="1400" b="0" i="0" u="none" strike="noStrike" kern="1200" baseline="0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2.7385301131846917E-4"/>
              <c:y val="0.3784601924759405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4476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4173737991488932E-2"/>
          <c:y val="0.89313466025080201"/>
          <c:w val="0.89165266841644797"/>
          <c:h val="8.37171916010498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442911</xdr:colOff>
      <xdr:row>6</xdr:row>
      <xdr:rowOff>47625</xdr:rowOff>
    </xdr:from>
    <xdr:to>
      <xdr:col>16</xdr:col>
      <xdr:colOff>619125</xdr:colOff>
      <xdr:row>20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71FCB8-1C28-4DE6-8BC5-C880BFE9F0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442911</xdr:colOff>
      <xdr:row>6</xdr:row>
      <xdr:rowOff>47625</xdr:rowOff>
    </xdr:from>
    <xdr:to>
      <xdr:col>18</xdr:col>
      <xdr:colOff>238125</xdr:colOff>
      <xdr:row>21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8A3E9F-8869-49F1-A1DC-6AD71EE835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1</xdr:row>
      <xdr:rowOff>0</xdr:rowOff>
    </xdr:from>
    <xdr:to>
      <xdr:col>15</xdr:col>
      <xdr:colOff>4763</xdr:colOff>
      <xdr:row>4</xdr:row>
      <xdr:rowOff>4763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7D7DB6E-9F62-6D7F-6386-7A1A1ED128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24700" y="180975"/>
          <a:ext cx="2595563" cy="5476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2B519-D5A7-4CC7-A880-48DD02FEC9DF}">
  <dimension ref="A1:AU136"/>
  <sheetViews>
    <sheetView tabSelected="1" workbookViewId="0">
      <selection activeCell="H14" sqref="H14"/>
    </sheetView>
  </sheetViews>
  <sheetFormatPr defaultRowHeight="14.25" x14ac:dyDescent="0.45"/>
  <cols>
    <col min="15" max="15" width="11.46484375" customWidth="1"/>
    <col min="16" max="16" width="11.1328125" customWidth="1"/>
  </cols>
  <sheetData>
    <row r="1" spans="1:47" s="2" customFormat="1" x14ac:dyDescent="0.45">
      <c r="A1" s="2" t="s">
        <v>6</v>
      </c>
      <c r="B1" s="2" t="s">
        <v>146</v>
      </c>
      <c r="C1" s="2" t="s">
        <v>147</v>
      </c>
      <c r="D1" s="2" t="s">
        <v>148</v>
      </c>
      <c r="E1" s="2" t="s">
        <v>0</v>
      </c>
      <c r="F1" s="2" t="s">
        <v>1</v>
      </c>
      <c r="G1" s="2" t="s">
        <v>2</v>
      </c>
      <c r="H1" s="2" t="s">
        <v>3</v>
      </c>
      <c r="I1" s="2" t="s">
        <v>4</v>
      </c>
    </row>
    <row r="2" spans="1:47" x14ac:dyDescent="0.45">
      <c r="A2" t="s">
        <v>113</v>
      </c>
      <c r="B2">
        <v>-12.9702</v>
      </c>
      <c r="C2">
        <v>-0.34261999999999998</v>
      </c>
      <c r="D2">
        <f>C2*27.2</f>
        <v>-9.3192639999999987</v>
      </c>
      <c r="E2">
        <f>(D2-B2)</f>
        <v>3.6509360000000015</v>
      </c>
      <c r="F2">
        <f>ABS(E2)</f>
        <v>3.6509360000000015</v>
      </c>
      <c r="G2">
        <f>F2^2</f>
        <v>13.329333676096011</v>
      </c>
      <c r="H2">
        <f>CORREL(B2:B133,D2:D133)</f>
        <v>0.73241803942080064</v>
      </c>
      <c r="I2">
        <f>H2^2</f>
        <v>0.53643618446900942</v>
      </c>
    </row>
    <row r="3" spans="1:47" x14ac:dyDescent="0.45">
      <c r="A3" t="s">
        <v>114</v>
      </c>
      <c r="B3">
        <v>-12.897500000000001</v>
      </c>
      <c r="C3">
        <v>-0.32536999999999999</v>
      </c>
      <c r="D3">
        <f t="shared" ref="D3:D64" si="0">C3*27.2</f>
        <v>-8.8500639999999997</v>
      </c>
      <c r="E3">
        <f t="shared" ref="E3:E64" si="1">(D3-B3)</f>
        <v>4.0474360000000011</v>
      </c>
      <c r="F3">
        <f t="shared" ref="F3:F60" si="2">ABS(E3)</f>
        <v>4.0474360000000011</v>
      </c>
      <c r="G3">
        <f t="shared" ref="G3:G60" si="3">F3^2</f>
        <v>16.381738174096011</v>
      </c>
    </row>
    <row r="4" spans="1:47" x14ac:dyDescent="0.45">
      <c r="A4" t="s">
        <v>115</v>
      </c>
      <c r="B4">
        <v>-13.1647</v>
      </c>
      <c r="C4">
        <v>-0.35222999999999999</v>
      </c>
      <c r="D4">
        <f t="shared" si="0"/>
        <v>-9.5806559999999994</v>
      </c>
      <c r="E4">
        <f t="shared" si="1"/>
        <v>3.5840440000000005</v>
      </c>
      <c r="F4">
        <f t="shared" si="2"/>
        <v>3.5840440000000005</v>
      </c>
      <c r="G4">
        <f t="shared" si="3"/>
        <v>12.845371393936004</v>
      </c>
    </row>
    <row r="5" spans="1:47" x14ac:dyDescent="0.45">
      <c r="A5" t="s">
        <v>116</v>
      </c>
      <c r="B5">
        <v>-12.5177</v>
      </c>
      <c r="C5">
        <v>-0.32662000000000002</v>
      </c>
      <c r="D5">
        <f t="shared" si="0"/>
        <v>-8.8840640000000004</v>
      </c>
      <c r="E5">
        <f t="shared" si="1"/>
        <v>3.6336359999999992</v>
      </c>
      <c r="F5">
        <f t="shared" si="2"/>
        <v>3.6336359999999992</v>
      </c>
      <c r="G5">
        <f t="shared" si="3"/>
        <v>13.203310580495994</v>
      </c>
    </row>
    <row r="6" spans="1:47" x14ac:dyDescent="0.45">
      <c r="A6" t="s">
        <v>117</v>
      </c>
      <c r="B6">
        <v>-12.6152</v>
      </c>
      <c r="C6">
        <v>-0.31189</v>
      </c>
      <c r="D6">
        <f t="shared" si="0"/>
        <v>-8.4834079999999989</v>
      </c>
      <c r="E6">
        <f t="shared" si="1"/>
        <v>4.1317920000000008</v>
      </c>
      <c r="F6">
        <f t="shared" si="2"/>
        <v>4.1317920000000008</v>
      </c>
      <c r="G6">
        <f t="shared" si="3"/>
        <v>17.071705131264007</v>
      </c>
    </row>
    <row r="7" spans="1:47" x14ac:dyDescent="0.45">
      <c r="A7" t="s">
        <v>118</v>
      </c>
      <c r="B7">
        <v>-12.494</v>
      </c>
      <c r="C7">
        <v>-0.32251000000000002</v>
      </c>
      <c r="D7">
        <f t="shared" si="0"/>
        <v>-8.772272000000001</v>
      </c>
      <c r="E7">
        <f t="shared" si="1"/>
        <v>3.7217279999999988</v>
      </c>
      <c r="F7">
        <f t="shared" si="2"/>
        <v>3.7217279999999988</v>
      </c>
      <c r="G7">
        <f t="shared" si="3"/>
        <v>13.851259305983991</v>
      </c>
    </row>
    <row r="8" spans="1:47" x14ac:dyDescent="0.45">
      <c r="A8" t="s">
        <v>7</v>
      </c>
      <c r="B8">
        <v>-12.6158</v>
      </c>
      <c r="C8">
        <v>-0.30260999999999999</v>
      </c>
      <c r="D8">
        <f t="shared" si="0"/>
        <v>-8.2309919999999988</v>
      </c>
      <c r="E8">
        <f t="shared" si="1"/>
        <v>4.3848080000000014</v>
      </c>
      <c r="F8">
        <f t="shared" si="2"/>
        <v>4.3848080000000014</v>
      </c>
      <c r="G8">
        <f t="shared" si="3"/>
        <v>19.226541196864012</v>
      </c>
    </row>
    <row r="9" spans="1:47" x14ac:dyDescent="0.45">
      <c r="A9" t="s">
        <v>8</v>
      </c>
      <c r="B9">
        <v>-12.4956</v>
      </c>
      <c r="C9">
        <v>-0.29965999999999998</v>
      </c>
      <c r="D9">
        <f t="shared" si="0"/>
        <v>-8.1507519999999989</v>
      </c>
      <c r="E9">
        <f t="shared" si="1"/>
        <v>4.3448480000000007</v>
      </c>
      <c r="F9">
        <f t="shared" si="2"/>
        <v>4.3448480000000007</v>
      </c>
      <c r="G9">
        <f t="shared" si="3"/>
        <v>18.877704143104005</v>
      </c>
    </row>
    <row r="10" spans="1:47" x14ac:dyDescent="0.45">
      <c r="A10" t="s">
        <v>9</v>
      </c>
      <c r="B10">
        <v>-12.6046</v>
      </c>
      <c r="C10">
        <v>-0.31396000000000002</v>
      </c>
      <c r="D10">
        <f t="shared" si="0"/>
        <v>-8.5397119999999997</v>
      </c>
      <c r="E10">
        <f t="shared" si="1"/>
        <v>4.0648879999999998</v>
      </c>
      <c r="F10">
        <f t="shared" si="2"/>
        <v>4.0648879999999998</v>
      </c>
      <c r="G10">
        <f t="shared" si="3"/>
        <v>16.523314452544</v>
      </c>
    </row>
    <row r="11" spans="1:47" x14ac:dyDescent="0.45">
      <c r="A11" t="s">
        <v>10</v>
      </c>
      <c r="B11">
        <v>-12.5868</v>
      </c>
      <c r="C11">
        <v>-0.31319000000000002</v>
      </c>
      <c r="D11">
        <f t="shared" si="0"/>
        <v>-8.5187679999999997</v>
      </c>
      <c r="E11">
        <f t="shared" si="1"/>
        <v>4.0680320000000005</v>
      </c>
      <c r="F11">
        <f t="shared" si="2"/>
        <v>4.0680320000000005</v>
      </c>
      <c r="G11">
        <f t="shared" si="3"/>
        <v>16.548884353024004</v>
      </c>
    </row>
    <row r="12" spans="1:47" x14ac:dyDescent="0.45">
      <c r="A12" t="s">
        <v>11</v>
      </c>
      <c r="B12">
        <v>-12.6991</v>
      </c>
      <c r="C12">
        <v>-0.32790000000000002</v>
      </c>
      <c r="D12">
        <f t="shared" si="0"/>
        <v>-8.9188799999999997</v>
      </c>
      <c r="E12">
        <f t="shared" si="1"/>
        <v>3.7802199999999999</v>
      </c>
      <c r="F12">
        <f t="shared" si="2"/>
        <v>3.7802199999999999</v>
      </c>
      <c r="G12">
        <f t="shared" si="3"/>
        <v>14.290063248399999</v>
      </c>
    </row>
    <row r="13" spans="1:47" x14ac:dyDescent="0.45">
      <c r="A13" t="s">
        <v>12</v>
      </c>
      <c r="B13">
        <v>-12.2233</v>
      </c>
      <c r="C13">
        <v>-0.32002000000000003</v>
      </c>
      <c r="D13">
        <f t="shared" si="0"/>
        <v>-8.7045440000000003</v>
      </c>
      <c r="E13">
        <f t="shared" si="1"/>
        <v>3.5187559999999998</v>
      </c>
      <c r="F13">
        <f t="shared" si="2"/>
        <v>3.5187559999999998</v>
      </c>
      <c r="G13">
        <f t="shared" si="3"/>
        <v>12.381643787535998</v>
      </c>
    </row>
    <row r="14" spans="1:47" x14ac:dyDescent="0.45">
      <c r="A14" t="s">
        <v>13</v>
      </c>
      <c r="B14">
        <v>-12.549099999999999</v>
      </c>
      <c r="C14">
        <v>-0.31241000000000002</v>
      </c>
      <c r="D14">
        <f t="shared" si="0"/>
        <v>-8.4975520000000007</v>
      </c>
      <c r="E14">
        <f t="shared" si="1"/>
        <v>4.0515479999999986</v>
      </c>
      <c r="F14">
        <f t="shared" si="2"/>
        <v>4.0515479999999986</v>
      </c>
      <c r="G14">
        <f t="shared" si="3"/>
        <v>16.415041196303989</v>
      </c>
    </row>
    <row r="15" spans="1:47" x14ac:dyDescent="0.45">
      <c r="A15" t="s">
        <v>119</v>
      </c>
      <c r="B15">
        <v>-12.9428</v>
      </c>
      <c r="C15">
        <v>-0.33895999999999998</v>
      </c>
      <c r="D15">
        <f t="shared" si="0"/>
        <v>-9.2197119999999995</v>
      </c>
      <c r="E15">
        <f t="shared" si="1"/>
        <v>3.7230880000000006</v>
      </c>
      <c r="F15">
        <f t="shared" si="2"/>
        <v>3.7230880000000006</v>
      </c>
      <c r="G15">
        <f t="shared" si="3"/>
        <v>13.861384255744005</v>
      </c>
      <c r="AU15" s="1"/>
    </row>
    <row r="16" spans="1:47" x14ac:dyDescent="0.45">
      <c r="A16" t="s">
        <v>14</v>
      </c>
      <c r="B16">
        <v>-12.8117</v>
      </c>
      <c r="C16">
        <v>-0.32832</v>
      </c>
      <c r="D16">
        <f t="shared" si="0"/>
        <v>-8.9303039999999996</v>
      </c>
      <c r="E16">
        <f t="shared" si="1"/>
        <v>3.8813960000000005</v>
      </c>
      <c r="F16">
        <f t="shared" si="2"/>
        <v>3.8813960000000005</v>
      </c>
      <c r="G16">
        <f t="shared" si="3"/>
        <v>15.065234908816004</v>
      </c>
      <c r="AU16" s="1"/>
    </row>
    <row r="17" spans="1:47" x14ac:dyDescent="0.45">
      <c r="A17" t="s">
        <v>121</v>
      </c>
      <c r="B17">
        <v>-12.9084</v>
      </c>
      <c r="C17">
        <v>-0.33577000000000001</v>
      </c>
      <c r="D17">
        <f t="shared" si="0"/>
        <v>-9.1329440000000002</v>
      </c>
      <c r="E17">
        <f t="shared" si="1"/>
        <v>3.7754560000000001</v>
      </c>
      <c r="F17">
        <f t="shared" si="2"/>
        <v>3.7754560000000001</v>
      </c>
      <c r="G17">
        <f t="shared" si="3"/>
        <v>14.254068007936</v>
      </c>
      <c r="AU17" s="1"/>
    </row>
    <row r="18" spans="1:47" x14ac:dyDescent="0.45">
      <c r="A18" t="s">
        <v>122</v>
      </c>
      <c r="B18">
        <v>-12.7232</v>
      </c>
      <c r="C18">
        <v>-0.30871999999999999</v>
      </c>
      <c r="D18">
        <f t="shared" si="0"/>
        <v>-8.3971839999999993</v>
      </c>
      <c r="E18">
        <f t="shared" si="1"/>
        <v>4.326016000000001</v>
      </c>
      <c r="F18">
        <f t="shared" si="2"/>
        <v>4.326016000000001</v>
      </c>
      <c r="G18">
        <f t="shared" si="3"/>
        <v>18.714414432256007</v>
      </c>
      <c r="AU18" s="1"/>
    </row>
    <row r="19" spans="1:47" x14ac:dyDescent="0.45">
      <c r="A19" t="s">
        <v>123</v>
      </c>
      <c r="B19">
        <v>-12.7226</v>
      </c>
      <c r="C19">
        <v>-0.30732999999999999</v>
      </c>
      <c r="D19">
        <f t="shared" si="0"/>
        <v>-8.3593759999999993</v>
      </c>
      <c r="E19">
        <f t="shared" si="1"/>
        <v>4.3632240000000007</v>
      </c>
      <c r="F19">
        <f t="shared" si="2"/>
        <v>4.3632240000000007</v>
      </c>
      <c r="G19">
        <f t="shared" si="3"/>
        <v>19.037723674176007</v>
      </c>
      <c r="AU19" s="1"/>
    </row>
    <row r="20" spans="1:47" x14ac:dyDescent="0.45">
      <c r="A20" t="s">
        <v>124</v>
      </c>
      <c r="B20">
        <v>-12.811199999999999</v>
      </c>
      <c r="C20">
        <v>-0.30704999999999999</v>
      </c>
      <c r="D20">
        <f t="shared" si="0"/>
        <v>-8.3517599999999987</v>
      </c>
      <c r="E20">
        <f t="shared" si="1"/>
        <v>4.4594400000000007</v>
      </c>
      <c r="F20">
        <f t="shared" si="2"/>
        <v>4.4594400000000007</v>
      </c>
      <c r="G20">
        <f t="shared" si="3"/>
        <v>19.886605113600005</v>
      </c>
    </row>
    <row r="21" spans="1:47" x14ac:dyDescent="0.45">
      <c r="A21" t="s">
        <v>125</v>
      </c>
      <c r="B21">
        <v>-12.7803</v>
      </c>
      <c r="C21">
        <v>-0.30820999999999998</v>
      </c>
      <c r="D21">
        <f t="shared" si="0"/>
        <v>-8.3833120000000001</v>
      </c>
      <c r="E21">
        <f t="shared" si="1"/>
        <v>4.3969880000000003</v>
      </c>
      <c r="F21">
        <f t="shared" si="2"/>
        <v>4.3969880000000003</v>
      </c>
      <c r="G21">
        <f t="shared" si="3"/>
        <v>19.333503472144002</v>
      </c>
    </row>
    <row r="22" spans="1:47" x14ac:dyDescent="0.45">
      <c r="A22" t="s">
        <v>15</v>
      </c>
      <c r="B22">
        <v>-12.5762</v>
      </c>
      <c r="C22">
        <v>-0.311</v>
      </c>
      <c r="D22">
        <f t="shared" si="0"/>
        <v>-8.4591999999999992</v>
      </c>
      <c r="E22">
        <f t="shared" si="1"/>
        <v>4.1170000000000009</v>
      </c>
      <c r="F22">
        <f t="shared" si="2"/>
        <v>4.1170000000000009</v>
      </c>
      <c r="G22">
        <f t="shared" si="3"/>
        <v>16.949689000000006</v>
      </c>
    </row>
    <row r="23" spans="1:47" x14ac:dyDescent="0.45">
      <c r="A23" t="s">
        <v>16</v>
      </c>
      <c r="B23">
        <v>-13.1076</v>
      </c>
      <c r="C23">
        <v>-0.33209</v>
      </c>
      <c r="D23">
        <f t="shared" si="0"/>
        <v>-9.0328479999999995</v>
      </c>
      <c r="E23">
        <f t="shared" si="1"/>
        <v>4.0747520000000002</v>
      </c>
      <c r="F23">
        <f t="shared" si="2"/>
        <v>4.0747520000000002</v>
      </c>
      <c r="G23">
        <f t="shared" si="3"/>
        <v>16.603603861504002</v>
      </c>
    </row>
    <row r="24" spans="1:47" x14ac:dyDescent="0.45">
      <c r="A24" t="s">
        <v>17</v>
      </c>
      <c r="B24">
        <v>-12.923999999999999</v>
      </c>
      <c r="C24">
        <v>-0.32307999999999998</v>
      </c>
      <c r="D24">
        <f t="shared" si="0"/>
        <v>-8.7877759999999991</v>
      </c>
      <c r="E24">
        <f t="shared" si="1"/>
        <v>4.1362240000000003</v>
      </c>
      <c r="F24">
        <f t="shared" si="2"/>
        <v>4.1362240000000003</v>
      </c>
      <c r="G24">
        <f t="shared" si="3"/>
        <v>17.108348978176004</v>
      </c>
    </row>
    <row r="25" spans="1:47" x14ac:dyDescent="0.45">
      <c r="A25" t="s">
        <v>19</v>
      </c>
      <c r="B25">
        <v>-12.588200000000001</v>
      </c>
      <c r="C25">
        <v>-0.29393999999999998</v>
      </c>
      <c r="D25">
        <f t="shared" si="0"/>
        <v>-7.9951679999999996</v>
      </c>
      <c r="E25">
        <f t="shared" si="1"/>
        <v>4.5930320000000009</v>
      </c>
      <c r="F25">
        <f t="shared" si="2"/>
        <v>4.5930320000000009</v>
      </c>
      <c r="G25">
        <f t="shared" si="3"/>
        <v>21.095942953024007</v>
      </c>
    </row>
    <row r="26" spans="1:47" x14ac:dyDescent="0.45">
      <c r="A26" t="s">
        <v>20</v>
      </c>
      <c r="B26">
        <v>-12.506500000000001</v>
      </c>
      <c r="C26">
        <v>-0.29181000000000001</v>
      </c>
      <c r="D26">
        <f t="shared" si="0"/>
        <v>-7.9372319999999998</v>
      </c>
      <c r="E26">
        <f t="shared" si="1"/>
        <v>4.569268000000001</v>
      </c>
      <c r="F26">
        <f t="shared" si="2"/>
        <v>4.569268000000001</v>
      </c>
      <c r="G26">
        <f t="shared" si="3"/>
        <v>20.87821005582401</v>
      </c>
    </row>
    <row r="27" spans="1:47" x14ac:dyDescent="0.45">
      <c r="A27" t="s">
        <v>21</v>
      </c>
      <c r="B27">
        <v>-12.7425</v>
      </c>
      <c r="C27">
        <v>-0.29605999999999999</v>
      </c>
      <c r="D27">
        <f t="shared" si="0"/>
        <v>-8.0528319999999987</v>
      </c>
      <c r="E27">
        <f t="shared" si="1"/>
        <v>4.6896680000000011</v>
      </c>
      <c r="F27">
        <f t="shared" si="2"/>
        <v>4.6896680000000011</v>
      </c>
      <c r="G27">
        <f t="shared" si="3"/>
        <v>21.992985950224011</v>
      </c>
    </row>
    <row r="28" spans="1:47" x14ac:dyDescent="0.45">
      <c r="A28" t="s">
        <v>22</v>
      </c>
      <c r="B28">
        <v>-12.161</v>
      </c>
      <c r="C28">
        <v>-0.28266999999999998</v>
      </c>
      <c r="D28">
        <f t="shared" si="0"/>
        <v>-7.688623999999999</v>
      </c>
      <c r="E28">
        <f t="shared" si="1"/>
        <v>4.4723760000000006</v>
      </c>
      <c r="F28">
        <f t="shared" si="2"/>
        <v>4.4723760000000006</v>
      </c>
      <c r="G28">
        <f t="shared" si="3"/>
        <v>20.002147085376006</v>
      </c>
    </row>
    <row r="29" spans="1:47" x14ac:dyDescent="0.45">
      <c r="A29" t="s">
        <v>23</v>
      </c>
      <c r="B29">
        <v>-12.2967</v>
      </c>
      <c r="C29">
        <v>-0.30351</v>
      </c>
      <c r="D29">
        <f t="shared" si="0"/>
        <v>-8.2554719999999993</v>
      </c>
      <c r="E29">
        <f t="shared" si="1"/>
        <v>4.0412280000000003</v>
      </c>
      <c r="F29">
        <f t="shared" si="2"/>
        <v>4.0412280000000003</v>
      </c>
      <c r="G29">
        <f t="shared" si="3"/>
        <v>16.331523747984001</v>
      </c>
    </row>
    <row r="30" spans="1:47" x14ac:dyDescent="0.45">
      <c r="A30" t="s">
        <v>24</v>
      </c>
      <c r="B30">
        <v>-12.1699</v>
      </c>
      <c r="C30">
        <v>-0.28049000000000002</v>
      </c>
      <c r="D30">
        <f t="shared" si="0"/>
        <v>-7.6293280000000001</v>
      </c>
      <c r="E30">
        <f t="shared" si="1"/>
        <v>4.5405720000000001</v>
      </c>
      <c r="F30">
        <f t="shared" si="2"/>
        <v>4.5405720000000001</v>
      </c>
      <c r="G30">
        <f t="shared" si="3"/>
        <v>20.616794087184001</v>
      </c>
    </row>
    <row r="31" spans="1:47" x14ac:dyDescent="0.45">
      <c r="A31" t="s">
        <v>25</v>
      </c>
      <c r="B31">
        <v>-12.5837</v>
      </c>
      <c r="C31">
        <v>-0.29871999999999999</v>
      </c>
      <c r="D31">
        <f t="shared" si="0"/>
        <v>-8.1251839999999991</v>
      </c>
      <c r="E31">
        <f t="shared" si="1"/>
        <v>4.4585160000000013</v>
      </c>
      <c r="F31">
        <f t="shared" si="2"/>
        <v>4.4585160000000013</v>
      </c>
      <c r="G31">
        <f t="shared" si="3"/>
        <v>19.878364922256011</v>
      </c>
    </row>
    <row r="32" spans="1:47" x14ac:dyDescent="0.45">
      <c r="A32" t="s">
        <v>26</v>
      </c>
      <c r="B32">
        <v>-12.6911</v>
      </c>
      <c r="C32">
        <v>-0.28870000000000001</v>
      </c>
      <c r="D32">
        <f t="shared" si="0"/>
        <v>-7.8526400000000001</v>
      </c>
      <c r="E32">
        <f t="shared" si="1"/>
        <v>4.8384600000000004</v>
      </c>
      <c r="F32">
        <f t="shared" si="2"/>
        <v>4.8384600000000004</v>
      </c>
      <c r="G32">
        <f t="shared" si="3"/>
        <v>23.410695171600004</v>
      </c>
    </row>
    <row r="33" spans="1:7" x14ac:dyDescent="0.45">
      <c r="A33" t="s">
        <v>27</v>
      </c>
      <c r="B33">
        <v>-12.738099999999999</v>
      </c>
      <c r="C33">
        <v>-0.30598999999999998</v>
      </c>
      <c r="D33">
        <f t="shared" si="0"/>
        <v>-8.3229279999999992</v>
      </c>
      <c r="E33">
        <f t="shared" si="1"/>
        <v>4.4151720000000001</v>
      </c>
      <c r="F33">
        <f t="shared" si="2"/>
        <v>4.4151720000000001</v>
      </c>
      <c r="G33">
        <f t="shared" si="3"/>
        <v>19.493743789584002</v>
      </c>
    </row>
    <row r="34" spans="1:7" x14ac:dyDescent="0.45">
      <c r="A34" t="s">
        <v>28</v>
      </c>
      <c r="B34">
        <v>-12.1396</v>
      </c>
      <c r="C34">
        <v>-0.29632999999999998</v>
      </c>
      <c r="D34">
        <f t="shared" si="0"/>
        <v>-8.0601759999999985</v>
      </c>
      <c r="E34">
        <f t="shared" si="1"/>
        <v>4.0794240000000013</v>
      </c>
      <c r="F34">
        <f t="shared" si="2"/>
        <v>4.0794240000000013</v>
      </c>
      <c r="G34">
        <f t="shared" si="3"/>
        <v>16.641700171776009</v>
      </c>
    </row>
    <row r="35" spans="1:7" x14ac:dyDescent="0.45">
      <c r="A35" t="s">
        <v>126</v>
      </c>
      <c r="B35">
        <v>-12.835699999999999</v>
      </c>
      <c r="C35">
        <v>-0.31330000000000002</v>
      </c>
      <c r="D35">
        <f t="shared" si="0"/>
        <v>-8.5217600000000004</v>
      </c>
      <c r="E35">
        <f t="shared" si="1"/>
        <v>4.3139399999999988</v>
      </c>
      <c r="F35">
        <f t="shared" si="2"/>
        <v>4.3139399999999988</v>
      </c>
      <c r="G35">
        <f t="shared" si="3"/>
        <v>18.610078323599989</v>
      </c>
    </row>
    <row r="36" spans="1:7" x14ac:dyDescent="0.45">
      <c r="A36" t="s">
        <v>29</v>
      </c>
      <c r="B36">
        <v>-12.371499999999999</v>
      </c>
      <c r="C36">
        <v>-0.27084999999999998</v>
      </c>
      <c r="D36">
        <f t="shared" si="0"/>
        <v>-7.367119999999999</v>
      </c>
      <c r="E36">
        <f t="shared" si="1"/>
        <v>5.0043800000000003</v>
      </c>
      <c r="F36">
        <f t="shared" si="2"/>
        <v>5.0043800000000003</v>
      </c>
      <c r="G36">
        <f t="shared" si="3"/>
        <v>25.043819184400004</v>
      </c>
    </row>
    <row r="37" spans="1:7" x14ac:dyDescent="0.45">
      <c r="A37" t="s">
        <v>30</v>
      </c>
      <c r="B37">
        <v>-12.360900000000001</v>
      </c>
      <c r="C37">
        <v>-0.28051999999999999</v>
      </c>
      <c r="D37">
        <f t="shared" si="0"/>
        <v>-7.6301439999999996</v>
      </c>
      <c r="E37">
        <f t="shared" si="1"/>
        <v>4.7307560000000013</v>
      </c>
      <c r="F37">
        <f t="shared" si="2"/>
        <v>4.7307560000000013</v>
      </c>
      <c r="G37">
        <f t="shared" si="3"/>
        <v>22.380052331536014</v>
      </c>
    </row>
    <row r="38" spans="1:7" x14ac:dyDescent="0.45">
      <c r="A38" t="s">
        <v>31</v>
      </c>
      <c r="B38">
        <v>-12.5854</v>
      </c>
      <c r="C38">
        <v>-0.31830999999999998</v>
      </c>
      <c r="D38">
        <f t="shared" si="0"/>
        <v>-8.6580319999999986</v>
      </c>
      <c r="E38">
        <f t="shared" si="1"/>
        <v>3.9273680000000013</v>
      </c>
      <c r="F38">
        <f t="shared" si="2"/>
        <v>3.9273680000000013</v>
      </c>
      <c r="G38">
        <f t="shared" si="3"/>
        <v>15.42421940742401</v>
      </c>
    </row>
    <row r="39" spans="1:7" x14ac:dyDescent="0.45">
      <c r="A39" t="s">
        <v>127</v>
      </c>
      <c r="B39">
        <v>-12.9254</v>
      </c>
      <c r="C39">
        <v>-0.32894000000000001</v>
      </c>
      <c r="D39">
        <f t="shared" si="0"/>
        <v>-8.9471679999999996</v>
      </c>
      <c r="E39">
        <f t="shared" si="1"/>
        <v>3.9782320000000002</v>
      </c>
      <c r="F39">
        <f t="shared" si="2"/>
        <v>3.9782320000000002</v>
      </c>
      <c r="G39">
        <f t="shared" si="3"/>
        <v>15.826329845824002</v>
      </c>
    </row>
    <row r="40" spans="1:7" x14ac:dyDescent="0.45">
      <c r="A40" t="s">
        <v>128</v>
      </c>
      <c r="B40">
        <v>-12.553900000000001</v>
      </c>
      <c r="C40">
        <v>-0.30151</v>
      </c>
      <c r="D40">
        <f t="shared" si="0"/>
        <v>-8.2010719999999999</v>
      </c>
      <c r="E40">
        <f t="shared" si="1"/>
        <v>4.3528280000000006</v>
      </c>
      <c r="F40">
        <f t="shared" si="2"/>
        <v>4.3528280000000006</v>
      </c>
      <c r="G40">
        <f t="shared" si="3"/>
        <v>18.947111597584005</v>
      </c>
    </row>
    <row r="41" spans="1:7" x14ac:dyDescent="0.45">
      <c r="A41" t="s">
        <v>32</v>
      </c>
      <c r="B41">
        <v>-12.6159</v>
      </c>
      <c r="C41">
        <v>-0.32612999999999998</v>
      </c>
      <c r="D41">
        <f t="shared" si="0"/>
        <v>-8.8707359999999991</v>
      </c>
      <c r="E41">
        <f t="shared" si="1"/>
        <v>3.7451640000000008</v>
      </c>
      <c r="F41">
        <f t="shared" si="2"/>
        <v>3.7451640000000008</v>
      </c>
      <c r="G41">
        <f t="shared" si="3"/>
        <v>14.026253386896006</v>
      </c>
    </row>
    <row r="42" spans="1:7" x14ac:dyDescent="0.45">
      <c r="A42" t="s">
        <v>33</v>
      </c>
      <c r="B42">
        <v>-12.597099999999999</v>
      </c>
      <c r="C42">
        <v>-0.32288</v>
      </c>
      <c r="D42">
        <f t="shared" si="0"/>
        <v>-8.782335999999999</v>
      </c>
      <c r="E42">
        <f t="shared" si="1"/>
        <v>3.8147640000000003</v>
      </c>
      <c r="F42">
        <f t="shared" si="2"/>
        <v>3.8147640000000003</v>
      </c>
      <c r="G42">
        <f t="shared" si="3"/>
        <v>14.552424375696003</v>
      </c>
    </row>
    <row r="43" spans="1:7" x14ac:dyDescent="0.45">
      <c r="A43" t="s">
        <v>34</v>
      </c>
      <c r="B43">
        <v>-12.5815</v>
      </c>
      <c r="C43">
        <v>-0.31026999999999999</v>
      </c>
      <c r="D43">
        <f t="shared" si="0"/>
        <v>-8.4393440000000002</v>
      </c>
      <c r="E43">
        <f t="shared" si="1"/>
        <v>4.1421559999999999</v>
      </c>
      <c r="F43">
        <f t="shared" si="2"/>
        <v>4.1421559999999999</v>
      </c>
      <c r="G43">
        <f t="shared" si="3"/>
        <v>17.157456328336</v>
      </c>
    </row>
    <row r="44" spans="1:7" x14ac:dyDescent="0.45">
      <c r="A44" t="s">
        <v>35</v>
      </c>
      <c r="B44">
        <v>-12.412000000000001</v>
      </c>
      <c r="C44">
        <v>-0.31173000000000001</v>
      </c>
      <c r="D44">
        <f t="shared" si="0"/>
        <v>-8.4790559999999999</v>
      </c>
      <c r="E44">
        <f t="shared" si="1"/>
        <v>3.9329440000000009</v>
      </c>
      <c r="F44">
        <f t="shared" si="2"/>
        <v>3.9329440000000009</v>
      </c>
      <c r="G44">
        <f t="shared" si="3"/>
        <v>15.468048507136007</v>
      </c>
    </row>
    <row r="45" spans="1:7" x14ac:dyDescent="0.45">
      <c r="A45" t="s">
        <v>36</v>
      </c>
      <c r="B45">
        <v>-12.1557</v>
      </c>
      <c r="C45">
        <v>-0.29444999999999999</v>
      </c>
      <c r="D45">
        <f t="shared" si="0"/>
        <v>-8.0090399999999988</v>
      </c>
      <c r="E45">
        <f t="shared" si="1"/>
        <v>4.1466600000000007</v>
      </c>
      <c r="F45">
        <f t="shared" si="2"/>
        <v>4.1466600000000007</v>
      </c>
      <c r="G45">
        <f t="shared" si="3"/>
        <v>17.194789155600006</v>
      </c>
    </row>
    <row r="46" spans="1:7" x14ac:dyDescent="0.45">
      <c r="A46" t="s">
        <v>37</v>
      </c>
      <c r="B46">
        <v>-12.733000000000001</v>
      </c>
      <c r="C46">
        <v>-0.31408999999999998</v>
      </c>
      <c r="D46">
        <f t="shared" si="0"/>
        <v>-8.5432479999999984</v>
      </c>
      <c r="E46">
        <f t="shared" si="1"/>
        <v>4.1897520000000021</v>
      </c>
      <c r="F46">
        <f t="shared" si="2"/>
        <v>4.1897520000000021</v>
      </c>
      <c r="G46">
        <f t="shared" si="3"/>
        <v>17.554021821504019</v>
      </c>
    </row>
    <row r="47" spans="1:7" x14ac:dyDescent="0.45">
      <c r="A47" t="s">
        <v>38</v>
      </c>
      <c r="B47">
        <v>-12.4285</v>
      </c>
      <c r="C47">
        <v>-0.30495</v>
      </c>
      <c r="D47">
        <f t="shared" si="0"/>
        <v>-8.2946399999999993</v>
      </c>
      <c r="E47">
        <f t="shared" si="1"/>
        <v>4.1338600000000003</v>
      </c>
      <c r="F47">
        <f t="shared" si="2"/>
        <v>4.1338600000000003</v>
      </c>
      <c r="G47">
        <f t="shared" si="3"/>
        <v>17.088798499600003</v>
      </c>
    </row>
    <row r="48" spans="1:7" x14ac:dyDescent="0.45">
      <c r="A48" t="s">
        <v>39</v>
      </c>
      <c r="B48">
        <v>-12.0442</v>
      </c>
      <c r="C48">
        <v>-0.29218</v>
      </c>
      <c r="D48">
        <f t="shared" si="0"/>
        <v>-7.9472959999999997</v>
      </c>
      <c r="E48">
        <f t="shared" si="1"/>
        <v>4.0969040000000003</v>
      </c>
      <c r="F48">
        <f t="shared" si="2"/>
        <v>4.0969040000000003</v>
      </c>
      <c r="G48">
        <f t="shared" si="3"/>
        <v>16.784622385216004</v>
      </c>
    </row>
    <row r="49" spans="1:7" x14ac:dyDescent="0.45">
      <c r="A49" t="s">
        <v>40</v>
      </c>
      <c r="B49">
        <v>-12.2943</v>
      </c>
      <c r="C49">
        <v>-0.30953999999999998</v>
      </c>
      <c r="D49">
        <f t="shared" si="0"/>
        <v>-8.4194879999999994</v>
      </c>
      <c r="E49">
        <f t="shared" si="1"/>
        <v>3.8748120000000004</v>
      </c>
      <c r="F49">
        <f t="shared" si="2"/>
        <v>3.8748120000000004</v>
      </c>
      <c r="G49">
        <f t="shared" si="3"/>
        <v>15.014168035344003</v>
      </c>
    </row>
    <row r="50" spans="1:7" x14ac:dyDescent="0.45">
      <c r="A50" t="s">
        <v>41</v>
      </c>
      <c r="B50">
        <v>-12.3124</v>
      </c>
      <c r="C50">
        <v>-0.29380000000000001</v>
      </c>
      <c r="D50">
        <f t="shared" si="0"/>
        <v>-7.9913600000000002</v>
      </c>
      <c r="E50">
        <f t="shared" si="1"/>
        <v>4.32104</v>
      </c>
      <c r="F50">
        <f t="shared" si="2"/>
        <v>4.32104</v>
      </c>
      <c r="G50">
        <f t="shared" si="3"/>
        <v>18.671386681600001</v>
      </c>
    </row>
    <row r="51" spans="1:7" x14ac:dyDescent="0.45">
      <c r="A51" t="s">
        <v>42</v>
      </c>
      <c r="B51">
        <v>-12.4269</v>
      </c>
      <c r="C51">
        <v>-0.30237999999999998</v>
      </c>
      <c r="D51">
        <f t="shared" si="0"/>
        <v>-8.224736</v>
      </c>
      <c r="E51">
        <f t="shared" si="1"/>
        <v>4.2021639999999998</v>
      </c>
      <c r="F51">
        <f t="shared" si="2"/>
        <v>4.2021639999999998</v>
      </c>
      <c r="G51">
        <f t="shared" si="3"/>
        <v>17.658182282895996</v>
      </c>
    </row>
    <row r="52" spans="1:7" x14ac:dyDescent="0.45">
      <c r="A52" t="s">
        <v>43</v>
      </c>
      <c r="B52">
        <v>-12.4316</v>
      </c>
      <c r="C52">
        <v>-0.30214000000000002</v>
      </c>
      <c r="D52">
        <f t="shared" si="0"/>
        <v>-8.2182080000000006</v>
      </c>
      <c r="E52">
        <f t="shared" si="1"/>
        <v>4.2133919999999989</v>
      </c>
      <c r="F52">
        <f t="shared" si="2"/>
        <v>4.2133919999999989</v>
      </c>
      <c r="G52">
        <f t="shared" si="3"/>
        <v>17.75267214566399</v>
      </c>
    </row>
    <row r="53" spans="1:7" x14ac:dyDescent="0.45">
      <c r="A53" t="s">
        <v>44</v>
      </c>
      <c r="B53">
        <v>-12.6074</v>
      </c>
      <c r="C53">
        <v>-0.31306</v>
      </c>
      <c r="D53">
        <f t="shared" si="0"/>
        <v>-8.5152319999999992</v>
      </c>
      <c r="E53">
        <f t="shared" si="1"/>
        <v>4.0921680000000009</v>
      </c>
      <c r="F53">
        <f t="shared" si="2"/>
        <v>4.0921680000000009</v>
      </c>
      <c r="G53">
        <f t="shared" si="3"/>
        <v>16.745838940224008</v>
      </c>
    </row>
    <row r="54" spans="1:7" x14ac:dyDescent="0.45">
      <c r="A54" t="s">
        <v>45</v>
      </c>
      <c r="B54">
        <v>-12.4681</v>
      </c>
      <c r="C54">
        <v>-0.30349999999999999</v>
      </c>
      <c r="D54">
        <f t="shared" si="0"/>
        <v>-8.2552000000000003</v>
      </c>
      <c r="E54">
        <f t="shared" si="1"/>
        <v>4.2128999999999994</v>
      </c>
      <c r="F54">
        <f t="shared" si="2"/>
        <v>4.2128999999999994</v>
      </c>
      <c r="G54">
        <f t="shared" si="3"/>
        <v>17.748526409999997</v>
      </c>
    </row>
    <row r="55" spans="1:7" x14ac:dyDescent="0.45">
      <c r="A55" t="s">
        <v>46</v>
      </c>
      <c r="B55">
        <v>-12.7271</v>
      </c>
      <c r="C55">
        <v>-0.30559999999999998</v>
      </c>
      <c r="D55">
        <f t="shared" si="0"/>
        <v>-8.3123199999999997</v>
      </c>
      <c r="E55">
        <f t="shared" si="1"/>
        <v>4.4147800000000004</v>
      </c>
      <c r="F55">
        <f t="shared" si="2"/>
        <v>4.4147800000000004</v>
      </c>
      <c r="G55">
        <f t="shared" si="3"/>
        <v>19.490282448400002</v>
      </c>
    </row>
    <row r="56" spans="1:7" x14ac:dyDescent="0.45">
      <c r="A56" t="s">
        <v>47</v>
      </c>
      <c r="B56">
        <v>-12.3666</v>
      </c>
      <c r="C56">
        <v>-0.29770000000000002</v>
      </c>
      <c r="D56">
        <f t="shared" si="0"/>
        <v>-8.0974400000000006</v>
      </c>
      <c r="E56">
        <f t="shared" si="1"/>
        <v>4.2691599999999994</v>
      </c>
      <c r="F56">
        <f t="shared" si="2"/>
        <v>4.2691599999999994</v>
      </c>
      <c r="G56">
        <f t="shared" si="3"/>
        <v>18.225727105599994</v>
      </c>
    </row>
    <row r="57" spans="1:7" x14ac:dyDescent="0.45">
      <c r="A57" t="s">
        <v>48</v>
      </c>
      <c r="B57">
        <v>-12.5237</v>
      </c>
      <c r="C57">
        <v>-0.29272999999999999</v>
      </c>
      <c r="D57">
        <f t="shared" si="0"/>
        <v>-7.9622559999999991</v>
      </c>
      <c r="E57">
        <f t="shared" si="1"/>
        <v>4.5614440000000007</v>
      </c>
      <c r="F57">
        <f t="shared" si="2"/>
        <v>4.5614440000000007</v>
      </c>
      <c r="G57">
        <f t="shared" si="3"/>
        <v>20.806771365136008</v>
      </c>
    </row>
    <row r="58" spans="1:7" x14ac:dyDescent="0.45">
      <c r="A58" t="s">
        <v>49</v>
      </c>
      <c r="B58">
        <v>-12.6532</v>
      </c>
      <c r="C58">
        <v>-0.31702999999999998</v>
      </c>
      <c r="D58">
        <f t="shared" si="0"/>
        <v>-8.6232159999999993</v>
      </c>
      <c r="E58">
        <f t="shared" si="1"/>
        <v>4.0299840000000007</v>
      </c>
      <c r="F58">
        <f t="shared" si="2"/>
        <v>4.0299840000000007</v>
      </c>
      <c r="G58">
        <f t="shared" si="3"/>
        <v>16.240771040256007</v>
      </c>
    </row>
    <row r="59" spans="1:7" x14ac:dyDescent="0.45">
      <c r="A59" t="s">
        <v>50</v>
      </c>
      <c r="B59">
        <v>-12.7926</v>
      </c>
      <c r="C59">
        <v>-0.31445000000000001</v>
      </c>
      <c r="D59">
        <f t="shared" si="0"/>
        <v>-8.5530399999999993</v>
      </c>
      <c r="E59">
        <f t="shared" si="1"/>
        <v>4.2395600000000009</v>
      </c>
      <c r="F59">
        <f t="shared" si="2"/>
        <v>4.2395600000000009</v>
      </c>
      <c r="G59">
        <f t="shared" si="3"/>
        <v>17.973868993600007</v>
      </c>
    </row>
    <row r="60" spans="1:7" x14ac:dyDescent="0.45">
      <c r="A60" t="s">
        <v>51</v>
      </c>
      <c r="B60">
        <v>-12.7387</v>
      </c>
      <c r="C60">
        <v>-0.31768000000000002</v>
      </c>
      <c r="D60">
        <f t="shared" si="0"/>
        <v>-8.6408959999999997</v>
      </c>
      <c r="E60">
        <f t="shared" si="1"/>
        <v>4.097804</v>
      </c>
      <c r="F60">
        <f t="shared" si="2"/>
        <v>4.097804</v>
      </c>
      <c r="G60">
        <f t="shared" si="3"/>
        <v>16.791997622416002</v>
      </c>
    </row>
    <row r="61" spans="1:7" x14ac:dyDescent="0.45">
      <c r="A61" t="s">
        <v>52</v>
      </c>
      <c r="B61">
        <v>-12.444900000000001</v>
      </c>
      <c r="C61">
        <v>-0.30014000000000002</v>
      </c>
      <c r="D61">
        <f t="shared" si="0"/>
        <v>-8.1638079999999995</v>
      </c>
      <c r="E61">
        <f t="shared" si="1"/>
        <v>4.281092000000001</v>
      </c>
      <c r="F61">
        <f t="shared" ref="F61:F122" si="4">ABS(E61)</f>
        <v>4.281092000000001</v>
      </c>
      <c r="G61">
        <f t="shared" ref="G61:G122" si="5">F61^2</f>
        <v>18.327748712464007</v>
      </c>
    </row>
    <row r="62" spans="1:7" x14ac:dyDescent="0.45">
      <c r="A62" t="s">
        <v>53</v>
      </c>
      <c r="B62">
        <v>-12.4671</v>
      </c>
      <c r="C62">
        <v>-0.29937999999999998</v>
      </c>
      <c r="D62">
        <f t="shared" si="0"/>
        <v>-8.1431359999999984</v>
      </c>
      <c r="E62">
        <f t="shared" si="1"/>
        <v>4.3239640000000019</v>
      </c>
      <c r="F62">
        <f t="shared" si="4"/>
        <v>4.3239640000000019</v>
      </c>
      <c r="G62">
        <f t="shared" si="5"/>
        <v>18.696664673296016</v>
      </c>
    </row>
    <row r="63" spans="1:7" x14ac:dyDescent="0.45">
      <c r="A63" t="s">
        <v>129</v>
      </c>
      <c r="B63">
        <v>-13.2005</v>
      </c>
      <c r="C63">
        <v>-0.34022999999999998</v>
      </c>
      <c r="D63">
        <f t="shared" si="0"/>
        <v>-9.2542559999999998</v>
      </c>
      <c r="E63">
        <f t="shared" si="1"/>
        <v>3.9462440000000001</v>
      </c>
      <c r="F63">
        <f t="shared" si="4"/>
        <v>3.9462440000000001</v>
      </c>
      <c r="G63">
        <f t="shared" si="5"/>
        <v>15.572841707536</v>
      </c>
    </row>
    <row r="64" spans="1:7" x14ac:dyDescent="0.45">
      <c r="A64" t="s">
        <v>130</v>
      </c>
      <c r="B64">
        <v>-12.899900000000001</v>
      </c>
      <c r="C64">
        <v>-0.33764</v>
      </c>
      <c r="D64">
        <f t="shared" si="0"/>
        <v>-9.1838079999999991</v>
      </c>
      <c r="E64">
        <f t="shared" si="1"/>
        <v>3.7160920000000015</v>
      </c>
      <c r="F64">
        <f t="shared" si="4"/>
        <v>3.7160920000000015</v>
      </c>
      <c r="G64">
        <f t="shared" si="5"/>
        <v>13.809339752464011</v>
      </c>
    </row>
    <row r="65" spans="1:7" x14ac:dyDescent="0.45">
      <c r="A65" t="s">
        <v>54</v>
      </c>
      <c r="B65">
        <v>-12.6104</v>
      </c>
      <c r="C65">
        <v>-0.31902999999999998</v>
      </c>
      <c r="D65">
        <f t="shared" ref="D65:D126" si="6">C65*27.2</f>
        <v>-8.6776159999999987</v>
      </c>
      <c r="E65">
        <f t="shared" ref="E65:E126" si="7">(D65-B65)</f>
        <v>3.9327840000000016</v>
      </c>
      <c r="F65">
        <f t="shared" si="4"/>
        <v>3.9327840000000016</v>
      </c>
      <c r="G65">
        <f t="shared" si="5"/>
        <v>15.466789990656013</v>
      </c>
    </row>
    <row r="66" spans="1:7" x14ac:dyDescent="0.45">
      <c r="A66" t="s">
        <v>55</v>
      </c>
      <c r="B66">
        <v>-12.456300000000001</v>
      </c>
      <c r="C66">
        <v>-0.31791000000000003</v>
      </c>
      <c r="D66">
        <f t="shared" si="6"/>
        <v>-8.6471520000000002</v>
      </c>
      <c r="E66">
        <f t="shared" si="7"/>
        <v>3.8091480000000004</v>
      </c>
      <c r="F66">
        <f t="shared" si="4"/>
        <v>3.8091480000000004</v>
      </c>
      <c r="G66">
        <f t="shared" si="5"/>
        <v>14.509608485904003</v>
      </c>
    </row>
    <row r="67" spans="1:7" x14ac:dyDescent="0.45">
      <c r="A67" t="s">
        <v>56</v>
      </c>
      <c r="B67">
        <v>-12.4924</v>
      </c>
      <c r="C67">
        <v>-0.31836999999999999</v>
      </c>
      <c r="D67">
        <f t="shared" si="6"/>
        <v>-8.6596639999999994</v>
      </c>
      <c r="E67">
        <f t="shared" si="7"/>
        <v>3.8327360000000006</v>
      </c>
      <c r="F67">
        <f t="shared" si="4"/>
        <v>3.8327360000000006</v>
      </c>
      <c r="G67">
        <f t="shared" si="5"/>
        <v>14.689865245696005</v>
      </c>
    </row>
    <row r="68" spans="1:7" x14ac:dyDescent="0.45">
      <c r="A68" t="s">
        <v>57</v>
      </c>
      <c r="B68">
        <v>-12.5686</v>
      </c>
      <c r="C68">
        <v>-0.32290999999999997</v>
      </c>
      <c r="D68">
        <f t="shared" si="6"/>
        <v>-8.7831519999999994</v>
      </c>
      <c r="E68">
        <f t="shared" si="7"/>
        <v>3.7854480000000006</v>
      </c>
      <c r="F68">
        <f t="shared" si="4"/>
        <v>3.7854480000000006</v>
      </c>
      <c r="G68">
        <f t="shared" si="5"/>
        <v>14.329616560704004</v>
      </c>
    </row>
    <row r="69" spans="1:7" x14ac:dyDescent="0.45">
      <c r="A69" t="s">
        <v>58</v>
      </c>
      <c r="B69">
        <v>-12.5229</v>
      </c>
      <c r="C69">
        <v>-0.29277999999999998</v>
      </c>
      <c r="D69">
        <f t="shared" si="6"/>
        <v>-7.9636159999999991</v>
      </c>
      <c r="E69">
        <f t="shared" si="7"/>
        <v>4.5592840000000008</v>
      </c>
      <c r="F69">
        <f t="shared" si="4"/>
        <v>4.5592840000000008</v>
      </c>
      <c r="G69">
        <f t="shared" si="5"/>
        <v>20.787070592656008</v>
      </c>
    </row>
    <row r="70" spans="1:7" x14ac:dyDescent="0.45">
      <c r="A70" t="s">
        <v>131</v>
      </c>
      <c r="B70">
        <v>-12.8904</v>
      </c>
      <c r="C70">
        <v>-0.32540000000000002</v>
      </c>
      <c r="D70">
        <f t="shared" si="6"/>
        <v>-8.8508800000000001</v>
      </c>
      <c r="E70">
        <f t="shared" si="7"/>
        <v>4.0395199999999996</v>
      </c>
      <c r="F70">
        <f t="shared" si="4"/>
        <v>4.0395199999999996</v>
      </c>
      <c r="G70">
        <f t="shared" si="5"/>
        <v>16.317721830399996</v>
      </c>
    </row>
    <row r="71" spans="1:7" x14ac:dyDescent="0.45">
      <c r="A71" t="s">
        <v>132</v>
      </c>
      <c r="B71">
        <v>-13.187799999999999</v>
      </c>
      <c r="C71">
        <v>-0.34472999999999998</v>
      </c>
      <c r="D71">
        <f t="shared" si="6"/>
        <v>-9.3766559999999988</v>
      </c>
      <c r="E71">
        <f t="shared" si="7"/>
        <v>3.8111440000000005</v>
      </c>
      <c r="F71">
        <f t="shared" si="4"/>
        <v>3.8111440000000005</v>
      </c>
      <c r="G71">
        <f t="shared" si="5"/>
        <v>14.524818588736004</v>
      </c>
    </row>
    <row r="72" spans="1:7" x14ac:dyDescent="0.45">
      <c r="A72" t="s">
        <v>133</v>
      </c>
      <c r="B72">
        <v>-12.805899999999999</v>
      </c>
      <c r="C72">
        <v>-0.31408000000000003</v>
      </c>
      <c r="D72">
        <f t="shared" si="6"/>
        <v>-8.5429760000000012</v>
      </c>
      <c r="E72">
        <f t="shared" si="7"/>
        <v>4.2629239999999982</v>
      </c>
      <c r="F72">
        <f t="shared" si="4"/>
        <v>4.2629239999999982</v>
      </c>
      <c r="G72">
        <f t="shared" si="5"/>
        <v>18.172521029775986</v>
      </c>
    </row>
    <row r="73" spans="1:7" x14ac:dyDescent="0.45">
      <c r="A73" t="s">
        <v>59</v>
      </c>
      <c r="B73">
        <v>-12.419600000000001</v>
      </c>
      <c r="C73">
        <v>-0.29598999999999998</v>
      </c>
      <c r="D73">
        <f t="shared" si="6"/>
        <v>-8.050927999999999</v>
      </c>
      <c r="E73">
        <f t="shared" si="7"/>
        <v>4.3686720000000019</v>
      </c>
      <c r="F73">
        <f t="shared" si="4"/>
        <v>4.3686720000000019</v>
      </c>
      <c r="G73">
        <f t="shared" si="5"/>
        <v>19.085295043584015</v>
      </c>
    </row>
    <row r="74" spans="1:7" x14ac:dyDescent="0.45">
      <c r="A74" t="s">
        <v>60</v>
      </c>
      <c r="B74">
        <v>-12.55</v>
      </c>
      <c r="C74">
        <v>-0.30373</v>
      </c>
      <c r="D74">
        <f t="shared" si="6"/>
        <v>-8.261455999999999</v>
      </c>
      <c r="E74">
        <f t="shared" si="7"/>
        <v>4.2885440000000017</v>
      </c>
      <c r="F74">
        <f t="shared" si="4"/>
        <v>4.2885440000000017</v>
      </c>
      <c r="G74">
        <f t="shared" si="5"/>
        <v>18.391609639936014</v>
      </c>
    </row>
    <row r="75" spans="1:7" x14ac:dyDescent="0.45">
      <c r="A75" t="s">
        <v>61</v>
      </c>
      <c r="B75">
        <v>-12.5183</v>
      </c>
      <c r="C75">
        <v>-0.29985000000000001</v>
      </c>
      <c r="D75">
        <f t="shared" si="6"/>
        <v>-8.1559200000000001</v>
      </c>
      <c r="E75">
        <f t="shared" si="7"/>
        <v>4.3623799999999999</v>
      </c>
      <c r="F75">
        <f t="shared" si="4"/>
        <v>4.3623799999999999</v>
      </c>
      <c r="G75">
        <f t="shared" si="5"/>
        <v>19.030359264399998</v>
      </c>
    </row>
    <row r="76" spans="1:7" x14ac:dyDescent="0.45">
      <c r="A76" t="s">
        <v>62</v>
      </c>
      <c r="B76">
        <v>-12.606</v>
      </c>
      <c r="C76">
        <v>-0.31509999999999999</v>
      </c>
      <c r="D76">
        <f t="shared" si="6"/>
        <v>-8.5707199999999997</v>
      </c>
      <c r="E76">
        <f t="shared" si="7"/>
        <v>4.0352800000000002</v>
      </c>
      <c r="F76">
        <f t="shared" si="4"/>
        <v>4.0352800000000002</v>
      </c>
      <c r="G76">
        <f t="shared" si="5"/>
        <v>16.283484678400001</v>
      </c>
    </row>
    <row r="77" spans="1:7" x14ac:dyDescent="0.45">
      <c r="A77" t="s">
        <v>63</v>
      </c>
      <c r="B77">
        <v>-12.6968</v>
      </c>
      <c r="C77">
        <v>-0.31645000000000001</v>
      </c>
      <c r="D77">
        <f t="shared" si="6"/>
        <v>-8.6074400000000004</v>
      </c>
      <c r="E77">
        <f t="shared" si="7"/>
        <v>4.0893599999999992</v>
      </c>
      <c r="F77">
        <f t="shared" si="4"/>
        <v>4.0893599999999992</v>
      </c>
      <c r="G77">
        <f t="shared" si="5"/>
        <v>16.722865209599995</v>
      </c>
    </row>
    <row r="78" spans="1:7" x14ac:dyDescent="0.45">
      <c r="A78" t="s">
        <v>64</v>
      </c>
      <c r="B78">
        <v>-12.673299999999999</v>
      </c>
      <c r="C78">
        <v>-0.32028000000000001</v>
      </c>
      <c r="D78">
        <f t="shared" si="6"/>
        <v>-8.7116159999999994</v>
      </c>
      <c r="E78">
        <f t="shared" si="7"/>
        <v>3.961684</v>
      </c>
      <c r="F78">
        <f t="shared" si="4"/>
        <v>3.961684</v>
      </c>
      <c r="G78">
        <f t="shared" si="5"/>
        <v>15.694940115855999</v>
      </c>
    </row>
    <row r="79" spans="1:7" x14ac:dyDescent="0.45">
      <c r="A79" t="s">
        <v>65</v>
      </c>
      <c r="B79">
        <v>-12.6066</v>
      </c>
      <c r="C79">
        <v>-0.32002999999999998</v>
      </c>
      <c r="D79">
        <f t="shared" si="6"/>
        <v>-8.7048159999999992</v>
      </c>
      <c r="E79">
        <f t="shared" si="7"/>
        <v>3.901784000000001</v>
      </c>
      <c r="F79">
        <f t="shared" si="4"/>
        <v>3.901784000000001</v>
      </c>
      <c r="G79">
        <f t="shared" si="5"/>
        <v>15.223918382656008</v>
      </c>
    </row>
    <row r="80" spans="1:7" x14ac:dyDescent="0.45">
      <c r="A80" t="s">
        <v>66</v>
      </c>
      <c r="B80">
        <v>-12.582599999999999</v>
      </c>
      <c r="C80">
        <v>-0.31298999999999999</v>
      </c>
      <c r="D80">
        <f t="shared" si="6"/>
        <v>-8.5133279999999996</v>
      </c>
      <c r="E80">
        <f t="shared" si="7"/>
        <v>4.0692719999999998</v>
      </c>
      <c r="F80">
        <f t="shared" si="4"/>
        <v>4.0692719999999998</v>
      </c>
      <c r="G80">
        <f t="shared" si="5"/>
        <v>16.558974609983999</v>
      </c>
    </row>
    <row r="81" spans="1:7" x14ac:dyDescent="0.45">
      <c r="A81" t="s">
        <v>67</v>
      </c>
      <c r="B81">
        <v>-12.814500000000001</v>
      </c>
      <c r="C81">
        <v>-0.32833000000000001</v>
      </c>
      <c r="D81">
        <f t="shared" si="6"/>
        <v>-8.9305760000000003</v>
      </c>
      <c r="E81">
        <f t="shared" si="7"/>
        <v>3.8839240000000004</v>
      </c>
      <c r="F81">
        <f t="shared" si="4"/>
        <v>3.8839240000000004</v>
      </c>
      <c r="G81">
        <f t="shared" si="5"/>
        <v>15.084865637776003</v>
      </c>
    </row>
    <row r="82" spans="1:7" x14ac:dyDescent="0.45">
      <c r="A82" t="s">
        <v>134</v>
      </c>
      <c r="B82">
        <v>-12.405799999999999</v>
      </c>
      <c r="C82">
        <v>-0.31545000000000001</v>
      </c>
      <c r="D82">
        <f t="shared" si="6"/>
        <v>-8.5802399999999999</v>
      </c>
      <c r="E82">
        <f t="shared" si="7"/>
        <v>3.8255599999999994</v>
      </c>
      <c r="F82">
        <f t="shared" si="4"/>
        <v>3.8255599999999994</v>
      </c>
      <c r="G82">
        <f t="shared" si="5"/>
        <v>14.634909313599996</v>
      </c>
    </row>
    <row r="83" spans="1:7" x14ac:dyDescent="0.45">
      <c r="A83" t="s">
        <v>135</v>
      </c>
      <c r="B83">
        <v>-12.5223</v>
      </c>
      <c r="C83">
        <v>-0.29654000000000003</v>
      </c>
      <c r="D83">
        <f t="shared" si="6"/>
        <v>-8.0658880000000011</v>
      </c>
      <c r="E83">
        <f t="shared" si="7"/>
        <v>4.4564119999999985</v>
      </c>
      <c r="F83">
        <f t="shared" si="4"/>
        <v>4.4564119999999985</v>
      </c>
      <c r="G83">
        <f t="shared" si="5"/>
        <v>19.859607913743986</v>
      </c>
    </row>
    <row r="84" spans="1:7" x14ac:dyDescent="0.45">
      <c r="A84" t="s">
        <v>136</v>
      </c>
      <c r="B84">
        <v>-12.714</v>
      </c>
      <c r="C84">
        <v>-0.30732999999999999</v>
      </c>
      <c r="D84">
        <f t="shared" si="6"/>
        <v>-8.3593759999999993</v>
      </c>
      <c r="E84">
        <f t="shared" si="7"/>
        <v>4.3546240000000012</v>
      </c>
      <c r="F84">
        <f t="shared" si="4"/>
        <v>4.3546240000000012</v>
      </c>
      <c r="G84">
        <f t="shared" si="5"/>
        <v>18.962750181376009</v>
      </c>
    </row>
    <row r="85" spans="1:7" x14ac:dyDescent="0.45">
      <c r="A85" t="s">
        <v>137</v>
      </c>
      <c r="B85">
        <v>-12.8391</v>
      </c>
      <c r="C85">
        <v>-0.30647999999999997</v>
      </c>
      <c r="D85">
        <f t="shared" si="6"/>
        <v>-8.3362559999999988</v>
      </c>
      <c r="E85">
        <f t="shared" si="7"/>
        <v>4.5028440000000014</v>
      </c>
      <c r="F85">
        <f t="shared" si="4"/>
        <v>4.5028440000000014</v>
      </c>
      <c r="G85">
        <f t="shared" si="5"/>
        <v>20.275604088336014</v>
      </c>
    </row>
    <row r="86" spans="1:7" x14ac:dyDescent="0.45">
      <c r="A86" t="s">
        <v>138</v>
      </c>
      <c r="B86">
        <v>-12.7431</v>
      </c>
      <c r="C86">
        <v>-0.31070999999999999</v>
      </c>
      <c r="D86">
        <f t="shared" si="6"/>
        <v>-8.4513119999999997</v>
      </c>
      <c r="E86">
        <f t="shared" si="7"/>
        <v>4.2917880000000004</v>
      </c>
      <c r="F86">
        <f t="shared" si="4"/>
        <v>4.2917880000000004</v>
      </c>
      <c r="G86">
        <f t="shared" si="5"/>
        <v>18.419444236944003</v>
      </c>
    </row>
    <row r="87" spans="1:7" x14ac:dyDescent="0.45">
      <c r="A87" t="s">
        <v>69</v>
      </c>
      <c r="B87">
        <v>-13.164899999999999</v>
      </c>
      <c r="C87">
        <v>-0.33435999999999999</v>
      </c>
      <c r="D87">
        <f t="shared" si="6"/>
        <v>-9.0945919999999987</v>
      </c>
      <c r="E87">
        <f t="shared" si="7"/>
        <v>4.0703080000000007</v>
      </c>
      <c r="F87">
        <f t="shared" si="4"/>
        <v>4.0703080000000007</v>
      </c>
      <c r="G87">
        <f t="shared" si="5"/>
        <v>16.567407214864005</v>
      </c>
    </row>
    <row r="88" spans="1:7" x14ac:dyDescent="0.45">
      <c r="A88" t="s">
        <v>71</v>
      </c>
      <c r="B88">
        <v>-12.946400000000001</v>
      </c>
      <c r="C88">
        <v>-0.32807999999999998</v>
      </c>
      <c r="D88">
        <f t="shared" si="6"/>
        <v>-8.9237760000000002</v>
      </c>
      <c r="E88">
        <f t="shared" si="7"/>
        <v>4.0226240000000004</v>
      </c>
      <c r="F88">
        <f t="shared" si="4"/>
        <v>4.0226240000000004</v>
      </c>
      <c r="G88">
        <f t="shared" si="5"/>
        <v>16.181503845376003</v>
      </c>
    </row>
    <row r="89" spans="1:7" x14ac:dyDescent="0.45">
      <c r="A89" t="s">
        <v>72</v>
      </c>
      <c r="B89">
        <v>-12.610200000000001</v>
      </c>
      <c r="C89">
        <v>-0.29454000000000002</v>
      </c>
      <c r="D89">
        <f t="shared" si="6"/>
        <v>-8.0114879999999999</v>
      </c>
      <c r="E89">
        <f t="shared" si="7"/>
        <v>4.5987120000000008</v>
      </c>
      <c r="F89">
        <f t="shared" si="4"/>
        <v>4.5987120000000008</v>
      </c>
      <c r="G89">
        <f t="shared" si="5"/>
        <v>21.148152058944007</v>
      </c>
    </row>
    <row r="90" spans="1:7" x14ac:dyDescent="0.45">
      <c r="A90" t="s">
        <v>73</v>
      </c>
      <c r="B90">
        <v>-12.5084</v>
      </c>
      <c r="C90">
        <v>-0.29047000000000001</v>
      </c>
      <c r="D90">
        <f t="shared" si="6"/>
        <v>-7.9007839999999998</v>
      </c>
      <c r="E90">
        <f t="shared" si="7"/>
        <v>4.6076160000000002</v>
      </c>
      <c r="F90">
        <f t="shared" si="4"/>
        <v>4.6076160000000002</v>
      </c>
      <c r="G90">
        <f t="shared" si="5"/>
        <v>21.230125203456002</v>
      </c>
    </row>
    <row r="91" spans="1:7" x14ac:dyDescent="0.45">
      <c r="A91" t="s">
        <v>74</v>
      </c>
      <c r="B91">
        <v>-12.7067</v>
      </c>
      <c r="C91">
        <v>-0.29688999999999999</v>
      </c>
      <c r="D91">
        <f t="shared" si="6"/>
        <v>-8.0754079999999995</v>
      </c>
      <c r="E91">
        <f t="shared" si="7"/>
        <v>4.6312920000000002</v>
      </c>
      <c r="F91">
        <f t="shared" si="4"/>
        <v>4.6312920000000002</v>
      </c>
      <c r="G91">
        <f t="shared" si="5"/>
        <v>21.448865589264003</v>
      </c>
    </row>
    <row r="92" spans="1:7" x14ac:dyDescent="0.45">
      <c r="A92" t="s">
        <v>75</v>
      </c>
      <c r="B92">
        <v>-12.1661</v>
      </c>
      <c r="C92">
        <v>-0.28322999999999998</v>
      </c>
      <c r="D92">
        <f t="shared" si="6"/>
        <v>-7.7038559999999991</v>
      </c>
      <c r="E92">
        <f t="shared" si="7"/>
        <v>4.462244000000001</v>
      </c>
      <c r="F92">
        <f t="shared" si="4"/>
        <v>4.462244000000001</v>
      </c>
      <c r="G92">
        <f t="shared" si="5"/>
        <v>19.911621515536009</v>
      </c>
    </row>
    <row r="93" spans="1:7" x14ac:dyDescent="0.45">
      <c r="A93" t="s">
        <v>76</v>
      </c>
      <c r="B93">
        <v>-12.8246</v>
      </c>
      <c r="C93">
        <v>-0.30187999999999998</v>
      </c>
      <c r="D93">
        <f t="shared" si="6"/>
        <v>-8.2111359999999998</v>
      </c>
      <c r="E93">
        <f t="shared" si="7"/>
        <v>4.6134640000000005</v>
      </c>
      <c r="F93">
        <f t="shared" si="4"/>
        <v>4.6134640000000005</v>
      </c>
      <c r="G93">
        <f t="shared" si="5"/>
        <v>21.284050079296005</v>
      </c>
    </row>
    <row r="94" spans="1:7" x14ac:dyDescent="0.45">
      <c r="A94" t="s">
        <v>77</v>
      </c>
      <c r="B94">
        <v>-12.1892</v>
      </c>
      <c r="C94">
        <v>-0.28059000000000001</v>
      </c>
      <c r="D94">
        <f t="shared" si="6"/>
        <v>-7.6320480000000002</v>
      </c>
      <c r="E94">
        <f t="shared" si="7"/>
        <v>4.5571519999999994</v>
      </c>
      <c r="F94">
        <f t="shared" si="4"/>
        <v>4.5571519999999994</v>
      </c>
      <c r="G94">
        <f t="shared" si="5"/>
        <v>20.767634351103993</v>
      </c>
    </row>
    <row r="95" spans="1:7" x14ac:dyDescent="0.45">
      <c r="A95" t="s">
        <v>78</v>
      </c>
      <c r="B95">
        <v>-12.287599999999999</v>
      </c>
      <c r="C95">
        <v>-0.28549000000000002</v>
      </c>
      <c r="D95">
        <f t="shared" si="6"/>
        <v>-7.7653280000000002</v>
      </c>
      <c r="E95">
        <f t="shared" si="7"/>
        <v>4.5222719999999992</v>
      </c>
      <c r="F95">
        <f t="shared" si="4"/>
        <v>4.5222719999999992</v>
      </c>
      <c r="G95">
        <f t="shared" si="5"/>
        <v>20.450944041983991</v>
      </c>
    </row>
    <row r="96" spans="1:7" x14ac:dyDescent="0.45">
      <c r="A96" t="s">
        <v>79</v>
      </c>
      <c r="B96">
        <v>-12.4747</v>
      </c>
      <c r="C96">
        <v>-0.29749999999999999</v>
      </c>
      <c r="D96">
        <f t="shared" si="6"/>
        <v>-8.0919999999999987</v>
      </c>
      <c r="E96">
        <f t="shared" si="7"/>
        <v>4.3827000000000016</v>
      </c>
      <c r="F96">
        <f t="shared" si="4"/>
        <v>4.3827000000000016</v>
      </c>
      <c r="G96">
        <f t="shared" si="5"/>
        <v>19.208059290000016</v>
      </c>
    </row>
    <row r="97" spans="1:7" x14ac:dyDescent="0.45">
      <c r="A97" t="s">
        <v>80</v>
      </c>
      <c r="B97">
        <v>-12.4217</v>
      </c>
      <c r="C97">
        <v>-0.28567999999999999</v>
      </c>
      <c r="D97">
        <f t="shared" si="6"/>
        <v>-7.7704959999999996</v>
      </c>
      <c r="E97">
        <f t="shared" si="7"/>
        <v>4.6512039999999999</v>
      </c>
      <c r="F97">
        <f t="shared" si="4"/>
        <v>4.6512039999999999</v>
      </c>
      <c r="G97">
        <f t="shared" si="5"/>
        <v>21.633698649615997</v>
      </c>
    </row>
    <row r="98" spans="1:7" x14ac:dyDescent="0.45">
      <c r="A98" t="s">
        <v>81</v>
      </c>
      <c r="B98">
        <v>-12.277799999999999</v>
      </c>
      <c r="C98">
        <v>-0.30343999999999999</v>
      </c>
      <c r="D98">
        <f t="shared" si="6"/>
        <v>-8.2535679999999996</v>
      </c>
      <c r="E98">
        <f t="shared" si="7"/>
        <v>4.0242319999999996</v>
      </c>
      <c r="F98">
        <f t="shared" si="4"/>
        <v>4.0242319999999996</v>
      </c>
      <c r="G98">
        <f t="shared" si="5"/>
        <v>16.194443189823996</v>
      </c>
    </row>
    <row r="99" spans="1:7" x14ac:dyDescent="0.45">
      <c r="A99" t="s">
        <v>82</v>
      </c>
      <c r="B99">
        <v>-11.875299999999999</v>
      </c>
      <c r="C99">
        <v>-0.27616000000000002</v>
      </c>
      <c r="D99">
        <f t="shared" si="6"/>
        <v>-7.511552</v>
      </c>
      <c r="E99">
        <f t="shared" si="7"/>
        <v>4.3637479999999993</v>
      </c>
      <c r="F99">
        <f t="shared" si="4"/>
        <v>4.3637479999999993</v>
      </c>
      <c r="G99">
        <f t="shared" si="5"/>
        <v>19.042296607503992</v>
      </c>
    </row>
    <row r="100" spans="1:7" x14ac:dyDescent="0.45">
      <c r="A100" t="s">
        <v>83</v>
      </c>
      <c r="B100">
        <v>-12.1858</v>
      </c>
      <c r="C100">
        <v>-0.27132000000000001</v>
      </c>
      <c r="D100">
        <f t="shared" si="6"/>
        <v>-7.3799039999999998</v>
      </c>
      <c r="E100">
        <f t="shared" si="7"/>
        <v>4.8058960000000006</v>
      </c>
      <c r="F100">
        <f t="shared" si="4"/>
        <v>4.8058960000000006</v>
      </c>
      <c r="G100">
        <f t="shared" si="5"/>
        <v>23.096636362816007</v>
      </c>
    </row>
    <row r="101" spans="1:7" x14ac:dyDescent="0.45">
      <c r="A101" t="s">
        <v>84</v>
      </c>
      <c r="B101">
        <v>-12.614100000000001</v>
      </c>
      <c r="C101">
        <v>-0.31907999999999997</v>
      </c>
      <c r="D101">
        <f t="shared" si="6"/>
        <v>-8.6789759999999987</v>
      </c>
      <c r="E101">
        <f t="shared" si="7"/>
        <v>3.9351240000000018</v>
      </c>
      <c r="F101">
        <f t="shared" si="4"/>
        <v>3.9351240000000018</v>
      </c>
      <c r="G101">
        <f t="shared" si="5"/>
        <v>15.485200895376014</v>
      </c>
    </row>
    <row r="102" spans="1:7" x14ac:dyDescent="0.45">
      <c r="A102" t="s">
        <v>139</v>
      </c>
      <c r="B102">
        <v>-12.927300000000001</v>
      </c>
      <c r="C102">
        <v>-0.32893</v>
      </c>
      <c r="D102">
        <f t="shared" si="6"/>
        <v>-8.9468960000000006</v>
      </c>
      <c r="E102">
        <f t="shared" si="7"/>
        <v>3.9804040000000001</v>
      </c>
      <c r="F102">
        <f t="shared" si="4"/>
        <v>3.9804040000000001</v>
      </c>
      <c r="G102">
        <f t="shared" si="5"/>
        <v>15.843616003216001</v>
      </c>
    </row>
    <row r="103" spans="1:7" x14ac:dyDescent="0.45">
      <c r="A103" t="s">
        <v>140</v>
      </c>
      <c r="B103">
        <v>-12.523899999999999</v>
      </c>
      <c r="C103">
        <v>-0.30168</v>
      </c>
      <c r="D103">
        <f t="shared" si="6"/>
        <v>-8.2056959999999997</v>
      </c>
      <c r="E103">
        <f t="shared" si="7"/>
        <v>4.3182039999999997</v>
      </c>
      <c r="F103">
        <f t="shared" si="4"/>
        <v>4.3182039999999997</v>
      </c>
      <c r="G103">
        <f t="shared" si="5"/>
        <v>18.646885785615996</v>
      </c>
    </row>
    <row r="104" spans="1:7" x14ac:dyDescent="0.45">
      <c r="A104" t="s">
        <v>85</v>
      </c>
      <c r="B104">
        <v>-12.632899999999999</v>
      </c>
      <c r="C104">
        <v>-0.32003999999999999</v>
      </c>
      <c r="D104">
        <f t="shared" si="6"/>
        <v>-8.7050879999999999</v>
      </c>
      <c r="E104">
        <f t="shared" si="7"/>
        <v>3.9278119999999994</v>
      </c>
      <c r="F104">
        <f t="shared" si="4"/>
        <v>3.9278119999999994</v>
      </c>
      <c r="G104">
        <f t="shared" si="5"/>
        <v>15.427707107343995</v>
      </c>
    </row>
    <row r="105" spans="1:7" x14ac:dyDescent="0.45">
      <c r="A105" t="s">
        <v>86</v>
      </c>
      <c r="B105">
        <v>-12.596399999999999</v>
      </c>
      <c r="C105">
        <v>-0.32479000000000002</v>
      </c>
      <c r="D105">
        <f t="shared" si="6"/>
        <v>-8.8342880000000008</v>
      </c>
      <c r="E105">
        <f t="shared" si="7"/>
        <v>3.7621119999999983</v>
      </c>
      <c r="F105">
        <f t="shared" si="4"/>
        <v>3.7621119999999983</v>
      </c>
      <c r="G105">
        <f t="shared" si="5"/>
        <v>14.153486700543988</v>
      </c>
    </row>
    <row r="106" spans="1:7" x14ac:dyDescent="0.45">
      <c r="A106" t="s">
        <v>87</v>
      </c>
      <c r="B106">
        <v>-12.4994</v>
      </c>
      <c r="C106">
        <v>-0.31974999999999998</v>
      </c>
      <c r="D106">
        <f t="shared" si="6"/>
        <v>-8.6971999999999987</v>
      </c>
      <c r="E106">
        <f t="shared" si="7"/>
        <v>3.8022000000000009</v>
      </c>
      <c r="F106">
        <f t="shared" si="4"/>
        <v>3.8022000000000009</v>
      </c>
      <c r="G106">
        <f t="shared" si="5"/>
        <v>14.456724840000007</v>
      </c>
    </row>
    <row r="107" spans="1:7" x14ac:dyDescent="0.45">
      <c r="A107" t="s">
        <v>88</v>
      </c>
      <c r="B107">
        <v>-12.5535</v>
      </c>
      <c r="C107">
        <v>-0.31752999999999998</v>
      </c>
      <c r="D107">
        <f t="shared" si="6"/>
        <v>-8.6368159999999996</v>
      </c>
      <c r="E107">
        <f t="shared" si="7"/>
        <v>3.9166840000000001</v>
      </c>
      <c r="F107">
        <f t="shared" si="4"/>
        <v>3.9166840000000001</v>
      </c>
      <c r="G107">
        <f t="shared" si="5"/>
        <v>15.340413555856001</v>
      </c>
    </row>
    <row r="108" spans="1:7" x14ac:dyDescent="0.45">
      <c r="A108" t="s">
        <v>89</v>
      </c>
      <c r="B108">
        <v>-12.5565</v>
      </c>
      <c r="C108">
        <v>-0.31122</v>
      </c>
      <c r="D108">
        <f t="shared" si="6"/>
        <v>-8.4651839999999989</v>
      </c>
      <c r="E108">
        <f t="shared" si="7"/>
        <v>4.0913160000000008</v>
      </c>
      <c r="F108">
        <f t="shared" si="4"/>
        <v>4.0913160000000008</v>
      </c>
      <c r="G108">
        <f t="shared" si="5"/>
        <v>16.738866611856007</v>
      </c>
    </row>
    <row r="109" spans="1:7" x14ac:dyDescent="0.45">
      <c r="A109" t="s">
        <v>90</v>
      </c>
      <c r="B109">
        <v>-12.1134</v>
      </c>
      <c r="C109">
        <v>-0.2994</v>
      </c>
      <c r="D109">
        <f t="shared" si="6"/>
        <v>-8.1436799999999998</v>
      </c>
      <c r="E109">
        <f t="shared" si="7"/>
        <v>3.9697200000000006</v>
      </c>
      <c r="F109">
        <f t="shared" si="4"/>
        <v>3.9697200000000006</v>
      </c>
      <c r="G109">
        <f t="shared" si="5"/>
        <v>15.758676878400005</v>
      </c>
    </row>
    <row r="110" spans="1:7" x14ac:dyDescent="0.45">
      <c r="A110" t="s">
        <v>91</v>
      </c>
      <c r="B110">
        <v>-12.662000000000001</v>
      </c>
      <c r="C110">
        <v>-0.30632999999999999</v>
      </c>
      <c r="D110">
        <f t="shared" si="6"/>
        <v>-8.3321759999999987</v>
      </c>
      <c r="E110">
        <f t="shared" si="7"/>
        <v>4.3298240000000021</v>
      </c>
      <c r="F110">
        <f t="shared" si="4"/>
        <v>4.3298240000000021</v>
      </c>
      <c r="G110">
        <f t="shared" si="5"/>
        <v>18.747375870976018</v>
      </c>
    </row>
    <row r="111" spans="1:7" x14ac:dyDescent="0.45">
      <c r="A111" t="s">
        <v>92</v>
      </c>
      <c r="B111">
        <v>-12.4498</v>
      </c>
      <c r="C111">
        <v>-0.30462</v>
      </c>
      <c r="D111">
        <f t="shared" si="6"/>
        <v>-8.2856640000000006</v>
      </c>
      <c r="E111">
        <f t="shared" si="7"/>
        <v>4.1641359999999992</v>
      </c>
      <c r="F111">
        <f t="shared" si="4"/>
        <v>4.1641359999999992</v>
      </c>
      <c r="G111">
        <f t="shared" si="5"/>
        <v>17.340028626495993</v>
      </c>
    </row>
    <row r="112" spans="1:7" x14ac:dyDescent="0.45">
      <c r="A112" t="s">
        <v>93</v>
      </c>
      <c r="B112">
        <v>-12.223100000000001</v>
      </c>
      <c r="C112">
        <v>-0.29010000000000002</v>
      </c>
      <c r="D112">
        <f t="shared" si="6"/>
        <v>-7.8907200000000008</v>
      </c>
      <c r="E112">
        <f t="shared" si="7"/>
        <v>4.3323799999999997</v>
      </c>
      <c r="F112">
        <f t="shared" si="4"/>
        <v>4.3323799999999997</v>
      </c>
      <c r="G112">
        <f t="shared" si="5"/>
        <v>18.769516464399999</v>
      </c>
    </row>
    <row r="113" spans="1:7" x14ac:dyDescent="0.45">
      <c r="A113" t="s">
        <v>94</v>
      </c>
      <c r="B113">
        <v>-12.3065</v>
      </c>
      <c r="C113">
        <v>-0.30929000000000001</v>
      </c>
      <c r="D113">
        <f t="shared" si="6"/>
        <v>-8.4126879999999993</v>
      </c>
      <c r="E113">
        <f t="shared" si="7"/>
        <v>3.8938120000000005</v>
      </c>
      <c r="F113">
        <f t="shared" si="4"/>
        <v>3.8938120000000005</v>
      </c>
      <c r="G113">
        <f t="shared" si="5"/>
        <v>15.161771891344005</v>
      </c>
    </row>
    <row r="114" spans="1:7" x14ac:dyDescent="0.45">
      <c r="A114" t="s">
        <v>95</v>
      </c>
      <c r="B114">
        <v>-12.1911</v>
      </c>
      <c r="C114">
        <v>-0.29625000000000001</v>
      </c>
      <c r="D114">
        <f t="shared" si="6"/>
        <v>-8.0579999999999998</v>
      </c>
      <c r="E114">
        <f t="shared" si="7"/>
        <v>4.1331000000000007</v>
      </c>
      <c r="F114">
        <f t="shared" si="4"/>
        <v>4.1331000000000007</v>
      </c>
      <c r="G114">
        <f t="shared" si="5"/>
        <v>17.082515610000005</v>
      </c>
    </row>
    <row r="115" spans="1:7" x14ac:dyDescent="0.45">
      <c r="A115" t="s">
        <v>96</v>
      </c>
      <c r="B115">
        <v>-12.280099999999999</v>
      </c>
      <c r="C115">
        <v>-0.30216999999999999</v>
      </c>
      <c r="D115">
        <f t="shared" si="6"/>
        <v>-8.2190239999999992</v>
      </c>
      <c r="E115">
        <f t="shared" si="7"/>
        <v>4.0610759999999999</v>
      </c>
      <c r="F115">
        <f t="shared" si="4"/>
        <v>4.0610759999999999</v>
      </c>
      <c r="G115">
        <f t="shared" si="5"/>
        <v>16.492338277776</v>
      </c>
    </row>
    <row r="116" spans="1:7" x14ac:dyDescent="0.45">
      <c r="A116" t="s">
        <v>97</v>
      </c>
      <c r="B116">
        <v>-12.234400000000001</v>
      </c>
      <c r="C116">
        <v>-0.30506</v>
      </c>
      <c r="D116">
        <f t="shared" si="6"/>
        <v>-8.2976320000000001</v>
      </c>
      <c r="E116">
        <f t="shared" si="7"/>
        <v>3.9367680000000007</v>
      </c>
      <c r="F116">
        <f t="shared" si="4"/>
        <v>3.9367680000000007</v>
      </c>
      <c r="G116">
        <f t="shared" si="5"/>
        <v>15.498142285824006</v>
      </c>
    </row>
    <row r="117" spans="1:7" x14ac:dyDescent="0.45">
      <c r="A117" t="s">
        <v>98</v>
      </c>
      <c r="B117">
        <v>-12.484400000000001</v>
      </c>
      <c r="C117">
        <v>-0.31114000000000003</v>
      </c>
      <c r="D117">
        <f t="shared" si="6"/>
        <v>-8.4630080000000003</v>
      </c>
      <c r="E117">
        <f t="shared" si="7"/>
        <v>4.0213920000000005</v>
      </c>
      <c r="F117">
        <f t="shared" si="4"/>
        <v>4.0213920000000005</v>
      </c>
      <c r="G117">
        <f t="shared" si="5"/>
        <v>16.171593617664005</v>
      </c>
    </row>
    <row r="118" spans="1:7" x14ac:dyDescent="0.45">
      <c r="A118" t="s">
        <v>99</v>
      </c>
      <c r="B118">
        <v>-12.7285</v>
      </c>
      <c r="C118">
        <v>-0.30679000000000001</v>
      </c>
      <c r="D118">
        <f t="shared" si="6"/>
        <v>-8.3446879999999997</v>
      </c>
      <c r="E118">
        <f t="shared" si="7"/>
        <v>4.3838120000000007</v>
      </c>
      <c r="F118">
        <f t="shared" si="4"/>
        <v>4.3838120000000007</v>
      </c>
      <c r="G118">
        <f t="shared" si="5"/>
        <v>19.217807651344007</v>
      </c>
    </row>
    <row r="119" spans="1:7" x14ac:dyDescent="0.45">
      <c r="A119" t="s">
        <v>100</v>
      </c>
      <c r="B119">
        <v>-12.7159</v>
      </c>
      <c r="C119">
        <v>-0.29360000000000003</v>
      </c>
      <c r="D119">
        <f t="shared" si="6"/>
        <v>-7.9859200000000001</v>
      </c>
      <c r="E119">
        <f t="shared" si="7"/>
        <v>4.7299799999999994</v>
      </c>
      <c r="F119">
        <f t="shared" si="4"/>
        <v>4.7299799999999994</v>
      </c>
      <c r="G119">
        <f t="shared" si="5"/>
        <v>22.372710800399993</v>
      </c>
    </row>
    <row r="120" spans="1:7" x14ac:dyDescent="0.45">
      <c r="A120" t="s">
        <v>101</v>
      </c>
      <c r="B120">
        <v>-12.360799999999999</v>
      </c>
      <c r="C120">
        <v>-0.30058000000000001</v>
      </c>
      <c r="D120">
        <f t="shared" si="6"/>
        <v>-8.1757760000000008</v>
      </c>
      <c r="E120">
        <f t="shared" si="7"/>
        <v>4.1850239999999985</v>
      </c>
      <c r="F120">
        <f t="shared" si="4"/>
        <v>4.1850239999999985</v>
      </c>
      <c r="G120">
        <f t="shared" si="5"/>
        <v>17.514425880575988</v>
      </c>
    </row>
    <row r="121" spans="1:7" x14ac:dyDescent="0.45">
      <c r="A121" t="s">
        <v>102</v>
      </c>
      <c r="B121">
        <v>-12.821</v>
      </c>
      <c r="C121">
        <v>-0.31446000000000002</v>
      </c>
      <c r="D121">
        <f t="shared" si="6"/>
        <v>-8.553312</v>
      </c>
      <c r="E121">
        <f t="shared" si="7"/>
        <v>4.2676879999999997</v>
      </c>
      <c r="F121">
        <f t="shared" si="4"/>
        <v>4.2676879999999997</v>
      </c>
      <c r="G121">
        <f t="shared" si="5"/>
        <v>18.213160865343998</v>
      </c>
    </row>
    <row r="122" spans="1:7" x14ac:dyDescent="0.45">
      <c r="A122" t="s">
        <v>103</v>
      </c>
      <c r="B122">
        <v>-12.7471</v>
      </c>
      <c r="C122">
        <v>-0.31478</v>
      </c>
      <c r="D122">
        <f t="shared" si="6"/>
        <v>-8.5620159999999998</v>
      </c>
      <c r="E122">
        <f t="shared" si="7"/>
        <v>4.1850839999999998</v>
      </c>
      <c r="F122">
        <f t="shared" si="4"/>
        <v>4.1850839999999998</v>
      </c>
      <c r="G122">
        <f t="shared" si="5"/>
        <v>17.514928087055999</v>
      </c>
    </row>
    <row r="123" spans="1:7" x14ac:dyDescent="0.45">
      <c r="A123" t="s">
        <v>104</v>
      </c>
      <c r="B123">
        <v>-12.7852</v>
      </c>
      <c r="C123">
        <v>-0.31512000000000001</v>
      </c>
      <c r="D123">
        <f t="shared" si="6"/>
        <v>-8.5712639999999993</v>
      </c>
      <c r="E123">
        <f t="shared" si="7"/>
        <v>4.2139360000000003</v>
      </c>
      <c r="F123">
        <f t="shared" ref="F123:F133" si="8">ABS(E123)</f>
        <v>4.2139360000000003</v>
      </c>
      <c r="G123">
        <f t="shared" ref="G123:G133" si="9">F123^2</f>
        <v>17.757256612096004</v>
      </c>
    </row>
    <row r="124" spans="1:7" x14ac:dyDescent="0.45">
      <c r="A124" t="s">
        <v>105</v>
      </c>
      <c r="B124">
        <v>-12.5366</v>
      </c>
      <c r="C124">
        <v>-0.30669000000000002</v>
      </c>
      <c r="D124">
        <f t="shared" si="6"/>
        <v>-8.3419679999999996</v>
      </c>
      <c r="E124">
        <f t="shared" si="7"/>
        <v>4.1946320000000004</v>
      </c>
      <c r="F124">
        <f t="shared" si="8"/>
        <v>4.1946320000000004</v>
      </c>
      <c r="G124">
        <f t="shared" si="9"/>
        <v>17.594937615424001</v>
      </c>
    </row>
    <row r="125" spans="1:7" x14ac:dyDescent="0.45">
      <c r="A125" t="s">
        <v>106</v>
      </c>
      <c r="B125">
        <v>-12.5548</v>
      </c>
      <c r="C125">
        <v>-0.30348000000000003</v>
      </c>
      <c r="D125">
        <f t="shared" si="6"/>
        <v>-8.2546560000000007</v>
      </c>
      <c r="E125">
        <f t="shared" si="7"/>
        <v>4.3001439999999995</v>
      </c>
      <c r="F125">
        <f t="shared" si="8"/>
        <v>4.3001439999999995</v>
      </c>
      <c r="G125">
        <f t="shared" si="9"/>
        <v>18.491238420735996</v>
      </c>
    </row>
    <row r="126" spans="1:7" x14ac:dyDescent="0.45">
      <c r="A126" t="s">
        <v>141</v>
      </c>
      <c r="B126">
        <v>-13.216699999999999</v>
      </c>
      <c r="C126">
        <v>-0.34072000000000002</v>
      </c>
      <c r="D126">
        <f t="shared" si="6"/>
        <v>-9.2675840000000012</v>
      </c>
      <c r="E126">
        <f t="shared" si="7"/>
        <v>3.9491159999999983</v>
      </c>
      <c r="F126">
        <f t="shared" si="8"/>
        <v>3.9491159999999983</v>
      </c>
      <c r="G126">
        <f t="shared" si="9"/>
        <v>15.595517181455987</v>
      </c>
    </row>
    <row r="127" spans="1:7" x14ac:dyDescent="0.45">
      <c r="A127" t="s">
        <v>142</v>
      </c>
      <c r="B127">
        <v>-12.8644</v>
      </c>
      <c r="C127">
        <v>-0.33462999999999998</v>
      </c>
      <c r="D127">
        <f t="shared" ref="D127:D133" si="10">C127*27.2</f>
        <v>-9.1019359999999985</v>
      </c>
      <c r="E127">
        <f t="shared" ref="E127:E133" si="11">(D127-B127)</f>
        <v>3.7624640000000014</v>
      </c>
      <c r="F127">
        <f t="shared" si="8"/>
        <v>3.7624640000000014</v>
      </c>
      <c r="G127">
        <f t="shared" si="9"/>
        <v>14.15613535129601</v>
      </c>
    </row>
    <row r="128" spans="1:7" x14ac:dyDescent="0.45">
      <c r="A128" t="s">
        <v>107</v>
      </c>
      <c r="B128">
        <v>-12.6081</v>
      </c>
      <c r="C128">
        <v>-0.31913999999999998</v>
      </c>
      <c r="D128">
        <f t="shared" si="10"/>
        <v>-8.6806079999999994</v>
      </c>
      <c r="E128">
        <f t="shared" si="11"/>
        <v>3.9274920000000009</v>
      </c>
      <c r="F128">
        <f t="shared" si="8"/>
        <v>3.9274920000000009</v>
      </c>
      <c r="G128">
        <f t="shared" si="9"/>
        <v>15.425193410064006</v>
      </c>
    </row>
    <row r="129" spans="1:7" x14ac:dyDescent="0.45">
      <c r="A129" t="s">
        <v>108</v>
      </c>
      <c r="B129">
        <v>-12.482799999999999</v>
      </c>
      <c r="C129">
        <v>-0.31869999999999998</v>
      </c>
      <c r="D129">
        <f t="shared" si="10"/>
        <v>-8.6686399999999999</v>
      </c>
      <c r="E129">
        <f t="shared" si="11"/>
        <v>3.8141599999999993</v>
      </c>
      <c r="F129">
        <f t="shared" si="8"/>
        <v>3.8141599999999993</v>
      </c>
      <c r="G129">
        <f t="shared" si="9"/>
        <v>14.547816505599995</v>
      </c>
    </row>
    <row r="130" spans="1:7" x14ac:dyDescent="0.45">
      <c r="A130" t="s">
        <v>109</v>
      </c>
      <c r="B130">
        <v>-12.5909</v>
      </c>
      <c r="C130">
        <v>-0.31891000000000003</v>
      </c>
      <c r="D130">
        <f t="shared" si="10"/>
        <v>-8.6743520000000007</v>
      </c>
      <c r="E130">
        <f t="shared" si="11"/>
        <v>3.9165479999999988</v>
      </c>
      <c r="F130">
        <f t="shared" si="8"/>
        <v>3.9165479999999988</v>
      </c>
      <c r="G130">
        <f t="shared" si="9"/>
        <v>15.339348236303991</v>
      </c>
    </row>
    <row r="131" spans="1:7" x14ac:dyDescent="0.45">
      <c r="A131" t="s">
        <v>110</v>
      </c>
      <c r="B131">
        <v>-12.6105</v>
      </c>
      <c r="C131">
        <v>-0.32271</v>
      </c>
      <c r="D131">
        <f t="shared" si="10"/>
        <v>-8.7777119999999993</v>
      </c>
      <c r="E131">
        <f t="shared" si="11"/>
        <v>3.8327880000000007</v>
      </c>
      <c r="F131">
        <f t="shared" si="8"/>
        <v>3.8327880000000007</v>
      </c>
      <c r="G131">
        <f t="shared" si="9"/>
        <v>14.690263852944005</v>
      </c>
    </row>
    <row r="132" spans="1:7" x14ac:dyDescent="0.45">
      <c r="A132" t="s">
        <v>111</v>
      </c>
      <c r="B132">
        <v>-12.5778</v>
      </c>
      <c r="C132">
        <v>-0.29399999999999998</v>
      </c>
      <c r="D132">
        <f t="shared" si="10"/>
        <v>-7.9967999999999995</v>
      </c>
      <c r="E132">
        <f t="shared" si="11"/>
        <v>4.5810000000000004</v>
      </c>
      <c r="F132">
        <f t="shared" si="8"/>
        <v>4.5810000000000004</v>
      </c>
      <c r="G132">
        <f t="shared" si="9"/>
        <v>20.985561000000004</v>
      </c>
    </row>
    <row r="133" spans="1:7" x14ac:dyDescent="0.45">
      <c r="A133" t="s">
        <v>112</v>
      </c>
      <c r="B133">
        <v>-12.574999999999999</v>
      </c>
      <c r="C133">
        <v>-0.29541000000000001</v>
      </c>
      <c r="D133">
        <f t="shared" si="10"/>
        <v>-8.0351520000000001</v>
      </c>
      <c r="E133">
        <f t="shared" si="11"/>
        <v>4.5398479999999992</v>
      </c>
      <c r="F133">
        <f t="shared" si="8"/>
        <v>4.5398479999999992</v>
      </c>
      <c r="G133">
        <f t="shared" si="9"/>
        <v>20.610219863103993</v>
      </c>
    </row>
    <row r="134" spans="1:7" x14ac:dyDescent="0.45">
      <c r="E134">
        <f>AVERAGE(E2:E133)</f>
        <v>4.1692321212121231</v>
      </c>
      <c r="F134">
        <f>AVERAGE(F2:F133)</f>
        <v>4.1692321212121231</v>
      </c>
      <c r="G134">
        <f>SQRT(AVERAGE(G2:G133))</f>
        <v>4.1796955706370715</v>
      </c>
    </row>
    <row r="135" spans="1:7" x14ac:dyDescent="0.45">
      <c r="B135">
        <f>MIN(B2:B133)</f>
        <v>-13.216699999999999</v>
      </c>
      <c r="D135">
        <f>MIN(D2:D133)</f>
        <v>-9.5806559999999994</v>
      </c>
    </row>
    <row r="136" spans="1:7" x14ac:dyDescent="0.45">
      <c r="B136">
        <f>MAX(B2:B133)</f>
        <v>-11.875299999999999</v>
      </c>
      <c r="D136">
        <f>MAX(D2:D133)</f>
        <v>-7.367119999999999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50E07-139B-4133-80DB-318F646AE62C}">
  <dimension ref="A1:AV140"/>
  <sheetViews>
    <sheetView topLeftCell="A58" workbookViewId="0">
      <selection activeCell="I17" sqref="I17"/>
    </sheetView>
  </sheetViews>
  <sheetFormatPr defaultRowHeight="14.25" x14ac:dyDescent="0.45"/>
  <cols>
    <col min="16" max="16" width="11.46484375" customWidth="1"/>
    <col min="17" max="17" width="11.1328125" customWidth="1"/>
  </cols>
  <sheetData>
    <row r="1" spans="1:48" s="2" customFormat="1" x14ac:dyDescent="0.45">
      <c r="A1" s="2" t="s">
        <v>6</v>
      </c>
      <c r="B1" s="2" t="s">
        <v>149</v>
      </c>
      <c r="C1" s="2" t="s">
        <v>150</v>
      </c>
      <c r="D1" s="2" t="s">
        <v>151</v>
      </c>
      <c r="E1" s="2" t="s">
        <v>0</v>
      </c>
      <c r="F1" s="2" t="s">
        <v>1</v>
      </c>
      <c r="G1" s="2" t="s">
        <v>2</v>
      </c>
      <c r="H1" s="2" t="s">
        <v>3</v>
      </c>
      <c r="I1" s="2" t="s">
        <v>4</v>
      </c>
      <c r="J1" s="2" t="s">
        <v>5</v>
      </c>
    </row>
    <row r="2" spans="1:48" x14ac:dyDescent="0.45">
      <c r="A2" t="s">
        <v>113</v>
      </c>
      <c r="B2">
        <v>-11.907999999999999</v>
      </c>
      <c r="C2">
        <v>10.80857</v>
      </c>
      <c r="D2">
        <f>C2*27.2</f>
        <v>293.99310399999996</v>
      </c>
      <c r="E2">
        <f t="shared" ref="E2:E33" si="0">(C2-B2)</f>
        <v>22.716569999999997</v>
      </c>
      <c r="F2">
        <f>ABS(E2)</f>
        <v>22.716569999999997</v>
      </c>
      <c r="G2">
        <f>F2^2</f>
        <v>516.04255256489989</v>
      </c>
      <c r="H2">
        <f>CORREL(B2:B137,C2:C137)</f>
        <v>-8.9891763311490444E-2</v>
      </c>
      <c r="I2">
        <f>H2^2</f>
        <v>8.0805291112490199E-3</v>
      </c>
      <c r="J2">
        <v>-11.907999999999999</v>
      </c>
    </row>
    <row r="3" spans="1:48" x14ac:dyDescent="0.45">
      <c r="A3" t="s">
        <v>114</v>
      </c>
      <c r="B3">
        <v>-11.8269</v>
      </c>
      <c r="C3">
        <v>3.8053599999999999</v>
      </c>
      <c r="D3">
        <f t="shared" ref="D3:D66" si="1">C3*27.2</f>
        <v>103.505792</v>
      </c>
      <c r="E3">
        <f t="shared" si="0"/>
        <v>15.63226</v>
      </c>
      <c r="F3">
        <f t="shared" ref="F3:F66" si="2">ABS(E3)</f>
        <v>15.63226</v>
      </c>
      <c r="G3">
        <f t="shared" ref="G3:G66" si="3">F3^2</f>
        <v>244.36755270760003</v>
      </c>
      <c r="J3">
        <v>-11.8269</v>
      </c>
    </row>
    <row r="4" spans="1:48" x14ac:dyDescent="0.45">
      <c r="A4" t="s">
        <v>115</v>
      </c>
      <c r="B4">
        <v>-12.111700000000001</v>
      </c>
      <c r="C4">
        <v>3.4714700000000001</v>
      </c>
      <c r="D4">
        <f t="shared" si="1"/>
        <v>94.423984000000004</v>
      </c>
      <c r="E4">
        <f t="shared" si="0"/>
        <v>15.583170000000001</v>
      </c>
      <c r="F4">
        <f t="shared" si="2"/>
        <v>15.583170000000001</v>
      </c>
      <c r="G4">
        <f t="shared" si="3"/>
        <v>242.83518724890001</v>
      </c>
      <c r="J4">
        <v>-12.111700000000001</v>
      </c>
    </row>
    <row r="5" spans="1:48" x14ac:dyDescent="0.45">
      <c r="A5" t="s">
        <v>116</v>
      </c>
      <c r="B5">
        <v>-11.961399999999999</v>
      </c>
      <c r="C5">
        <v>3.4506899999999998</v>
      </c>
      <c r="D5">
        <f t="shared" si="1"/>
        <v>93.858767999999998</v>
      </c>
      <c r="E5">
        <f t="shared" si="0"/>
        <v>15.412089999999999</v>
      </c>
      <c r="F5">
        <f t="shared" si="2"/>
        <v>15.412089999999999</v>
      </c>
      <c r="G5">
        <f t="shared" si="3"/>
        <v>237.53251816809998</v>
      </c>
      <c r="J5">
        <v>-11.961399999999999</v>
      </c>
    </row>
    <row r="6" spans="1:48" x14ac:dyDescent="0.45">
      <c r="A6" t="s">
        <v>117</v>
      </c>
      <c r="B6">
        <v>-11.6816</v>
      </c>
      <c r="C6">
        <v>3.7362299999999999</v>
      </c>
      <c r="D6">
        <f t="shared" si="1"/>
        <v>101.625456</v>
      </c>
      <c r="E6">
        <f t="shared" si="0"/>
        <v>15.417829999999999</v>
      </c>
      <c r="F6">
        <f t="shared" si="2"/>
        <v>15.417829999999999</v>
      </c>
      <c r="G6">
        <f t="shared" si="3"/>
        <v>237.70948190889996</v>
      </c>
      <c r="J6">
        <v>-11.6816</v>
      </c>
    </row>
    <row r="7" spans="1:48" x14ac:dyDescent="0.45">
      <c r="A7" t="s">
        <v>118</v>
      </c>
      <c r="B7">
        <v>-11.932499999999999</v>
      </c>
      <c r="C7">
        <v>3.4683700000000002</v>
      </c>
      <c r="D7">
        <f t="shared" si="1"/>
        <v>94.339663999999999</v>
      </c>
      <c r="E7">
        <f t="shared" si="0"/>
        <v>15.400869999999999</v>
      </c>
      <c r="F7">
        <f t="shared" si="2"/>
        <v>15.400869999999999</v>
      </c>
      <c r="G7">
        <f t="shared" si="3"/>
        <v>237.18679675689998</v>
      </c>
      <c r="J7">
        <v>-11.932499999999999</v>
      </c>
    </row>
    <row r="8" spans="1:48" x14ac:dyDescent="0.45">
      <c r="A8" t="s">
        <v>7</v>
      </c>
      <c r="B8">
        <v>-11.775600000000001</v>
      </c>
      <c r="C8">
        <v>3.8411400000000002</v>
      </c>
      <c r="D8">
        <f t="shared" si="1"/>
        <v>104.47900800000001</v>
      </c>
      <c r="E8">
        <f t="shared" si="0"/>
        <v>15.61674</v>
      </c>
      <c r="F8">
        <f t="shared" si="2"/>
        <v>15.61674</v>
      </c>
      <c r="G8">
        <f t="shared" si="3"/>
        <v>243.88256822759999</v>
      </c>
      <c r="J8">
        <v>-11.775600000000001</v>
      </c>
    </row>
    <row r="9" spans="1:48" x14ac:dyDescent="0.45">
      <c r="A9" t="s">
        <v>8</v>
      </c>
      <c r="B9">
        <v>-11.691000000000001</v>
      </c>
      <c r="C9">
        <v>3.8386100000000001</v>
      </c>
      <c r="D9">
        <f t="shared" si="1"/>
        <v>104.410192</v>
      </c>
      <c r="E9">
        <f t="shared" si="0"/>
        <v>15.529610000000002</v>
      </c>
      <c r="F9">
        <f t="shared" si="2"/>
        <v>15.529610000000002</v>
      </c>
      <c r="G9">
        <f t="shared" si="3"/>
        <v>241.16878675210006</v>
      </c>
      <c r="J9">
        <v>-11.691000000000001</v>
      </c>
    </row>
    <row r="10" spans="1:48" x14ac:dyDescent="0.45">
      <c r="A10" t="s">
        <v>9</v>
      </c>
      <c r="B10">
        <v>-11.708</v>
      </c>
      <c r="C10">
        <v>3.81562</v>
      </c>
      <c r="D10">
        <f t="shared" si="1"/>
        <v>103.784864</v>
      </c>
      <c r="E10">
        <f t="shared" si="0"/>
        <v>15.523620000000001</v>
      </c>
      <c r="F10">
        <f t="shared" si="2"/>
        <v>15.523620000000001</v>
      </c>
      <c r="G10">
        <f t="shared" si="3"/>
        <v>240.98277790440002</v>
      </c>
      <c r="J10">
        <v>-11.708</v>
      </c>
    </row>
    <row r="11" spans="1:48" x14ac:dyDescent="0.45">
      <c r="A11" t="s">
        <v>10</v>
      </c>
      <c r="B11">
        <v>-11.734999999999999</v>
      </c>
      <c r="C11">
        <v>3.8087900000000001</v>
      </c>
      <c r="D11">
        <f t="shared" si="1"/>
        <v>103.59908799999999</v>
      </c>
      <c r="E11">
        <f t="shared" si="0"/>
        <v>15.54379</v>
      </c>
      <c r="F11">
        <f t="shared" si="2"/>
        <v>15.54379</v>
      </c>
      <c r="G11">
        <f t="shared" si="3"/>
        <v>241.6094075641</v>
      </c>
      <c r="J11">
        <v>-11.734999999999999</v>
      </c>
    </row>
    <row r="12" spans="1:48" x14ac:dyDescent="0.45">
      <c r="A12" t="s">
        <v>11</v>
      </c>
      <c r="B12">
        <v>-11.756399999999999</v>
      </c>
      <c r="C12">
        <v>11.57314</v>
      </c>
      <c r="D12">
        <f t="shared" si="1"/>
        <v>314.78940799999998</v>
      </c>
      <c r="E12">
        <f t="shared" si="0"/>
        <v>23.329540000000001</v>
      </c>
      <c r="F12">
        <f t="shared" si="2"/>
        <v>23.329540000000001</v>
      </c>
      <c r="G12">
        <f t="shared" si="3"/>
        <v>544.26743661160003</v>
      </c>
      <c r="J12">
        <v>-11.756399999999999</v>
      </c>
    </row>
    <row r="13" spans="1:48" x14ac:dyDescent="0.45">
      <c r="A13" t="s">
        <v>12</v>
      </c>
      <c r="B13">
        <v>-11.267200000000001</v>
      </c>
      <c r="C13">
        <v>10.77495</v>
      </c>
      <c r="D13">
        <f t="shared" si="1"/>
        <v>293.07864000000001</v>
      </c>
      <c r="E13">
        <f t="shared" si="0"/>
        <v>22.042149999999999</v>
      </c>
      <c r="F13">
        <f t="shared" si="2"/>
        <v>22.042149999999999</v>
      </c>
      <c r="G13">
        <f t="shared" si="3"/>
        <v>485.85637662249997</v>
      </c>
      <c r="J13">
        <v>-11.267200000000001</v>
      </c>
    </row>
    <row r="14" spans="1:48" x14ac:dyDescent="0.45">
      <c r="A14" t="s">
        <v>13</v>
      </c>
      <c r="B14">
        <v>-11.6922</v>
      </c>
      <c r="C14">
        <v>3.81108</v>
      </c>
      <c r="D14">
        <f t="shared" si="1"/>
        <v>103.661376</v>
      </c>
      <c r="E14">
        <f t="shared" si="0"/>
        <v>15.50328</v>
      </c>
      <c r="F14">
        <f t="shared" si="2"/>
        <v>15.50328</v>
      </c>
      <c r="G14">
        <f t="shared" si="3"/>
        <v>240.3516907584</v>
      </c>
      <c r="J14">
        <v>-11.6922</v>
      </c>
    </row>
    <row r="15" spans="1:48" x14ac:dyDescent="0.45">
      <c r="A15" t="s">
        <v>119</v>
      </c>
      <c r="B15">
        <v>-12.0276</v>
      </c>
      <c r="C15">
        <v>10.35697</v>
      </c>
      <c r="D15">
        <f t="shared" si="1"/>
        <v>281.70958400000001</v>
      </c>
      <c r="E15">
        <f t="shared" si="0"/>
        <v>22.38457</v>
      </c>
      <c r="F15">
        <f t="shared" si="2"/>
        <v>22.38457</v>
      </c>
      <c r="G15">
        <f t="shared" si="3"/>
        <v>501.06897408489999</v>
      </c>
      <c r="J15">
        <v>-12.0276</v>
      </c>
      <c r="AV15" s="1"/>
    </row>
    <row r="16" spans="1:48" x14ac:dyDescent="0.45">
      <c r="A16" t="s">
        <v>14</v>
      </c>
      <c r="B16">
        <v>-11.859299999999999</v>
      </c>
      <c r="C16">
        <v>9.4331600000000009</v>
      </c>
      <c r="D16">
        <f t="shared" si="1"/>
        <v>256.581952</v>
      </c>
      <c r="E16">
        <f t="shared" si="0"/>
        <v>21.292459999999998</v>
      </c>
      <c r="F16">
        <f t="shared" si="2"/>
        <v>21.292459999999998</v>
      </c>
      <c r="G16">
        <f t="shared" si="3"/>
        <v>453.36885285159991</v>
      </c>
      <c r="J16">
        <v>-11.859299999999999</v>
      </c>
      <c r="AV16" s="1"/>
    </row>
    <row r="17" spans="1:48" x14ac:dyDescent="0.45">
      <c r="A17" t="s">
        <v>120</v>
      </c>
      <c r="B17">
        <v>-11.3811</v>
      </c>
      <c r="C17">
        <v>3.8372299999999999</v>
      </c>
      <c r="D17">
        <f t="shared" si="1"/>
        <v>104.37265599999999</v>
      </c>
      <c r="E17">
        <f t="shared" si="0"/>
        <v>15.21833</v>
      </c>
      <c r="F17">
        <f t="shared" si="2"/>
        <v>15.21833</v>
      </c>
      <c r="G17">
        <f t="shared" si="3"/>
        <v>231.59756798890001</v>
      </c>
      <c r="J17">
        <v>-11.3811</v>
      </c>
      <c r="AV17" s="1"/>
    </row>
    <row r="18" spans="1:48" x14ac:dyDescent="0.45">
      <c r="A18" t="s">
        <v>121</v>
      </c>
      <c r="B18">
        <v>-11.9413</v>
      </c>
      <c r="C18">
        <v>10.687099999999999</v>
      </c>
      <c r="D18">
        <f t="shared" si="1"/>
        <v>290.68911999999995</v>
      </c>
      <c r="E18">
        <f t="shared" si="0"/>
        <v>22.628399999999999</v>
      </c>
      <c r="F18">
        <f t="shared" si="2"/>
        <v>22.628399999999999</v>
      </c>
      <c r="G18">
        <f t="shared" si="3"/>
        <v>512.04448656</v>
      </c>
      <c r="J18">
        <v>-11.9413</v>
      </c>
      <c r="AV18" s="1"/>
    </row>
    <row r="19" spans="1:48" x14ac:dyDescent="0.45">
      <c r="A19" t="s">
        <v>122</v>
      </c>
      <c r="B19">
        <v>-12.1881</v>
      </c>
      <c r="C19">
        <v>3.8542299999999998</v>
      </c>
      <c r="D19">
        <f t="shared" si="1"/>
        <v>104.83505599999999</v>
      </c>
      <c r="E19">
        <f t="shared" si="0"/>
        <v>16.04233</v>
      </c>
      <c r="F19">
        <f t="shared" si="2"/>
        <v>16.04233</v>
      </c>
      <c r="G19">
        <f t="shared" si="3"/>
        <v>257.35635182890002</v>
      </c>
      <c r="J19">
        <v>-12.1881</v>
      </c>
      <c r="AV19" s="1"/>
    </row>
    <row r="20" spans="1:48" x14ac:dyDescent="0.45">
      <c r="A20" t="s">
        <v>123</v>
      </c>
      <c r="B20">
        <v>-11.8154</v>
      </c>
      <c r="C20">
        <v>3.8140000000000001</v>
      </c>
      <c r="D20">
        <f t="shared" si="1"/>
        <v>103.74079999999999</v>
      </c>
      <c r="E20">
        <f t="shared" si="0"/>
        <v>15.6294</v>
      </c>
      <c r="F20">
        <f t="shared" si="2"/>
        <v>15.6294</v>
      </c>
      <c r="G20">
        <f t="shared" si="3"/>
        <v>244.27814436</v>
      </c>
      <c r="J20">
        <v>-11.8154</v>
      </c>
      <c r="AV20" s="1"/>
    </row>
    <row r="21" spans="1:48" x14ac:dyDescent="0.45">
      <c r="A21" t="s">
        <v>124</v>
      </c>
      <c r="B21">
        <v>-11.9247</v>
      </c>
      <c r="C21">
        <v>9.4749999999999996</v>
      </c>
      <c r="D21">
        <f t="shared" si="1"/>
        <v>257.71999999999997</v>
      </c>
      <c r="E21">
        <f t="shared" si="0"/>
        <v>21.399699999999999</v>
      </c>
      <c r="F21">
        <f t="shared" si="2"/>
        <v>21.399699999999999</v>
      </c>
      <c r="G21">
        <f t="shared" si="3"/>
        <v>457.94716008999995</v>
      </c>
      <c r="J21">
        <v>-11.9247</v>
      </c>
    </row>
    <row r="22" spans="1:48" x14ac:dyDescent="0.45">
      <c r="A22" t="s">
        <v>125</v>
      </c>
      <c r="B22">
        <v>-11.961600000000001</v>
      </c>
      <c r="C22">
        <v>9.7490000000000006</v>
      </c>
      <c r="D22">
        <f t="shared" si="1"/>
        <v>265.1728</v>
      </c>
      <c r="E22">
        <f t="shared" si="0"/>
        <v>21.710599999999999</v>
      </c>
      <c r="F22">
        <f t="shared" si="2"/>
        <v>21.710599999999999</v>
      </c>
      <c r="G22">
        <f t="shared" si="3"/>
        <v>471.35015235999998</v>
      </c>
      <c r="J22">
        <v>-11.961600000000001</v>
      </c>
    </row>
    <row r="23" spans="1:48" x14ac:dyDescent="0.45">
      <c r="A23" t="s">
        <v>15</v>
      </c>
      <c r="B23">
        <v>-11.815300000000001</v>
      </c>
      <c r="C23">
        <v>3.80762</v>
      </c>
      <c r="D23">
        <f t="shared" si="1"/>
        <v>103.56726399999999</v>
      </c>
      <c r="E23">
        <f t="shared" si="0"/>
        <v>15.622920000000001</v>
      </c>
      <c r="F23">
        <f t="shared" si="2"/>
        <v>15.622920000000001</v>
      </c>
      <c r="G23">
        <f t="shared" si="3"/>
        <v>244.07562932640002</v>
      </c>
      <c r="J23">
        <v>-11.815300000000001</v>
      </c>
    </row>
    <row r="24" spans="1:48" x14ac:dyDescent="0.45">
      <c r="A24" t="s">
        <v>16</v>
      </c>
      <c r="B24">
        <v>-11.9903</v>
      </c>
      <c r="C24">
        <v>8.7178900000000006</v>
      </c>
      <c r="D24">
        <f t="shared" si="1"/>
        <v>237.126608</v>
      </c>
      <c r="E24">
        <f t="shared" si="0"/>
        <v>20.708190000000002</v>
      </c>
      <c r="F24">
        <f t="shared" si="2"/>
        <v>20.708190000000002</v>
      </c>
      <c r="G24">
        <f t="shared" si="3"/>
        <v>428.82913307610005</v>
      </c>
      <c r="J24">
        <v>-11.9903</v>
      </c>
    </row>
    <row r="25" spans="1:48" x14ac:dyDescent="0.45">
      <c r="A25" t="s">
        <v>17</v>
      </c>
      <c r="B25">
        <v>-11.7859</v>
      </c>
      <c r="C25">
        <v>8.2383900000000008</v>
      </c>
      <c r="D25">
        <f t="shared" si="1"/>
        <v>224.08420800000002</v>
      </c>
      <c r="E25">
        <f t="shared" si="0"/>
        <v>20.024290000000001</v>
      </c>
      <c r="F25">
        <f t="shared" si="2"/>
        <v>20.024290000000001</v>
      </c>
      <c r="G25">
        <f t="shared" si="3"/>
        <v>400.97219000410001</v>
      </c>
      <c r="J25">
        <v>-11.7859</v>
      </c>
    </row>
    <row r="26" spans="1:48" x14ac:dyDescent="0.45">
      <c r="A26" t="s">
        <v>18</v>
      </c>
      <c r="B26">
        <v>-11.498200000000001</v>
      </c>
      <c r="C26">
        <v>8.0558399999999999</v>
      </c>
      <c r="D26">
        <f t="shared" si="1"/>
        <v>219.11884799999999</v>
      </c>
      <c r="E26">
        <f t="shared" si="0"/>
        <v>19.554040000000001</v>
      </c>
      <c r="F26">
        <f t="shared" si="2"/>
        <v>19.554040000000001</v>
      </c>
      <c r="G26">
        <f t="shared" si="3"/>
        <v>382.36048032159999</v>
      </c>
      <c r="J26">
        <v>-11.498200000000001</v>
      </c>
    </row>
    <row r="27" spans="1:48" x14ac:dyDescent="0.45">
      <c r="A27" t="s">
        <v>19</v>
      </c>
      <c r="B27">
        <v>-11.6127</v>
      </c>
      <c r="C27">
        <v>3.8038599999999998</v>
      </c>
      <c r="D27">
        <f t="shared" si="1"/>
        <v>103.464992</v>
      </c>
      <c r="E27">
        <f t="shared" si="0"/>
        <v>15.41656</v>
      </c>
      <c r="F27">
        <f t="shared" si="2"/>
        <v>15.41656</v>
      </c>
      <c r="G27">
        <f t="shared" si="3"/>
        <v>237.67032223360002</v>
      </c>
      <c r="J27">
        <v>-11.6127</v>
      </c>
    </row>
    <row r="28" spans="1:48" x14ac:dyDescent="0.45">
      <c r="A28" t="s">
        <v>20</v>
      </c>
      <c r="B28">
        <v>-11.7165</v>
      </c>
      <c r="C28">
        <v>8.2938399999999994</v>
      </c>
      <c r="D28">
        <f t="shared" si="1"/>
        <v>225.59244799999999</v>
      </c>
      <c r="E28">
        <f t="shared" si="0"/>
        <v>20.010339999999999</v>
      </c>
      <c r="F28">
        <f t="shared" si="2"/>
        <v>20.010339999999999</v>
      </c>
      <c r="G28">
        <f t="shared" si="3"/>
        <v>400.41370691559996</v>
      </c>
      <c r="J28">
        <v>-11.7165</v>
      </c>
    </row>
    <row r="29" spans="1:48" x14ac:dyDescent="0.45">
      <c r="A29" t="s">
        <v>21</v>
      </c>
      <c r="B29">
        <v>-11.7707</v>
      </c>
      <c r="C29">
        <v>8.6572200000000006</v>
      </c>
      <c r="D29">
        <f t="shared" si="1"/>
        <v>235.476384</v>
      </c>
      <c r="E29">
        <f t="shared" si="0"/>
        <v>20.42792</v>
      </c>
      <c r="F29">
        <f t="shared" si="2"/>
        <v>20.42792</v>
      </c>
      <c r="G29">
        <f t="shared" si="3"/>
        <v>417.29991552640001</v>
      </c>
      <c r="J29">
        <v>-11.7707</v>
      </c>
    </row>
    <row r="30" spans="1:48" x14ac:dyDescent="0.45">
      <c r="A30" t="s">
        <v>22</v>
      </c>
      <c r="B30">
        <v>-11.5954</v>
      </c>
      <c r="C30">
        <v>3.8785699999999999</v>
      </c>
      <c r="D30">
        <f t="shared" si="1"/>
        <v>105.49710399999999</v>
      </c>
      <c r="E30">
        <f t="shared" si="0"/>
        <v>15.47397</v>
      </c>
      <c r="F30">
        <f t="shared" si="2"/>
        <v>15.47397</v>
      </c>
      <c r="G30">
        <f t="shared" si="3"/>
        <v>239.44374756089999</v>
      </c>
      <c r="J30">
        <v>-11.5954</v>
      </c>
    </row>
    <row r="31" spans="1:48" x14ac:dyDescent="0.45">
      <c r="A31" t="s">
        <v>23</v>
      </c>
      <c r="B31">
        <v>-11.321400000000001</v>
      </c>
      <c r="C31">
        <v>5.2014199999999997</v>
      </c>
      <c r="D31">
        <f t="shared" si="1"/>
        <v>141.478624</v>
      </c>
      <c r="E31">
        <f t="shared" si="0"/>
        <v>16.522819999999999</v>
      </c>
      <c r="F31">
        <f t="shared" si="2"/>
        <v>16.522819999999999</v>
      </c>
      <c r="G31">
        <f t="shared" si="3"/>
        <v>273.00358075239996</v>
      </c>
      <c r="J31">
        <v>-11.321400000000001</v>
      </c>
    </row>
    <row r="32" spans="1:48" x14ac:dyDescent="0.45">
      <c r="A32" t="s">
        <v>24</v>
      </c>
      <c r="B32">
        <v>-11.8353</v>
      </c>
      <c r="C32">
        <v>3.8298700000000001</v>
      </c>
      <c r="D32">
        <f t="shared" si="1"/>
        <v>104.17246400000001</v>
      </c>
      <c r="E32">
        <f t="shared" si="0"/>
        <v>15.66517</v>
      </c>
      <c r="F32">
        <f t="shared" si="2"/>
        <v>15.66517</v>
      </c>
      <c r="G32">
        <f t="shared" si="3"/>
        <v>245.39755112890001</v>
      </c>
      <c r="J32">
        <v>-11.8353</v>
      </c>
    </row>
    <row r="33" spans="1:10" x14ac:dyDescent="0.45">
      <c r="A33" t="s">
        <v>25</v>
      </c>
      <c r="B33">
        <v>-12.2761</v>
      </c>
      <c r="C33">
        <v>3.8031700000000002</v>
      </c>
      <c r="D33">
        <f t="shared" si="1"/>
        <v>103.446224</v>
      </c>
      <c r="E33">
        <f t="shared" si="0"/>
        <v>16.079270000000001</v>
      </c>
      <c r="F33">
        <f t="shared" si="2"/>
        <v>16.079270000000001</v>
      </c>
      <c r="G33">
        <f t="shared" si="3"/>
        <v>258.54292373290002</v>
      </c>
      <c r="J33">
        <v>-12.2761</v>
      </c>
    </row>
    <row r="34" spans="1:10" x14ac:dyDescent="0.45">
      <c r="A34" t="s">
        <v>26</v>
      </c>
      <c r="B34">
        <v>-12.300800000000001</v>
      </c>
      <c r="C34">
        <v>3.8085599999999999</v>
      </c>
      <c r="D34">
        <f t="shared" si="1"/>
        <v>103.592832</v>
      </c>
      <c r="E34">
        <f t="shared" ref="E34:E65" si="4">(C34-B34)</f>
        <v>16.109360000000002</v>
      </c>
      <c r="F34">
        <f t="shared" si="2"/>
        <v>16.109360000000002</v>
      </c>
      <c r="G34">
        <f t="shared" si="3"/>
        <v>259.51147960960009</v>
      </c>
      <c r="J34">
        <v>-12.300800000000001</v>
      </c>
    </row>
    <row r="35" spans="1:10" x14ac:dyDescent="0.45">
      <c r="A35" t="s">
        <v>27</v>
      </c>
      <c r="B35">
        <v>-12.271599999999999</v>
      </c>
      <c r="C35">
        <v>3.6428400000000001</v>
      </c>
      <c r="D35">
        <f t="shared" si="1"/>
        <v>99.085247999999993</v>
      </c>
      <c r="E35">
        <f t="shared" si="4"/>
        <v>15.914439999999999</v>
      </c>
      <c r="F35">
        <f t="shared" si="2"/>
        <v>15.914439999999999</v>
      </c>
      <c r="G35">
        <f t="shared" si="3"/>
        <v>253.26940051359998</v>
      </c>
      <c r="J35">
        <v>-12.271599999999999</v>
      </c>
    </row>
    <row r="36" spans="1:10" x14ac:dyDescent="0.45">
      <c r="A36" t="s">
        <v>28</v>
      </c>
      <c r="B36">
        <v>-12.020200000000001</v>
      </c>
      <c r="C36">
        <v>3.8026200000000001</v>
      </c>
      <c r="D36">
        <f t="shared" si="1"/>
        <v>103.431264</v>
      </c>
      <c r="E36">
        <f t="shared" si="4"/>
        <v>15.82282</v>
      </c>
      <c r="F36">
        <f t="shared" si="2"/>
        <v>15.82282</v>
      </c>
      <c r="G36">
        <f t="shared" si="3"/>
        <v>250.3616327524</v>
      </c>
      <c r="J36">
        <v>-12.020200000000001</v>
      </c>
    </row>
    <row r="37" spans="1:10" x14ac:dyDescent="0.45">
      <c r="A37" t="s">
        <v>126</v>
      </c>
      <c r="B37">
        <v>-11.977399999999999</v>
      </c>
      <c r="C37">
        <v>3.78559</v>
      </c>
      <c r="D37">
        <f t="shared" si="1"/>
        <v>102.968048</v>
      </c>
      <c r="E37">
        <f t="shared" si="4"/>
        <v>15.762989999999999</v>
      </c>
      <c r="F37">
        <f t="shared" si="2"/>
        <v>15.762989999999999</v>
      </c>
      <c r="G37">
        <f t="shared" si="3"/>
        <v>248.47185374009996</v>
      </c>
      <c r="J37">
        <v>-11.977399999999999</v>
      </c>
    </row>
    <row r="38" spans="1:10" x14ac:dyDescent="0.45">
      <c r="A38" t="s">
        <v>29</v>
      </c>
      <c r="B38">
        <v>-11.8774</v>
      </c>
      <c r="C38">
        <v>3.8153700000000002</v>
      </c>
      <c r="D38">
        <f t="shared" si="1"/>
        <v>103.778064</v>
      </c>
      <c r="E38">
        <f t="shared" si="4"/>
        <v>15.692769999999999</v>
      </c>
      <c r="F38">
        <f t="shared" si="2"/>
        <v>15.692769999999999</v>
      </c>
      <c r="G38">
        <f t="shared" si="3"/>
        <v>246.26303027289998</v>
      </c>
      <c r="J38">
        <v>-11.8774</v>
      </c>
    </row>
    <row r="39" spans="1:10" x14ac:dyDescent="0.45">
      <c r="A39" t="s">
        <v>30</v>
      </c>
      <c r="B39">
        <v>-11.998799999999999</v>
      </c>
      <c r="C39">
        <v>3.8167900000000001</v>
      </c>
      <c r="D39">
        <f t="shared" si="1"/>
        <v>103.816688</v>
      </c>
      <c r="E39">
        <f t="shared" si="4"/>
        <v>15.81559</v>
      </c>
      <c r="F39">
        <f t="shared" si="2"/>
        <v>15.81559</v>
      </c>
      <c r="G39">
        <f t="shared" si="3"/>
        <v>250.1328870481</v>
      </c>
      <c r="J39">
        <v>-11.998799999999999</v>
      </c>
    </row>
    <row r="40" spans="1:10" x14ac:dyDescent="0.45">
      <c r="A40" t="s">
        <v>31</v>
      </c>
      <c r="B40">
        <v>-11.808400000000001</v>
      </c>
      <c r="C40">
        <v>12.47315</v>
      </c>
      <c r="D40">
        <f t="shared" si="1"/>
        <v>339.26967999999999</v>
      </c>
      <c r="E40">
        <f t="shared" si="4"/>
        <v>24.281550000000003</v>
      </c>
      <c r="F40">
        <f t="shared" si="2"/>
        <v>24.281550000000003</v>
      </c>
      <c r="G40">
        <f t="shared" si="3"/>
        <v>589.59367040250015</v>
      </c>
      <c r="J40">
        <v>-11.808400000000001</v>
      </c>
    </row>
    <row r="41" spans="1:10" x14ac:dyDescent="0.45">
      <c r="A41" t="s">
        <v>127</v>
      </c>
      <c r="B41">
        <v>-11.892300000000001</v>
      </c>
      <c r="C41">
        <v>3.6853400000000001</v>
      </c>
      <c r="D41">
        <f t="shared" si="1"/>
        <v>100.241248</v>
      </c>
      <c r="E41">
        <f t="shared" si="4"/>
        <v>15.577640000000001</v>
      </c>
      <c r="F41">
        <f t="shared" si="2"/>
        <v>15.577640000000001</v>
      </c>
      <c r="G41">
        <f t="shared" si="3"/>
        <v>242.66286796960003</v>
      </c>
      <c r="J41">
        <v>-11.892300000000001</v>
      </c>
    </row>
    <row r="42" spans="1:10" x14ac:dyDescent="0.45">
      <c r="A42" t="s">
        <v>128</v>
      </c>
      <c r="B42">
        <v>-11.829800000000001</v>
      </c>
      <c r="C42">
        <v>3.8024499999999999</v>
      </c>
      <c r="D42">
        <f t="shared" si="1"/>
        <v>103.42663999999999</v>
      </c>
      <c r="E42">
        <f t="shared" si="4"/>
        <v>15.632250000000001</v>
      </c>
      <c r="F42">
        <f t="shared" si="2"/>
        <v>15.632250000000001</v>
      </c>
      <c r="G42">
        <f t="shared" si="3"/>
        <v>244.36724006250003</v>
      </c>
      <c r="J42">
        <v>-11.829800000000001</v>
      </c>
    </row>
    <row r="43" spans="1:10" x14ac:dyDescent="0.45">
      <c r="A43" t="s">
        <v>32</v>
      </c>
      <c r="B43">
        <v>-11.837199999999999</v>
      </c>
      <c r="C43">
        <v>10.725949999999999</v>
      </c>
      <c r="D43">
        <f t="shared" si="1"/>
        <v>291.74583999999999</v>
      </c>
      <c r="E43">
        <f t="shared" si="4"/>
        <v>22.56315</v>
      </c>
      <c r="F43">
        <f t="shared" si="2"/>
        <v>22.56315</v>
      </c>
      <c r="G43">
        <f t="shared" si="3"/>
        <v>509.09573792250001</v>
      </c>
      <c r="J43">
        <v>-11.837199999999999</v>
      </c>
    </row>
    <row r="44" spans="1:10" x14ac:dyDescent="0.45">
      <c r="A44" t="s">
        <v>33</v>
      </c>
      <c r="B44">
        <v>-11.8629</v>
      </c>
      <c r="C44">
        <v>11.5533</v>
      </c>
      <c r="D44">
        <f t="shared" si="1"/>
        <v>314.24975999999998</v>
      </c>
      <c r="E44">
        <f t="shared" si="4"/>
        <v>23.4162</v>
      </c>
      <c r="F44">
        <f t="shared" si="2"/>
        <v>23.4162</v>
      </c>
      <c r="G44">
        <f t="shared" si="3"/>
        <v>548.31842243999995</v>
      </c>
      <c r="J44">
        <v>-11.8629</v>
      </c>
    </row>
    <row r="45" spans="1:10" x14ac:dyDescent="0.45">
      <c r="A45" t="s">
        <v>34</v>
      </c>
      <c r="B45">
        <v>-11.6861</v>
      </c>
      <c r="C45">
        <v>3.8071999999999999</v>
      </c>
      <c r="D45">
        <f t="shared" si="1"/>
        <v>103.55583999999999</v>
      </c>
      <c r="E45">
        <f t="shared" si="4"/>
        <v>15.4933</v>
      </c>
      <c r="F45">
        <f t="shared" si="2"/>
        <v>15.4933</v>
      </c>
      <c r="G45">
        <f t="shared" si="3"/>
        <v>240.04234488999998</v>
      </c>
      <c r="J45">
        <v>-11.6861</v>
      </c>
    </row>
    <row r="46" spans="1:10" x14ac:dyDescent="0.45">
      <c r="A46" t="s">
        <v>35</v>
      </c>
      <c r="B46">
        <v>-11.666</v>
      </c>
      <c r="C46">
        <v>3.81046</v>
      </c>
      <c r="D46">
        <f t="shared" si="1"/>
        <v>103.64451199999999</v>
      </c>
      <c r="E46">
        <f t="shared" si="4"/>
        <v>15.476459999999999</v>
      </c>
      <c r="F46">
        <f t="shared" si="2"/>
        <v>15.476459999999999</v>
      </c>
      <c r="G46">
        <f t="shared" si="3"/>
        <v>239.52081413159999</v>
      </c>
      <c r="J46">
        <v>-11.666</v>
      </c>
    </row>
    <row r="47" spans="1:10" x14ac:dyDescent="0.45">
      <c r="A47" t="s">
        <v>36</v>
      </c>
      <c r="B47">
        <v>-11.4716</v>
      </c>
      <c r="C47">
        <v>3.8462299999999998</v>
      </c>
      <c r="D47">
        <f t="shared" si="1"/>
        <v>104.61745599999999</v>
      </c>
      <c r="E47">
        <f t="shared" si="4"/>
        <v>15.317830000000001</v>
      </c>
      <c r="F47">
        <f t="shared" si="2"/>
        <v>15.317830000000001</v>
      </c>
      <c r="G47">
        <f t="shared" si="3"/>
        <v>234.63591590890002</v>
      </c>
      <c r="J47">
        <v>-11.4716</v>
      </c>
    </row>
    <row r="48" spans="1:10" x14ac:dyDescent="0.45">
      <c r="A48" t="s">
        <v>37</v>
      </c>
      <c r="B48">
        <v>-11.882199999999999</v>
      </c>
      <c r="C48">
        <v>3.81311</v>
      </c>
      <c r="D48">
        <f t="shared" si="1"/>
        <v>103.71659199999999</v>
      </c>
      <c r="E48">
        <f t="shared" si="4"/>
        <v>15.695309999999999</v>
      </c>
      <c r="F48">
        <f t="shared" si="2"/>
        <v>15.695309999999999</v>
      </c>
      <c r="G48">
        <f t="shared" si="3"/>
        <v>246.34275599609998</v>
      </c>
      <c r="J48">
        <v>-11.882199999999999</v>
      </c>
    </row>
    <row r="49" spans="1:10" x14ac:dyDescent="0.45">
      <c r="A49" t="s">
        <v>38</v>
      </c>
      <c r="B49">
        <v>-11.583299999999999</v>
      </c>
      <c r="C49">
        <v>3.8160599999999998</v>
      </c>
      <c r="D49">
        <f t="shared" si="1"/>
        <v>103.79683199999999</v>
      </c>
      <c r="E49">
        <f t="shared" si="4"/>
        <v>15.39936</v>
      </c>
      <c r="F49">
        <f t="shared" si="2"/>
        <v>15.39936</v>
      </c>
      <c r="G49">
        <f t="shared" si="3"/>
        <v>237.1402884096</v>
      </c>
      <c r="J49">
        <v>-11.583299999999999</v>
      </c>
    </row>
    <row r="50" spans="1:10" x14ac:dyDescent="0.45">
      <c r="A50" t="s">
        <v>39</v>
      </c>
      <c r="B50">
        <v>-11.3119</v>
      </c>
      <c r="C50">
        <v>3.8205200000000001</v>
      </c>
      <c r="D50">
        <f t="shared" si="1"/>
        <v>103.918144</v>
      </c>
      <c r="E50">
        <f t="shared" si="4"/>
        <v>15.13242</v>
      </c>
      <c r="F50">
        <f t="shared" si="2"/>
        <v>15.13242</v>
      </c>
      <c r="G50">
        <f t="shared" si="3"/>
        <v>228.99013505639999</v>
      </c>
      <c r="J50">
        <v>-11.3119</v>
      </c>
    </row>
    <row r="51" spans="1:10" x14ac:dyDescent="0.45">
      <c r="A51" t="s">
        <v>40</v>
      </c>
      <c r="B51">
        <v>-11.5084</v>
      </c>
      <c r="C51">
        <v>3.5386299999999999</v>
      </c>
      <c r="D51">
        <f t="shared" si="1"/>
        <v>96.250735999999989</v>
      </c>
      <c r="E51">
        <f t="shared" si="4"/>
        <v>15.047029999999999</v>
      </c>
      <c r="F51">
        <f t="shared" si="2"/>
        <v>15.047029999999999</v>
      </c>
      <c r="G51">
        <f t="shared" si="3"/>
        <v>226.41311182089999</v>
      </c>
      <c r="J51">
        <v>-11.5084</v>
      </c>
    </row>
    <row r="52" spans="1:10" x14ac:dyDescent="0.45">
      <c r="A52" t="s">
        <v>41</v>
      </c>
      <c r="B52">
        <v>-11.538500000000001</v>
      </c>
      <c r="C52">
        <v>3.5793400000000002</v>
      </c>
      <c r="D52">
        <f t="shared" si="1"/>
        <v>97.358047999999997</v>
      </c>
      <c r="E52">
        <f t="shared" si="4"/>
        <v>15.117840000000001</v>
      </c>
      <c r="F52">
        <f t="shared" si="2"/>
        <v>15.117840000000001</v>
      </c>
      <c r="G52">
        <f t="shared" si="3"/>
        <v>228.54908626560004</v>
      </c>
      <c r="J52">
        <v>-11.538500000000001</v>
      </c>
    </row>
    <row r="53" spans="1:10" x14ac:dyDescent="0.45">
      <c r="A53" t="s">
        <v>42</v>
      </c>
      <c r="B53">
        <v>-11.520099999999999</v>
      </c>
      <c r="C53">
        <v>3.5592299999999999</v>
      </c>
      <c r="D53">
        <f t="shared" si="1"/>
        <v>96.811055999999994</v>
      </c>
      <c r="E53">
        <f t="shared" si="4"/>
        <v>15.079329999999999</v>
      </c>
      <c r="F53">
        <f t="shared" si="2"/>
        <v>15.079329999999999</v>
      </c>
      <c r="G53">
        <f t="shared" si="3"/>
        <v>227.38619324889996</v>
      </c>
      <c r="J53">
        <v>-11.520099999999999</v>
      </c>
    </row>
    <row r="54" spans="1:10" x14ac:dyDescent="0.45">
      <c r="A54" t="s">
        <v>43</v>
      </c>
      <c r="B54">
        <v>-11.522</v>
      </c>
      <c r="C54">
        <v>3.5391300000000001</v>
      </c>
      <c r="D54">
        <f t="shared" si="1"/>
        <v>96.264336</v>
      </c>
      <c r="E54">
        <f t="shared" si="4"/>
        <v>15.06113</v>
      </c>
      <c r="F54">
        <f t="shared" si="2"/>
        <v>15.06113</v>
      </c>
      <c r="G54">
        <f t="shared" si="3"/>
        <v>226.83763687690001</v>
      </c>
      <c r="J54">
        <v>-11.522</v>
      </c>
    </row>
    <row r="55" spans="1:10" x14ac:dyDescent="0.45">
      <c r="A55" t="s">
        <v>44</v>
      </c>
      <c r="B55">
        <v>-11.6005</v>
      </c>
      <c r="C55">
        <v>3.8449499999999999</v>
      </c>
      <c r="D55">
        <f t="shared" si="1"/>
        <v>104.58264</v>
      </c>
      <c r="E55">
        <f t="shared" si="4"/>
        <v>15.445450000000001</v>
      </c>
      <c r="F55">
        <f t="shared" si="2"/>
        <v>15.445450000000001</v>
      </c>
      <c r="G55">
        <f t="shared" si="3"/>
        <v>238.56192570250002</v>
      </c>
      <c r="J55">
        <v>-11.6005</v>
      </c>
    </row>
    <row r="56" spans="1:10" x14ac:dyDescent="0.45">
      <c r="A56" t="s">
        <v>45</v>
      </c>
      <c r="B56">
        <v>-11.69</v>
      </c>
      <c r="C56">
        <v>3.56603</v>
      </c>
      <c r="D56">
        <f t="shared" si="1"/>
        <v>96.996015999999997</v>
      </c>
      <c r="E56">
        <f t="shared" si="4"/>
        <v>15.256029999999999</v>
      </c>
      <c r="F56">
        <f t="shared" si="2"/>
        <v>15.256029999999999</v>
      </c>
      <c r="G56">
        <f t="shared" si="3"/>
        <v>232.74645136089998</v>
      </c>
      <c r="J56">
        <v>-11.69</v>
      </c>
    </row>
    <row r="57" spans="1:10" x14ac:dyDescent="0.45">
      <c r="A57" t="s">
        <v>46</v>
      </c>
      <c r="B57">
        <v>-12.492900000000001</v>
      </c>
      <c r="C57">
        <v>7.2784700000000004</v>
      </c>
      <c r="D57">
        <f t="shared" si="1"/>
        <v>197.97438400000001</v>
      </c>
      <c r="E57">
        <f t="shared" si="4"/>
        <v>19.771370000000001</v>
      </c>
      <c r="F57">
        <f t="shared" si="2"/>
        <v>19.771370000000001</v>
      </c>
      <c r="G57">
        <f t="shared" si="3"/>
        <v>390.90707167690005</v>
      </c>
      <c r="J57">
        <v>-12.492900000000001</v>
      </c>
    </row>
    <row r="58" spans="1:10" x14ac:dyDescent="0.45">
      <c r="A58" t="s">
        <v>47</v>
      </c>
      <c r="B58">
        <v>-11.579000000000001</v>
      </c>
      <c r="C58">
        <v>3.8267799999999998</v>
      </c>
      <c r="D58">
        <f t="shared" si="1"/>
        <v>104.088416</v>
      </c>
      <c r="E58">
        <f t="shared" si="4"/>
        <v>15.40578</v>
      </c>
      <c r="F58">
        <f t="shared" si="2"/>
        <v>15.40578</v>
      </c>
      <c r="G58">
        <f t="shared" si="3"/>
        <v>237.3380574084</v>
      </c>
      <c r="J58">
        <v>-11.579000000000001</v>
      </c>
    </row>
    <row r="59" spans="1:10" x14ac:dyDescent="0.45">
      <c r="A59" t="s">
        <v>48</v>
      </c>
      <c r="B59">
        <v>-11.517300000000001</v>
      </c>
      <c r="C59">
        <v>3.8050899999999999</v>
      </c>
      <c r="D59">
        <f t="shared" si="1"/>
        <v>103.498448</v>
      </c>
      <c r="E59">
        <f t="shared" si="4"/>
        <v>15.32239</v>
      </c>
      <c r="F59">
        <f t="shared" si="2"/>
        <v>15.32239</v>
      </c>
      <c r="G59">
        <f t="shared" si="3"/>
        <v>234.77563531210001</v>
      </c>
      <c r="J59">
        <v>-11.517300000000001</v>
      </c>
    </row>
    <row r="60" spans="1:10" x14ac:dyDescent="0.45">
      <c r="A60" t="s">
        <v>49</v>
      </c>
      <c r="B60">
        <v>-11.837300000000001</v>
      </c>
      <c r="C60">
        <v>3.8014299999999999</v>
      </c>
      <c r="D60">
        <f t="shared" si="1"/>
        <v>103.39889599999999</v>
      </c>
      <c r="E60">
        <f t="shared" si="4"/>
        <v>15.638730000000001</v>
      </c>
      <c r="F60">
        <f t="shared" si="2"/>
        <v>15.638730000000001</v>
      </c>
      <c r="G60">
        <f t="shared" si="3"/>
        <v>244.56987601290001</v>
      </c>
      <c r="J60">
        <v>-11.837300000000001</v>
      </c>
    </row>
    <row r="61" spans="1:10" x14ac:dyDescent="0.45">
      <c r="A61" t="s">
        <v>50</v>
      </c>
      <c r="B61">
        <v>-12.049300000000001</v>
      </c>
      <c r="C61">
        <v>3.78775</v>
      </c>
      <c r="D61">
        <f t="shared" si="1"/>
        <v>103.02679999999999</v>
      </c>
      <c r="E61">
        <f t="shared" si="4"/>
        <v>15.837050000000001</v>
      </c>
      <c r="F61">
        <f t="shared" si="2"/>
        <v>15.837050000000001</v>
      </c>
      <c r="G61">
        <f t="shared" si="3"/>
        <v>250.81215270250004</v>
      </c>
      <c r="J61">
        <v>-12.049300000000001</v>
      </c>
    </row>
    <row r="62" spans="1:10" x14ac:dyDescent="0.45">
      <c r="A62" t="s">
        <v>51</v>
      </c>
      <c r="B62">
        <v>-11.7531</v>
      </c>
      <c r="C62">
        <v>3.8027899999999999</v>
      </c>
      <c r="D62">
        <f t="shared" si="1"/>
        <v>103.43588799999999</v>
      </c>
      <c r="E62">
        <f t="shared" si="4"/>
        <v>15.55589</v>
      </c>
      <c r="F62">
        <f t="shared" si="2"/>
        <v>15.55589</v>
      </c>
      <c r="G62">
        <f t="shared" si="3"/>
        <v>241.98571369210001</v>
      </c>
      <c r="J62">
        <v>-11.7531</v>
      </c>
    </row>
    <row r="63" spans="1:10" x14ac:dyDescent="0.45">
      <c r="A63" t="s">
        <v>52</v>
      </c>
      <c r="B63">
        <v>-11.55</v>
      </c>
      <c r="C63">
        <v>3.8090999999999999</v>
      </c>
      <c r="D63">
        <f t="shared" si="1"/>
        <v>103.60751999999999</v>
      </c>
      <c r="E63">
        <f t="shared" si="4"/>
        <v>15.359100000000002</v>
      </c>
      <c r="F63">
        <f t="shared" si="2"/>
        <v>15.359100000000002</v>
      </c>
      <c r="G63">
        <f t="shared" si="3"/>
        <v>235.90195281000004</v>
      </c>
      <c r="J63">
        <v>-11.55</v>
      </c>
    </row>
    <row r="64" spans="1:10" x14ac:dyDescent="0.45">
      <c r="A64" t="s">
        <v>53</v>
      </c>
      <c r="B64">
        <v>-11.5334</v>
      </c>
      <c r="C64">
        <v>3.8121999999999998</v>
      </c>
      <c r="D64">
        <f t="shared" si="1"/>
        <v>103.69184</v>
      </c>
      <c r="E64">
        <f t="shared" si="4"/>
        <v>15.345600000000001</v>
      </c>
      <c r="F64">
        <f t="shared" si="2"/>
        <v>15.345600000000001</v>
      </c>
      <c r="G64">
        <f t="shared" si="3"/>
        <v>235.48743936000002</v>
      </c>
      <c r="J64">
        <v>-11.5334</v>
      </c>
    </row>
    <row r="65" spans="1:10" x14ac:dyDescent="0.45">
      <c r="A65" t="s">
        <v>129</v>
      </c>
      <c r="B65">
        <v>-12.171900000000001</v>
      </c>
      <c r="C65">
        <v>3.8030499999999998</v>
      </c>
      <c r="D65">
        <f t="shared" si="1"/>
        <v>103.44296</v>
      </c>
      <c r="E65">
        <f t="shared" si="4"/>
        <v>15.97495</v>
      </c>
      <c r="F65">
        <f t="shared" si="2"/>
        <v>15.97495</v>
      </c>
      <c r="G65">
        <f t="shared" si="3"/>
        <v>255.1990275025</v>
      </c>
      <c r="J65">
        <v>-12.171900000000001</v>
      </c>
    </row>
    <row r="66" spans="1:10" x14ac:dyDescent="0.45">
      <c r="A66" t="s">
        <v>130</v>
      </c>
      <c r="B66">
        <v>-11.8652</v>
      </c>
      <c r="C66">
        <v>3.5502199999999999</v>
      </c>
      <c r="D66">
        <f t="shared" si="1"/>
        <v>96.565984</v>
      </c>
      <c r="E66">
        <f t="shared" ref="E66:E97" si="5">(C66-B66)</f>
        <v>15.415419999999999</v>
      </c>
      <c r="F66">
        <f t="shared" si="2"/>
        <v>15.415419999999999</v>
      </c>
      <c r="G66">
        <f t="shared" si="3"/>
        <v>237.63517377639997</v>
      </c>
      <c r="J66">
        <v>-11.8652</v>
      </c>
    </row>
    <row r="67" spans="1:10" x14ac:dyDescent="0.45">
      <c r="A67" t="s">
        <v>54</v>
      </c>
      <c r="B67">
        <v>-11.803599999999999</v>
      </c>
      <c r="C67">
        <v>11.84746</v>
      </c>
      <c r="D67">
        <f t="shared" ref="D67:D130" si="6">C67*27.2</f>
        <v>322.25091199999997</v>
      </c>
      <c r="E67">
        <f t="shared" si="5"/>
        <v>23.651060000000001</v>
      </c>
      <c r="F67">
        <f t="shared" ref="F67:F130" si="7">ABS(E67)</f>
        <v>23.651060000000001</v>
      </c>
      <c r="G67">
        <f t="shared" ref="G67:G130" si="8">F67^2</f>
        <v>559.37263912360004</v>
      </c>
      <c r="J67">
        <v>-11.803599999999999</v>
      </c>
    </row>
    <row r="68" spans="1:10" x14ac:dyDescent="0.45">
      <c r="A68" t="s">
        <v>55</v>
      </c>
      <c r="B68">
        <v>-11.6944</v>
      </c>
      <c r="C68">
        <v>3.7200099999999998</v>
      </c>
      <c r="D68">
        <f t="shared" si="6"/>
        <v>101.18427199999999</v>
      </c>
      <c r="E68">
        <f t="shared" si="5"/>
        <v>15.41441</v>
      </c>
      <c r="F68">
        <f t="shared" si="7"/>
        <v>15.41441</v>
      </c>
      <c r="G68">
        <f t="shared" si="8"/>
        <v>237.60403564809999</v>
      </c>
      <c r="J68">
        <v>-11.6944</v>
      </c>
    </row>
    <row r="69" spans="1:10" x14ac:dyDescent="0.45">
      <c r="A69" t="s">
        <v>56</v>
      </c>
      <c r="B69">
        <v>-11.7044</v>
      </c>
      <c r="C69">
        <v>11.380570000000001</v>
      </c>
      <c r="D69">
        <f t="shared" si="6"/>
        <v>309.55150400000002</v>
      </c>
      <c r="E69">
        <f t="shared" si="5"/>
        <v>23.084969999999998</v>
      </c>
      <c r="F69">
        <f t="shared" si="7"/>
        <v>23.084969999999998</v>
      </c>
      <c r="G69">
        <f t="shared" si="8"/>
        <v>532.91583990089998</v>
      </c>
      <c r="J69">
        <v>-11.7044</v>
      </c>
    </row>
    <row r="70" spans="1:10" x14ac:dyDescent="0.45">
      <c r="A70" t="s">
        <v>57</v>
      </c>
      <c r="B70">
        <v>-11.770899999999999</v>
      </c>
      <c r="C70">
        <v>10.72326</v>
      </c>
      <c r="D70">
        <f t="shared" si="6"/>
        <v>291.67267199999998</v>
      </c>
      <c r="E70">
        <f t="shared" si="5"/>
        <v>22.494160000000001</v>
      </c>
      <c r="F70">
        <f t="shared" si="7"/>
        <v>22.494160000000001</v>
      </c>
      <c r="G70">
        <f t="shared" si="8"/>
        <v>505.98723410560001</v>
      </c>
      <c r="J70">
        <v>-11.770899999999999</v>
      </c>
    </row>
    <row r="71" spans="1:10" x14ac:dyDescent="0.45">
      <c r="A71" t="s">
        <v>58</v>
      </c>
      <c r="B71">
        <v>-11.523300000000001</v>
      </c>
      <c r="C71">
        <v>3.80504</v>
      </c>
      <c r="D71">
        <f t="shared" si="6"/>
        <v>103.49708799999999</v>
      </c>
      <c r="E71">
        <f t="shared" si="5"/>
        <v>15.328340000000001</v>
      </c>
      <c r="F71">
        <f t="shared" si="7"/>
        <v>15.328340000000001</v>
      </c>
      <c r="G71">
        <f t="shared" si="8"/>
        <v>234.95800715560003</v>
      </c>
      <c r="J71">
        <v>-11.523300000000001</v>
      </c>
    </row>
    <row r="72" spans="1:10" x14ac:dyDescent="0.45">
      <c r="A72" t="s">
        <v>131</v>
      </c>
      <c r="B72">
        <v>-11.8362</v>
      </c>
      <c r="C72">
        <v>3.8053599999999999</v>
      </c>
      <c r="D72">
        <f t="shared" si="6"/>
        <v>103.505792</v>
      </c>
      <c r="E72">
        <f t="shared" si="5"/>
        <v>15.64156</v>
      </c>
      <c r="F72">
        <f t="shared" si="7"/>
        <v>15.64156</v>
      </c>
      <c r="G72">
        <f t="shared" si="8"/>
        <v>244.65839923359999</v>
      </c>
      <c r="J72">
        <v>-11.8362</v>
      </c>
    </row>
    <row r="73" spans="1:10" x14ac:dyDescent="0.45">
      <c r="A73" t="s">
        <v>132</v>
      </c>
      <c r="B73">
        <v>-12.164400000000001</v>
      </c>
      <c r="C73">
        <v>3.48089</v>
      </c>
      <c r="D73">
        <f t="shared" si="6"/>
        <v>94.680207999999993</v>
      </c>
      <c r="E73">
        <f t="shared" si="5"/>
        <v>15.645290000000001</v>
      </c>
      <c r="F73">
        <f t="shared" si="7"/>
        <v>15.645290000000001</v>
      </c>
      <c r="G73">
        <f t="shared" si="8"/>
        <v>244.77509918410004</v>
      </c>
      <c r="J73">
        <v>-12.164400000000001</v>
      </c>
    </row>
    <row r="74" spans="1:10" x14ac:dyDescent="0.45">
      <c r="A74" t="s">
        <v>133</v>
      </c>
      <c r="B74">
        <v>-11.7165</v>
      </c>
      <c r="C74">
        <v>3.7351399999999999</v>
      </c>
      <c r="D74">
        <f t="shared" si="6"/>
        <v>101.59580799999999</v>
      </c>
      <c r="E74">
        <f t="shared" si="5"/>
        <v>15.451639999999999</v>
      </c>
      <c r="F74">
        <f t="shared" si="7"/>
        <v>15.451639999999999</v>
      </c>
      <c r="G74">
        <f t="shared" si="8"/>
        <v>238.75317868959999</v>
      </c>
      <c r="J74">
        <v>-11.7165</v>
      </c>
    </row>
    <row r="75" spans="1:10" x14ac:dyDescent="0.45">
      <c r="A75" t="s">
        <v>59</v>
      </c>
      <c r="B75">
        <v>-11.5915</v>
      </c>
      <c r="C75">
        <v>3.8283499999999999</v>
      </c>
      <c r="D75">
        <f t="shared" si="6"/>
        <v>104.13112</v>
      </c>
      <c r="E75">
        <f t="shared" si="5"/>
        <v>15.41985</v>
      </c>
      <c r="F75">
        <f t="shared" si="7"/>
        <v>15.41985</v>
      </c>
      <c r="G75">
        <f t="shared" si="8"/>
        <v>237.77177402250001</v>
      </c>
      <c r="J75">
        <v>-11.5915</v>
      </c>
    </row>
    <row r="76" spans="1:10" x14ac:dyDescent="0.45">
      <c r="A76" t="s">
        <v>60</v>
      </c>
      <c r="B76">
        <v>-11.751200000000001</v>
      </c>
      <c r="C76">
        <v>3.84091</v>
      </c>
      <c r="D76">
        <f t="shared" si="6"/>
        <v>104.472752</v>
      </c>
      <c r="E76">
        <f t="shared" si="5"/>
        <v>15.592110000000002</v>
      </c>
      <c r="F76">
        <f t="shared" si="7"/>
        <v>15.592110000000002</v>
      </c>
      <c r="G76">
        <f t="shared" si="8"/>
        <v>243.11389425210004</v>
      </c>
      <c r="J76">
        <v>-11.751200000000001</v>
      </c>
    </row>
    <row r="77" spans="1:10" x14ac:dyDescent="0.45">
      <c r="A77" t="s">
        <v>61</v>
      </c>
      <c r="B77">
        <v>-11.6746</v>
      </c>
      <c r="C77">
        <v>3.8382100000000001</v>
      </c>
      <c r="D77">
        <f t="shared" si="6"/>
        <v>104.39931199999999</v>
      </c>
      <c r="E77">
        <f t="shared" si="5"/>
        <v>15.51281</v>
      </c>
      <c r="F77">
        <f t="shared" si="7"/>
        <v>15.51281</v>
      </c>
      <c r="G77">
        <f t="shared" si="8"/>
        <v>240.64727409610001</v>
      </c>
      <c r="J77">
        <v>-11.6746</v>
      </c>
    </row>
    <row r="78" spans="1:10" x14ac:dyDescent="0.45">
      <c r="A78" t="s">
        <v>62</v>
      </c>
      <c r="B78">
        <v>-11.71</v>
      </c>
      <c r="C78">
        <v>3.8135599999999998</v>
      </c>
      <c r="D78">
        <f t="shared" si="6"/>
        <v>103.728832</v>
      </c>
      <c r="E78">
        <f t="shared" si="5"/>
        <v>15.52356</v>
      </c>
      <c r="F78">
        <f t="shared" si="7"/>
        <v>15.52356</v>
      </c>
      <c r="G78">
        <f t="shared" si="8"/>
        <v>240.98091507359999</v>
      </c>
      <c r="J78">
        <v>-11.71</v>
      </c>
    </row>
    <row r="79" spans="1:10" x14ac:dyDescent="0.45">
      <c r="A79" t="s">
        <v>63</v>
      </c>
      <c r="B79">
        <v>-11.7784</v>
      </c>
      <c r="C79">
        <v>3.80037</v>
      </c>
      <c r="D79">
        <f t="shared" si="6"/>
        <v>103.370064</v>
      </c>
      <c r="E79">
        <f t="shared" si="5"/>
        <v>15.578769999999999</v>
      </c>
      <c r="F79">
        <f t="shared" si="7"/>
        <v>15.578769999999999</v>
      </c>
      <c r="G79">
        <f t="shared" si="8"/>
        <v>242.69807471289997</v>
      </c>
      <c r="J79">
        <v>-11.7784</v>
      </c>
    </row>
    <row r="80" spans="1:10" x14ac:dyDescent="0.45">
      <c r="A80" t="s">
        <v>64</v>
      </c>
      <c r="B80">
        <v>-11.810600000000001</v>
      </c>
      <c r="C80">
        <v>11.77969</v>
      </c>
      <c r="D80">
        <f t="shared" si="6"/>
        <v>320.40756800000003</v>
      </c>
      <c r="E80">
        <f t="shared" si="5"/>
        <v>23.590290000000003</v>
      </c>
      <c r="F80">
        <f t="shared" si="7"/>
        <v>23.590290000000003</v>
      </c>
      <c r="G80">
        <f t="shared" si="8"/>
        <v>556.50178228410016</v>
      </c>
      <c r="J80">
        <v>-11.810600000000001</v>
      </c>
    </row>
    <row r="81" spans="1:10" x14ac:dyDescent="0.45">
      <c r="A81" t="s">
        <v>65</v>
      </c>
      <c r="B81">
        <v>-11.930300000000001</v>
      </c>
      <c r="C81">
        <v>10.777049999999999</v>
      </c>
      <c r="D81">
        <f t="shared" si="6"/>
        <v>293.13575999999995</v>
      </c>
      <c r="E81">
        <f t="shared" si="5"/>
        <v>22.707349999999998</v>
      </c>
      <c r="F81">
        <f t="shared" si="7"/>
        <v>22.707349999999998</v>
      </c>
      <c r="G81">
        <f t="shared" si="8"/>
        <v>515.62374402249986</v>
      </c>
      <c r="J81">
        <v>-11.930300000000001</v>
      </c>
    </row>
    <row r="82" spans="1:10" x14ac:dyDescent="0.45">
      <c r="A82" t="s">
        <v>66</v>
      </c>
      <c r="B82">
        <v>-11.703200000000001</v>
      </c>
      <c r="C82">
        <v>3.8168299999999999</v>
      </c>
      <c r="D82">
        <f t="shared" si="6"/>
        <v>103.81777599999999</v>
      </c>
      <c r="E82">
        <f t="shared" si="5"/>
        <v>15.52003</v>
      </c>
      <c r="F82">
        <f t="shared" si="7"/>
        <v>15.52003</v>
      </c>
      <c r="G82">
        <f t="shared" si="8"/>
        <v>240.87133120090002</v>
      </c>
      <c r="J82">
        <v>-11.703200000000001</v>
      </c>
    </row>
    <row r="83" spans="1:10" x14ac:dyDescent="0.45">
      <c r="A83" t="s">
        <v>67</v>
      </c>
      <c r="B83">
        <v>-11.860799999999999</v>
      </c>
      <c r="C83">
        <v>9.4359099999999998</v>
      </c>
      <c r="D83">
        <f t="shared" si="6"/>
        <v>256.65675199999998</v>
      </c>
      <c r="E83">
        <f t="shared" si="5"/>
        <v>21.296709999999997</v>
      </c>
      <c r="F83">
        <f t="shared" si="7"/>
        <v>21.296709999999997</v>
      </c>
      <c r="G83">
        <f t="shared" si="8"/>
        <v>453.54985682409989</v>
      </c>
      <c r="J83">
        <v>-11.860799999999999</v>
      </c>
    </row>
    <row r="84" spans="1:10" x14ac:dyDescent="0.45">
      <c r="A84" t="s">
        <v>134</v>
      </c>
      <c r="B84">
        <v>-11.8522</v>
      </c>
      <c r="C84">
        <v>3.8351199999999999</v>
      </c>
      <c r="D84">
        <f t="shared" si="6"/>
        <v>104.315264</v>
      </c>
      <c r="E84">
        <f t="shared" si="5"/>
        <v>15.68732</v>
      </c>
      <c r="F84">
        <f t="shared" si="7"/>
        <v>15.68732</v>
      </c>
      <c r="G84">
        <f t="shared" si="8"/>
        <v>246.0920087824</v>
      </c>
      <c r="J84">
        <v>-11.8522</v>
      </c>
    </row>
    <row r="85" spans="1:10" x14ac:dyDescent="0.45">
      <c r="A85" t="s">
        <v>135</v>
      </c>
      <c r="B85">
        <v>-12.377000000000001</v>
      </c>
      <c r="C85">
        <v>3.8525999999999998</v>
      </c>
      <c r="D85">
        <f t="shared" si="6"/>
        <v>104.79071999999999</v>
      </c>
      <c r="E85">
        <f t="shared" si="5"/>
        <v>16.229600000000001</v>
      </c>
      <c r="F85">
        <f t="shared" si="7"/>
        <v>16.229600000000001</v>
      </c>
      <c r="G85">
        <f t="shared" si="8"/>
        <v>263.39991616000003</v>
      </c>
      <c r="J85">
        <v>-12.377000000000001</v>
      </c>
    </row>
    <row r="86" spans="1:10" x14ac:dyDescent="0.45">
      <c r="A86" t="s">
        <v>136</v>
      </c>
      <c r="B86">
        <v>-11.8294</v>
      </c>
      <c r="C86">
        <v>3.81399</v>
      </c>
      <c r="D86">
        <f t="shared" si="6"/>
        <v>103.740528</v>
      </c>
      <c r="E86">
        <f t="shared" si="5"/>
        <v>15.64339</v>
      </c>
      <c r="F86">
        <f t="shared" si="7"/>
        <v>15.64339</v>
      </c>
      <c r="G86">
        <f t="shared" si="8"/>
        <v>244.71565069210001</v>
      </c>
      <c r="J86">
        <v>-11.8294</v>
      </c>
    </row>
    <row r="87" spans="1:10" x14ac:dyDescent="0.45">
      <c r="A87" t="s">
        <v>137</v>
      </c>
      <c r="B87">
        <v>-11.929399999999999</v>
      </c>
      <c r="C87">
        <v>9.8387700000000002</v>
      </c>
      <c r="D87">
        <f t="shared" si="6"/>
        <v>267.61454400000002</v>
      </c>
      <c r="E87">
        <f t="shared" si="5"/>
        <v>21.768169999999998</v>
      </c>
      <c r="F87">
        <f t="shared" si="7"/>
        <v>21.768169999999998</v>
      </c>
      <c r="G87">
        <f t="shared" si="8"/>
        <v>473.85322514889992</v>
      </c>
      <c r="J87">
        <v>-11.929399999999999</v>
      </c>
    </row>
    <row r="88" spans="1:10" x14ac:dyDescent="0.45">
      <c r="A88" t="s">
        <v>138</v>
      </c>
      <c r="B88">
        <v>-11.9733</v>
      </c>
      <c r="C88">
        <v>9.6290499999999994</v>
      </c>
      <c r="D88">
        <f t="shared" si="6"/>
        <v>261.91015999999996</v>
      </c>
      <c r="E88">
        <f t="shared" si="5"/>
        <v>21.602350000000001</v>
      </c>
      <c r="F88">
        <f t="shared" si="7"/>
        <v>21.602350000000001</v>
      </c>
      <c r="G88">
        <f t="shared" si="8"/>
        <v>466.66152552250003</v>
      </c>
      <c r="J88">
        <v>-11.9733</v>
      </c>
    </row>
    <row r="89" spans="1:10" x14ac:dyDescent="0.45">
      <c r="A89" t="s">
        <v>68</v>
      </c>
      <c r="B89">
        <v>-11.127700000000001</v>
      </c>
      <c r="C89">
        <v>3.8044899999999999</v>
      </c>
      <c r="D89">
        <f t="shared" si="6"/>
        <v>103.48212799999999</v>
      </c>
      <c r="E89">
        <f t="shared" si="5"/>
        <v>14.93219</v>
      </c>
      <c r="F89">
        <f t="shared" si="7"/>
        <v>14.93219</v>
      </c>
      <c r="G89">
        <f t="shared" si="8"/>
        <v>222.9702981961</v>
      </c>
      <c r="J89">
        <v>-11.127700000000001</v>
      </c>
    </row>
    <row r="90" spans="1:10" x14ac:dyDescent="0.45">
      <c r="A90" t="s">
        <v>69</v>
      </c>
      <c r="B90">
        <v>-11.991899999999999</v>
      </c>
      <c r="C90">
        <v>8.6792300000000004</v>
      </c>
      <c r="D90">
        <f t="shared" si="6"/>
        <v>236.07505600000002</v>
      </c>
      <c r="E90">
        <f t="shared" si="5"/>
        <v>20.671129999999998</v>
      </c>
      <c r="F90">
        <f t="shared" si="7"/>
        <v>20.671129999999998</v>
      </c>
      <c r="G90">
        <f t="shared" si="8"/>
        <v>427.29561547689991</v>
      </c>
      <c r="J90">
        <v>-11.991899999999999</v>
      </c>
    </row>
    <row r="91" spans="1:10" x14ac:dyDescent="0.45">
      <c r="A91" t="s">
        <v>70</v>
      </c>
      <c r="B91">
        <v>-11.3581</v>
      </c>
      <c r="C91">
        <v>8.1113199999999992</v>
      </c>
      <c r="D91">
        <f t="shared" si="6"/>
        <v>220.62790399999997</v>
      </c>
      <c r="E91">
        <f t="shared" si="5"/>
        <v>19.46942</v>
      </c>
      <c r="F91">
        <f t="shared" si="7"/>
        <v>19.46942</v>
      </c>
      <c r="G91">
        <f t="shared" si="8"/>
        <v>379.05831513639998</v>
      </c>
      <c r="J91">
        <v>-11.3581</v>
      </c>
    </row>
    <row r="92" spans="1:10" x14ac:dyDescent="0.45">
      <c r="A92" t="s">
        <v>71</v>
      </c>
      <c r="B92">
        <v>-11.850300000000001</v>
      </c>
      <c r="C92">
        <v>8.0531100000000002</v>
      </c>
      <c r="D92">
        <f t="shared" si="6"/>
        <v>219.04459199999999</v>
      </c>
      <c r="E92">
        <f t="shared" si="5"/>
        <v>19.903410000000001</v>
      </c>
      <c r="F92">
        <f t="shared" si="7"/>
        <v>19.903410000000001</v>
      </c>
      <c r="G92">
        <f t="shared" si="8"/>
        <v>396.14572962810001</v>
      </c>
      <c r="J92">
        <v>-11.850300000000001</v>
      </c>
    </row>
    <row r="93" spans="1:10" x14ac:dyDescent="0.45">
      <c r="A93" t="s">
        <v>72</v>
      </c>
      <c r="B93">
        <v>-11.6205</v>
      </c>
      <c r="C93">
        <v>3.80287</v>
      </c>
      <c r="D93">
        <f t="shared" si="6"/>
        <v>103.438064</v>
      </c>
      <c r="E93">
        <f t="shared" si="5"/>
        <v>15.42337</v>
      </c>
      <c r="F93">
        <f t="shared" si="7"/>
        <v>15.42337</v>
      </c>
      <c r="G93">
        <f t="shared" si="8"/>
        <v>237.88034215690001</v>
      </c>
      <c r="J93">
        <v>-11.6205</v>
      </c>
    </row>
    <row r="94" spans="1:10" x14ac:dyDescent="0.45">
      <c r="A94" t="s">
        <v>73</v>
      </c>
      <c r="B94">
        <v>-11.7356</v>
      </c>
      <c r="C94">
        <v>8.1617700000000006</v>
      </c>
      <c r="D94">
        <f t="shared" si="6"/>
        <v>222.00014400000001</v>
      </c>
      <c r="E94">
        <f t="shared" si="5"/>
        <v>19.897370000000002</v>
      </c>
      <c r="F94">
        <f t="shared" si="7"/>
        <v>19.897370000000002</v>
      </c>
      <c r="G94">
        <f t="shared" si="8"/>
        <v>395.90533291690008</v>
      </c>
      <c r="J94">
        <v>-11.7356</v>
      </c>
    </row>
    <row r="95" spans="1:10" x14ac:dyDescent="0.45">
      <c r="A95" t="s">
        <v>74</v>
      </c>
      <c r="B95">
        <v>-11.8102</v>
      </c>
      <c r="C95">
        <v>8.2825100000000003</v>
      </c>
      <c r="D95">
        <f t="shared" si="6"/>
        <v>225.28427199999999</v>
      </c>
      <c r="E95">
        <f t="shared" si="5"/>
        <v>20.09271</v>
      </c>
      <c r="F95">
        <f t="shared" si="7"/>
        <v>20.09271</v>
      </c>
      <c r="G95">
        <f t="shared" si="8"/>
        <v>403.7169951441</v>
      </c>
      <c r="J95">
        <v>-11.8102</v>
      </c>
    </row>
    <row r="96" spans="1:10" x14ac:dyDescent="0.45">
      <c r="A96" t="s">
        <v>75</v>
      </c>
      <c r="B96">
        <v>-11.718500000000001</v>
      </c>
      <c r="C96">
        <v>3.87961</v>
      </c>
      <c r="D96">
        <f t="shared" si="6"/>
        <v>105.525392</v>
      </c>
      <c r="E96">
        <f t="shared" si="5"/>
        <v>15.59811</v>
      </c>
      <c r="F96">
        <f t="shared" si="7"/>
        <v>15.59811</v>
      </c>
      <c r="G96">
        <f t="shared" si="8"/>
        <v>243.30103557210001</v>
      </c>
      <c r="J96">
        <v>-11.718500000000001</v>
      </c>
    </row>
    <row r="97" spans="1:10" x14ac:dyDescent="0.45">
      <c r="A97" t="s">
        <v>76</v>
      </c>
      <c r="B97">
        <v>-11.8378</v>
      </c>
      <c r="C97">
        <v>7.9961399999999996</v>
      </c>
      <c r="D97">
        <f t="shared" si="6"/>
        <v>217.49500799999998</v>
      </c>
      <c r="E97">
        <f t="shared" si="5"/>
        <v>19.833939999999998</v>
      </c>
      <c r="F97">
        <f t="shared" si="7"/>
        <v>19.833939999999998</v>
      </c>
      <c r="G97">
        <f t="shared" si="8"/>
        <v>393.38517592359995</v>
      </c>
      <c r="J97">
        <v>-11.8378</v>
      </c>
    </row>
    <row r="98" spans="1:10" x14ac:dyDescent="0.45">
      <c r="A98" t="s">
        <v>77</v>
      </c>
      <c r="B98">
        <v>-11.6732</v>
      </c>
      <c r="C98">
        <v>3.8312900000000001</v>
      </c>
      <c r="D98">
        <f t="shared" si="6"/>
        <v>104.211088</v>
      </c>
      <c r="E98">
        <f t="shared" ref="E98:E129" si="9">(C98-B98)</f>
        <v>15.504490000000001</v>
      </c>
      <c r="F98">
        <f t="shared" si="7"/>
        <v>15.504490000000001</v>
      </c>
      <c r="G98">
        <f t="shared" si="8"/>
        <v>240.38921016010002</v>
      </c>
      <c r="J98">
        <v>-11.6732</v>
      </c>
    </row>
    <row r="99" spans="1:10" x14ac:dyDescent="0.45">
      <c r="A99" t="s">
        <v>78</v>
      </c>
      <c r="B99">
        <v>-12.1403</v>
      </c>
      <c r="C99">
        <v>3.80647</v>
      </c>
      <c r="D99">
        <f t="shared" si="6"/>
        <v>103.535984</v>
      </c>
      <c r="E99">
        <f t="shared" si="9"/>
        <v>15.946770000000001</v>
      </c>
      <c r="F99">
        <f t="shared" si="7"/>
        <v>15.946770000000001</v>
      </c>
      <c r="G99">
        <f t="shared" si="8"/>
        <v>254.29947343290002</v>
      </c>
      <c r="J99">
        <v>-12.1403</v>
      </c>
    </row>
    <row r="100" spans="1:10" x14ac:dyDescent="0.45">
      <c r="A100" t="s">
        <v>79</v>
      </c>
      <c r="B100">
        <v>-12.214700000000001</v>
      </c>
      <c r="C100">
        <v>3.8042199999999999</v>
      </c>
      <c r="D100">
        <f t="shared" si="6"/>
        <v>103.474784</v>
      </c>
      <c r="E100">
        <f t="shared" si="9"/>
        <v>16.018920000000001</v>
      </c>
      <c r="F100">
        <f t="shared" si="7"/>
        <v>16.018920000000001</v>
      </c>
      <c r="G100">
        <f t="shared" si="8"/>
        <v>256.60579796640002</v>
      </c>
      <c r="J100">
        <v>-12.214700000000001</v>
      </c>
    </row>
    <row r="101" spans="1:10" x14ac:dyDescent="0.45">
      <c r="A101" t="s">
        <v>80</v>
      </c>
      <c r="B101">
        <v>-11.5884</v>
      </c>
      <c r="C101">
        <v>3.8103099999999999</v>
      </c>
      <c r="D101">
        <f t="shared" si="6"/>
        <v>103.64043199999999</v>
      </c>
      <c r="E101">
        <f t="shared" si="9"/>
        <v>15.398709999999999</v>
      </c>
      <c r="F101">
        <f t="shared" si="7"/>
        <v>15.398709999999999</v>
      </c>
      <c r="G101">
        <f t="shared" si="8"/>
        <v>237.12026966409999</v>
      </c>
      <c r="J101">
        <v>-11.5884</v>
      </c>
    </row>
    <row r="102" spans="1:10" x14ac:dyDescent="0.45">
      <c r="A102" t="s">
        <v>81</v>
      </c>
      <c r="B102">
        <v>-11.911099999999999</v>
      </c>
      <c r="C102">
        <v>3.81589</v>
      </c>
      <c r="D102">
        <f t="shared" si="6"/>
        <v>103.792208</v>
      </c>
      <c r="E102">
        <f t="shared" si="9"/>
        <v>15.726989999999999</v>
      </c>
      <c r="F102">
        <f t="shared" si="7"/>
        <v>15.726989999999999</v>
      </c>
      <c r="G102">
        <f t="shared" si="8"/>
        <v>247.33821446009998</v>
      </c>
      <c r="J102">
        <v>-11.911099999999999</v>
      </c>
    </row>
    <row r="103" spans="1:10" x14ac:dyDescent="0.45">
      <c r="A103" t="s">
        <v>82</v>
      </c>
      <c r="B103">
        <v>-11.779500000000001</v>
      </c>
      <c r="C103">
        <v>3.8142</v>
      </c>
      <c r="D103">
        <f t="shared" si="6"/>
        <v>103.74624</v>
      </c>
      <c r="E103">
        <f t="shared" si="9"/>
        <v>15.5937</v>
      </c>
      <c r="F103">
        <f t="shared" si="7"/>
        <v>15.5937</v>
      </c>
      <c r="G103">
        <f t="shared" si="8"/>
        <v>243.16347969</v>
      </c>
      <c r="J103">
        <v>-11.779500000000001</v>
      </c>
    </row>
    <row r="104" spans="1:10" x14ac:dyDescent="0.45">
      <c r="A104" t="s">
        <v>83</v>
      </c>
      <c r="B104">
        <v>-11.8714</v>
      </c>
      <c r="C104">
        <v>3.8177500000000002</v>
      </c>
      <c r="D104">
        <f t="shared" si="6"/>
        <v>103.8428</v>
      </c>
      <c r="E104">
        <f t="shared" si="9"/>
        <v>15.68915</v>
      </c>
      <c r="F104">
        <f t="shared" si="7"/>
        <v>15.68915</v>
      </c>
      <c r="G104">
        <f t="shared" si="8"/>
        <v>246.14942772249998</v>
      </c>
      <c r="J104">
        <v>-11.8714</v>
      </c>
    </row>
    <row r="105" spans="1:10" x14ac:dyDescent="0.45">
      <c r="A105" t="s">
        <v>84</v>
      </c>
      <c r="B105">
        <v>-11.8666</v>
      </c>
      <c r="C105">
        <v>12.495839999999999</v>
      </c>
      <c r="D105">
        <f t="shared" si="6"/>
        <v>339.88684799999999</v>
      </c>
      <c r="E105">
        <f t="shared" si="9"/>
        <v>24.362439999999999</v>
      </c>
      <c r="F105">
        <f t="shared" si="7"/>
        <v>24.362439999999999</v>
      </c>
      <c r="G105">
        <f t="shared" si="8"/>
        <v>593.52848275359997</v>
      </c>
      <c r="J105">
        <v>-11.8666</v>
      </c>
    </row>
    <row r="106" spans="1:10" x14ac:dyDescent="0.45">
      <c r="A106" t="s">
        <v>139</v>
      </c>
      <c r="B106">
        <v>-11.889200000000001</v>
      </c>
      <c r="C106">
        <v>3.6853400000000001</v>
      </c>
      <c r="D106">
        <f t="shared" si="6"/>
        <v>100.241248</v>
      </c>
      <c r="E106">
        <f t="shared" si="9"/>
        <v>15.574540000000001</v>
      </c>
      <c r="F106">
        <f t="shared" si="7"/>
        <v>15.574540000000001</v>
      </c>
      <c r="G106">
        <f t="shared" si="8"/>
        <v>242.56629621160002</v>
      </c>
      <c r="J106">
        <v>-11.889200000000001</v>
      </c>
    </row>
    <row r="107" spans="1:10" x14ac:dyDescent="0.45">
      <c r="A107" t="s">
        <v>140</v>
      </c>
      <c r="B107">
        <v>-11.8086</v>
      </c>
      <c r="C107">
        <v>3.8066900000000001</v>
      </c>
      <c r="D107">
        <f t="shared" si="6"/>
        <v>103.541968</v>
      </c>
      <c r="E107">
        <f t="shared" si="9"/>
        <v>15.61529</v>
      </c>
      <c r="F107">
        <f t="shared" si="7"/>
        <v>15.61529</v>
      </c>
      <c r="G107">
        <f t="shared" si="8"/>
        <v>243.83728178409999</v>
      </c>
      <c r="J107">
        <v>-11.8086</v>
      </c>
    </row>
    <row r="108" spans="1:10" x14ac:dyDescent="0.45">
      <c r="A108" t="s">
        <v>85</v>
      </c>
      <c r="B108">
        <v>-11.7637</v>
      </c>
      <c r="C108">
        <v>3.8155399999999999</v>
      </c>
      <c r="D108">
        <f t="shared" si="6"/>
        <v>103.78268799999999</v>
      </c>
      <c r="E108">
        <f t="shared" si="9"/>
        <v>15.57924</v>
      </c>
      <c r="F108">
        <f t="shared" si="7"/>
        <v>15.57924</v>
      </c>
      <c r="G108">
        <f t="shared" si="8"/>
        <v>242.71271897760002</v>
      </c>
      <c r="J108">
        <v>-11.7637</v>
      </c>
    </row>
    <row r="109" spans="1:10" x14ac:dyDescent="0.45">
      <c r="A109" t="s">
        <v>86</v>
      </c>
      <c r="B109">
        <v>-11.8209</v>
      </c>
      <c r="C109">
        <v>11.103199999999999</v>
      </c>
      <c r="D109">
        <f t="shared" si="6"/>
        <v>302.00703999999996</v>
      </c>
      <c r="E109">
        <f t="shared" si="9"/>
        <v>22.924099999999999</v>
      </c>
      <c r="F109">
        <f t="shared" si="7"/>
        <v>22.924099999999999</v>
      </c>
      <c r="G109">
        <f t="shared" si="8"/>
        <v>525.51436080999997</v>
      </c>
      <c r="J109">
        <v>-11.8209</v>
      </c>
    </row>
    <row r="110" spans="1:10" x14ac:dyDescent="0.45">
      <c r="A110" t="s">
        <v>87</v>
      </c>
      <c r="B110">
        <v>-11.818300000000001</v>
      </c>
      <c r="C110">
        <v>11.63734</v>
      </c>
      <c r="D110">
        <f t="shared" si="6"/>
        <v>316.53564799999998</v>
      </c>
      <c r="E110">
        <f t="shared" si="9"/>
        <v>23.455640000000002</v>
      </c>
      <c r="F110">
        <f t="shared" si="7"/>
        <v>23.455640000000002</v>
      </c>
      <c r="G110">
        <f t="shared" si="8"/>
        <v>550.16704780960015</v>
      </c>
      <c r="J110">
        <v>-11.818300000000001</v>
      </c>
    </row>
    <row r="111" spans="1:10" x14ac:dyDescent="0.45">
      <c r="A111" t="s">
        <v>88</v>
      </c>
      <c r="B111">
        <v>-11.6395</v>
      </c>
      <c r="C111">
        <v>3.8111299999999999</v>
      </c>
      <c r="D111">
        <f t="shared" si="6"/>
        <v>103.662736</v>
      </c>
      <c r="E111">
        <f t="shared" si="9"/>
        <v>15.45063</v>
      </c>
      <c r="F111">
        <f t="shared" si="7"/>
        <v>15.45063</v>
      </c>
      <c r="G111">
        <f t="shared" si="8"/>
        <v>238.7219673969</v>
      </c>
      <c r="J111">
        <v>-11.6395</v>
      </c>
    </row>
    <row r="112" spans="1:10" x14ac:dyDescent="0.45">
      <c r="A112" t="s">
        <v>89</v>
      </c>
      <c r="B112">
        <v>-11.774699999999999</v>
      </c>
      <c r="C112">
        <v>3.81148</v>
      </c>
      <c r="D112">
        <f t="shared" si="6"/>
        <v>103.67225599999999</v>
      </c>
      <c r="E112">
        <f t="shared" si="9"/>
        <v>15.586179999999999</v>
      </c>
      <c r="F112">
        <f t="shared" si="7"/>
        <v>15.586179999999999</v>
      </c>
      <c r="G112">
        <f t="shared" si="8"/>
        <v>242.92900699239996</v>
      </c>
      <c r="J112">
        <v>-11.774699999999999</v>
      </c>
    </row>
    <row r="113" spans="1:10" x14ac:dyDescent="0.45">
      <c r="A113" t="s">
        <v>90</v>
      </c>
      <c r="B113">
        <v>-11.4998</v>
      </c>
      <c r="C113">
        <v>3.8484099999999999</v>
      </c>
      <c r="D113">
        <f t="shared" si="6"/>
        <v>104.67675199999999</v>
      </c>
      <c r="E113">
        <f t="shared" si="9"/>
        <v>15.34821</v>
      </c>
      <c r="F113">
        <f t="shared" si="7"/>
        <v>15.34821</v>
      </c>
      <c r="G113">
        <f t="shared" si="8"/>
        <v>235.5675502041</v>
      </c>
      <c r="J113">
        <v>-11.4998</v>
      </c>
    </row>
    <row r="114" spans="1:10" x14ac:dyDescent="0.45">
      <c r="A114" t="s">
        <v>91</v>
      </c>
      <c r="B114">
        <v>-11.9489</v>
      </c>
      <c r="C114">
        <v>3.8165</v>
      </c>
      <c r="D114">
        <f t="shared" si="6"/>
        <v>103.80879999999999</v>
      </c>
      <c r="E114">
        <f t="shared" si="9"/>
        <v>15.7654</v>
      </c>
      <c r="F114">
        <f t="shared" si="7"/>
        <v>15.7654</v>
      </c>
      <c r="G114">
        <f t="shared" si="8"/>
        <v>248.54783716</v>
      </c>
      <c r="J114">
        <v>-11.9489</v>
      </c>
    </row>
    <row r="115" spans="1:10" x14ac:dyDescent="0.45">
      <c r="A115" t="s">
        <v>92</v>
      </c>
      <c r="B115">
        <v>-11.613799999999999</v>
      </c>
      <c r="C115">
        <v>3.8117399999999999</v>
      </c>
      <c r="D115">
        <f t="shared" si="6"/>
        <v>103.679328</v>
      </c>
      <c r="E115">
        <f t="shared" si="9"/>
        <v>15.42554</v>
      </c>
      <c r="F115">
        <f t="shared" si="7"/>
        <v>15.42554</v>
      </c>
      <c r="G115">
        <f t="shared" si="8"/>
        <v>237.9472842916</v>
      </c>
      <c r="J115">
        <v>-11.613799999999999</v>
      </c>
    </row>
    <row r="116" spans="1:10" x14ac:dyDescent="0.45">
      <c r="A116" t="s">
        <v>93</v>
      </c>
      <c r="B116">
        <v>-11.401</v>
      </c>
      <c r="C116">
        <v>3.8140000000000001</v>
      </c>
      <c r="D116">
        <f t="shared" si="6"/>
        <v>103.74079999999999</v>
      </c>
      <c r="E116">
        <f t="shared" si="9"/>
        <v>15.215</v>
      </c>
      <c r="F116">
        <f t="shared" si="7"/>
        <v>15.215</v>
      </c>
      <c r="G116">
        <f t="shared" si="8"/>
        <v>231.49622500000001</v>
      </c>
      <c r="J116">
        <v>-11.401</v>
      </c>
    </row>
    <row r="117" spans="1:10" x14ac:dyDescent="0.45">
      <c r="A117" t="s">
        <v>94</v>
      </c>
      <c r="B117">
        <v>-11.4558</v>
      </c>
      <c r="C117">
        <v>3.5408499999999998</v>
      </c>
      <c r="D117">
        <f t="shared" si="6"/>
        <v>96.311119999999988</v>
      </c>
      <c r="E117">
        <f t="shared" si="9"/>
        <v>14.996649999999999</v>
      </c>
      <c r="F117">
        <f t="shared" si="7"/>
        <v>14.996649999999999</v>
      </c>
      <c r="G117">
        <f t="shared" si="8"/>
        <v>224.89951122249997</v>
      </c>
      <c r="J117">
        <v>-11.4558</v>
      </c>
    </row>
    <row r="118" spans="1:10" x14ac:dyDescent="0.45">
      <c r="A118" t="s">
        <v>95</v>
      </c>
      <c r="B118">
        <v>-11.476800000000001</v>
      </c>
      <c r="C118">
        <v>3.5796600000000001</v>
      </c>
      <c r="D118">
        <f t="shared" si="6"/>
        <v>97.366752000000005</v>
      </c>
      <c r="E118">
        <f t="shared" si="9"/>
        <v>15.056460000000001</v>
      </c>
      <c r="F118">
        <f t="shared" si="7"/>
        <v>15.056460000000001</v>
      </c>
      <c r="G118">
        <f t="shared" si="8"/>
        <v>226.69698773160005</v>
      </c>
      <c r="J118">
        <v>-11.476800000000001</v>
      </c>
    </row>
    <row r="119" spans="1:10" x14ac:dyDescent="0.45">
      <c r="A119" t="s">
        <v>96</v>
      </c>
      <c r="B119">
        <v>-11.5382</v>
      </c>
      <c r="C119">
        <v>3.5603899999999999</v>
      </c>
      <c r="D119">
        <f t="shared" si="6"/>
        <v>96.842607999999998</v>
      </c>
      <c r="E119">
        <f t="shared" si="9"/>
        <v>15.09859</v>
      </c>
      <c r="F119">
        <f t="shared" si="7"/>
        <v>15.09859</v>
      </c>
      <c r="G119">
        <f t="shared" si="8"/>
        <v>227.9674199881</v>
      </c>
      <c r="J119">
        <v>-11.5382</v>
      </c>
    </row>
    <row r="120" spans="1:10" x14ac:dyDescent="0.45">
      <c r="A120" t="s">
        <v>97</v>
      </c>
      <c r="B120">
        <v>-11.790699999999999</v>
      </c>
      <c r="C120">
        <v>3.5313300000000001</v>
      </c>
      <c r="D120">
        <f t="shared" si="6"/>
        <v>96.052176000000003</v>
      </c>
      <c r="E120">
        <f t="shared" si="9"/>
        <v>15.32203</v>
      </c>
      <c r="F120">
        <f t="shared" si="7"/>
        <v>15.32203</v>
      </c>
      <c r="G120">
        <f t="shared" si="8"/>
        <v>234.76460332089999</v>
      </c>
      <c r="J120">
        <v>-11.790699999999999</v>
      </c>
    </row>
    <row r="121" spans="1:10" x14ac:dyDescent="0.45">
      <c r="A121" t="s">
        <v>98</v>
      </c>
      <c r="B121">
        <v>-11.6038</v>
      </c>
      <c r="C121">
        <v>3.8464100000000001</v>
      </c>
      <c r="D121">
        <f t="shared" si="6"/>
        <v>104.62235200000001</v>
      </c>
      <c r="E121">
        <f t="shared" si="9"/>
        <v>15.45021</v>
      </c>
      <c r="F121">
        <f t="shared" si="7"/>
        <v>15.45021</v>
      </c>
      <c r="G121">
        <f t="shared" si="8"/>
        <v>238.70898904410001</v>
      </c>
      <c r="J121">
        <v>-11.6038</v>
      </c>
    </row>
    <row r="122" spans="1:10" x14ac:dyDescent="0.45">
      <c r="A122" t="s">
        <v>99</v>
      </c>
      <c r="B122">
        <v>-11.7448</v>
      </c>
      <c r="C122">
        <v>3.5620699999999998</v>
      </c>
      <c r="D122">
        <f t="shared" si="6"/>
        <v>96.888303999999991</v>
      </c>
      <c r="E122">
        <f t="shared" si="9"/>
        <v>15.30687</v>
      </c>
      <c r="F122">
        <f t="shared" si="7"/>
        <v>15.30687</v>
      </c>
      <c r="G122">
        <f t="shared" si="8"/>
        <v>234.30026919689999</v>
      </c>
      <c r="J122">
        <v>-11.7448</v>
      </c>
    </row>
    <row r="123" spans="1:10" x14ac:dyDescent="0.45">
      <c r="A123" t="s">
        <v>100</v>
      </c>
      <c r="B123">
        <v>-12.475</v>
      </c>
      <c r="C123">
        <v>6.1410400000000003</v>
      </c>
      <c r="D123">
        <f t="shared" si="6"/>
        <v>167.03628800000001</v>
      </c>
      <c r="E123">
        <f t="shared" si="9"/>
        <v>18.616039999999998</v>
      </c>
      <c r="F123">
        <f t="shared" si="7"/>
        <v>18.616039999999998</v>
      </c>
      <c r="G123">
        <f t="shared" si="8"/>
        <v>346.55694528159995</v>
      </c>
      <c r="J123">
        <v>-12.475</v>
      </c>
    </row>
    <row r="124" spans="1:10" x14ac:dyDescent="0.45">
      <c r="A124" t="s">
        <v>101</v>
      </c>
      <c r="B124">
        <v>-11.653499999999999</v>
      </c>
      <c r="C124">
        <v>3.8324199999999999</v>
      </c>
      <c r="D124">
        <f t="shared" si="6"/>
        <v>104.24182399999999</v>
      </c>
      <c r="E124">
        <f t="shared" si="9"/>
        <v>15.48592</v>
      </c>
      <c r="F124">
        <f t="shared" si="7"/>
        <v>15.48592</v>
      </c>
      <c r="G124">
        <f t="shared" si="8"/>
        <v>239.81371824640001</v>
      </c>
      <c r="J124">
        <v>-11.653499999999999</v>
      </c>
    </row>
    <row r="125" spans="1:10" x14ac:dyDescent="0.45">
      <c r="A125" t="s">
        <v>102</v>
      </c>
      <c r="B125">
        <v>-11.868600000000001</v>
      </c>
      <c r="C125">
        <v>3.80864</v>
      </c>
      <c r="D125">
        <f t="shared" si="6"/>
        <v>103.59500799999999</v>
      </c>
      <c r="E125">
        <f t="shared" si="9"/>
        <v>15.677240000000001</v>
      </c>
      <c r="F125">
        <f t="shared" si="7"/>
        <v>15.677240000000001</v>
      </c>
      <c r="G125">
        <f t="shared" si="8"/>
        <v>245.77585401760004</v>
      </c>
      <c r="J125">
        <v>-11.868600000000001</v>
      </c>
    </row>
    <row r="126" spans="1:10" x14ac:dyDescent="0.45">
      <c r="A126" t="s">
        <v>103</v>
      </c>
      <c r="B126">
        <v>-11.8658</v>
      </c>
      <c r="C126">
        <v>3.80301</v>
      </c>
      <c r="D126">
        <f t="shared" si="6"/>
        <v>103.441872</v>
      </c>
      <c r="E126">
        <f t="shared" si="9"/>
        <v>15.668810000000001</v>
      </c>
      <c r="F126">
        <f t="shared" si="7"/>
        <v>15.668810000000001</v>
      </c>
      <c r="G126">
        <f t="shared" si="8"/>
        <v>245.51160681610003</v>
      </c>
      <c r="J126">
        <v>-11.8658</v>
      </c>
    </row>
    <row r="127" spans="1:10" x14ac:dyDescent="0.45">
      <c r="A127" t="s">
        <v>104</v>
      </c>
      <c r="B127">
        <v>-11.7272</v>
      </c>
      <c r="C127">
        <v>3.8041399999999999</v>
      </c>
      <c r="D127">
        <f t="shared" si="6"/>
        <v>103.47260799999999</v>
      </c>
      <c r="E127">
        <f t="shared" si="9"/>
        <v>15.53134</v>
      </c>
      <c r="F127">
        <f t="shared" si="7"/>
        <v>15.53134</v>
      </c>
      <c r="G127">
        <f t="shared" si="8"/>
        <v>241.22252219559999</v>
      </c>
      <c r="J127">
        <v>-11.7272</v>
      </c>
    </row>
    <row r="128" spans="1:10" x14ac:dyDescent="0.45">
      <c r="A128" t="s">
        <v>105</v>
      </c>
      <c r="B128">
        <v>-11.620200000000001</v>
      </c>
      <c r="C128">
        <v>3.8090099999999998</v>
      </c>
      <c r="D128">
        <f t="shared" si="6"/>
        <v>103.60507199999999</v>
      </c>
      <c r="E128">
        <f t="shared" si="9"/>
        <v>15.429210000000001</v>
      </c>
      <c r="F128">
        <f t="shared" si="7"/>
        <v>15.429210000000001</v>
      </c>
      <c r="G128">
        <f t="shared" si="8"/>
        <v>238.06052122410003</v>
      </c>
      <c r="J128">
        <v>-11.620200000000001</v>
      </c>
    </row>
    <row r="129" spans="1:10" x14ac:dyDescent="0.45">
      <c r="A129" t="s">
        <v>106</v>
      </c>
      <c r="B129">
        <v>-11.676</v>
      </c>
      <c r="C129">
        <v>3.8116099999999999</v>
      </c>
      <c r="D129">
        <f t="shared" si="6"/>
        <v>103.675792</v>
      </c>
      <c r="E129">
        <f t="shared" si="9"/>
        <v>15.48761</v>
      </c>
      <c r="F129">
        <f t="shared" si="7"/>
        <v>15.48761</v>
      </c>
      <c r="G129">
        <f t="shared" si="8"/>
        <v>239.8660635121</v>
      </c>
      <c r="J129">
        <v>-11.676</v>
      </c>
    </row>
    <row r="130" spans="1:10" x14ac:dyDescent="0.45">
      <c r="A130" t="s">
        <v>141</v>
      </c>
      <c r="B130">
        <v>-12.178000000000001</v>
      </c>
      <c r="C130">
        <v>3.8024100000000001</v>
      </c>
      <c r="D130">
        <f t="shared" si="6"/>
        <v>103.425552</v>
      </c>
      <c r="E130">
        <f t="shared" ref="E130:E137" si="10">(C130-B130)</f>
        <v>15.980410000000001</v>
      </c>
      <c r="F130">
        <f t="shared" si="7"/>
        <v>15.980410000000001</v>
      </c>
      <c r="G130">
        <f t="shared" si="8"/>
        <v>255.37350376810002</v>
      </c>
      <c r="J130">
        <v>-12.178000000000001</v>
      </c>
    </row>
    <row r="131" spans="1:10" x14ac:dyDescent="0.45">
      <c r="A131" t="s">
        <v>142</v>
      </c>
      <c r="B131">
        <v>-11.8635</v>
      </c>
      <c r="C131">
        <v>3.5358800000000001</v>
      </c>
      <c r="D131">
        <f t="shared" ref="D131:D137" si="11">C131*27.2</f>
        <v>96.175936000000007</v>
      </c>
      <c r="E131">
        <f t="shared" si="10"/>
        <v>15.399380000000001</v>
      </c>
      <c r="F131">
        <f t="shared" ref="F131:F137" si="12">ABS(E131)</f>
        <v>15.399380000000001</v>
      </c>
      <c r="G131">
        <f t="shared" ref="G131:G137" si="13">F131^2</f>
        <v>237.14090438440002</v>
      </c>
      <c r="J131">
        <v>-11.8635</v>
      </c>
    </row>
    <row r="132" spans="1:10" x14ac:dyDescent="0.45">
      <c r="A132" t="s">
        <v>107</v>
      </c>
      <c r="B132">
        <v>-11.8</v>
      </c>
      <c r="C132">
        <v>11.459390000000001</v>
      </c>
      <c r="D132">
        <f t="shared" si="11"/>
        <v>311.69540800000004</v>
      </c>
      <c r="E132">
        <f t="shared" si="10"/>
        <v>23.259390000000003</v>
      </c>
      <c r="F132">
        <f t="shared" si="12"/>
        <v>23.259390000000003</v>
      </c>
      <c r="G132">
        <f t="shared" si="13"/>
        <v>540.99922317210019</v>
      </c>
      <c r="J132">
        <v>-11.8</v>
      </c>
    </row>
    <row r="133" spans="1:10" x14ac:dyDescent="0.45">
      <c r="A133" t="s">
        <v>108</v>
      </c>
      <c r="B133">
        <v>-11.795299999999999</v>
      </c>
      <c r="C133">
        <v>3.7141799999999998</v>
      </c>
      <c r="D133">
        <f t="shared" si="11"/>
        <v>101.025696</v>
      </c>
      <c r="E133">
        <f t="shared" si="10"/>
        <v>15.50948</v>
      </c>
      <c r="F133">
        <f t="shared" si="12"/>
        <v>15.50948</v>
      </c>
      <c r="G133">
        <f t="shared" si="13"/>
        <v>240.54396987039999</v>
      </c>
      <c r="J133">
        <v>-11.795299999999999</v>
      </c>
    </row>
    <row r="134" spans="1:10" x14ac:dyDescent="0.45">
      <c r="A134" t="s">
        <v>109</v>
      </c>
      <c r="B134">
        <v>-11.7906</v>
      </c>
      <c r="C134">
        <v>12.667949999999999</v>
      </c>
      <c r="D134">
        <f t="shared" si="11"/>
        <v>344.56823999999995</v>
      </c>
      <c r="E134">
        <f t="shared" si="10"/>
        <v>24.458549999999999</v>
      </c>
      <c r="F134">
        <f t="shared" si="12"/>
        <v>24.458549999999999</v>
      </c>
      <c r="G134">
        <f t="shared" si="13"/>
        <v>598.22066810249999</v>
      </c>
      <c r="J134">
        <v>-11.7906</v>
      </c>
    </row>
    <row r="135" spans="1:10" x14ac:dyDescent="0.45">
      <c r="A135" t="s">
        <v>110</v>
      </c>
      <c r="B135">
        <v>-11.818899999999999</v>
      </c>
      <c r="C135">
        <v>10.80486</v>
      </c>
      <c r="D135">
        <f t="shared" si="11"/>
        <v>293.89219199999997</v>
      </c>
      <c r="E135">
        <f t="shared" si="10"/>
        <v>22.623759999999997</v>
      </c>
      <c r="F135">
        <f t="shared" si="12"/>
        <v>22.623759999999997</v>
      </c>
      <c r="G135">
        <f t="shared" si="13"/>
        <v>511.83451653759988</v>
      </c>
      <c r="J135">
        <v>-11.818899999999999</v>
      </c>
    </row>
    <row r="136" spans="1:10" x14ac:dyDescent="0.45">
      <c r="A136" t="s">
        <v>111</v>
      </c>
      <c r="B136">
        <v>-11.495699999999999</v>
      </c>
      <c r="C136">
        <v>8.8914799999999996</v>
      </c>
      <c r="D136">
        <f t="shared" si="11"/>
        <v>241.84825599999999</v>
      </c>
      <c r="E136">
        <f t="shared" si="10"/>
        <v>20.387180000000001</v>
      </c>
      <c r="F136">
        <f t="shared" si="12"/>
        <v>20.387180000000001</v>
      </c>
      <c r="G136">
        <f t="shared" si="13"/>
        <v>415.63710835240005</v>
      </c>
      <c r="J136">
        <v>-11.495699999999999</v>
      </c>
    </row>
    <row r="137" spans="1:10" x14ac:dyDescent="0.45">
      <c r="A137" t="s">
        <v>112</v>
      </c>
      <c r="B137">
        <v>-11.495799999999999</v>
      </c>
      <c r="C137">
        <v>9.0155700000000003</v>
      </c>
      <c r="D137">
        <f t="shared" si="11"/>
        <v>245.22350399999999</v>
      </c>
      <c r="E137">
        <f t="shared" si="10"/>
        <v>20.511369999999999</v>
      </c>
      <c r="F137">
        <f t="shared" si="12"/>
        <v>20.511369999999999</v>
      </c>
      <c r="G137">
        <f t="shared" si="13"/>
        <v>420.71629927689997</v>
      </c>
      <c r="J137">
        <v>-11.495799999999999</v>
      </c>
    </row>
    <row r="138" spans="1:10" x14ac:dyDescent="0.45">
      <c r="E138">
        <f>AVERAGE(E2:E137)</f>
        <v>17.356192352941175</v>
      </c>
      <c r="F138">
        <f>AVERAGE(F2:F137)</f>
        <v>17.356192352941175</v>
      </c>
      <c r="G138">
        <f>SQRT(AVERAGE(G2:G137))</f>
        <v>17.605358970831865</v>
      </c>
    </row>
    <row r="139" spans="1:10" x14ac:dyDescent="0.45">
      <c r="B139">
        <f>MIN(B2:B137)</f>
        <v>-12.492900000000001</v>
      </c>
      <c r="D139">
        <f>MIN(D2:D137)</f>
        <v>93.858767999999998</v>
      </c>
    </row>
    <row r="140" spans="1:10" x14ac:dyDescent="0.45">
      <c r="B140">
        <f>MAX(B2:B137)</f>
        <v>-11.127700000000001</v>
      </c>
      <c r="D140">
        <f>MAX(D2:D137)</f>
        <v>344.56823999999995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81037-7D4A-4739-ADF0-8A2BF010556A}">
  <dimension ref="A1:D137"/>
  <sheetViews>
    <sheetView workbookViewId="0">
      <selection activeCell="I14" sqref="I14"/>
    </sheetView>
  </sheetViews>
  <sheetFormatPr defaultRowHeight="14.25" x14ac:dyDescent="0.45"/>
  <sheetData>
    <row r="1" spans="1:4" x14ac:dyDescent="0.45">
      <c r="A1" t="s">
        <v>6</v>
      </c>
      <c r="B1" t="s">
        <v>143</v>
      </c>
      <c r="C1" t="s">
        <v>144</v>
      </c>
      <c r="D1" t="s">
        <v>145</v>
      </c>
    </row>
    <row r="2" spans="1:4" x14ac:dyDescent="0.45">
      <c r="A2" t="s">
        <v>113</v>
      </c>
      <c r="B2">
        <v>-12.9702</v>
      </c>
      <c r="C2">
        <v>-11.907999999999999</v>
      </c>
      <c r="D2">
        <v>1.0622</v>
      </c>
    </row>
    <row r="3" spans="1:4" x14ac:dyDescent="0.45">
      <c r="A3" t="s">
        <v>114</v>
      </c>
      <c r="B3">
        <v>-12.897500000000001</v>
      </c>
      <c r="C3">
        <v>-11.8269</v>
      </c>
      <c r="D3">
        <v>1.0706</v>
      </c>
    </row>
    <row r="4" spans="1:4" x14ac:dyDescent="0.45">
      <c r="A4" t="s">
        <v>115</v>
      </c>
      <c r="B4">
        <v>-13.1647</v>
      </c>
      <c r="C4">
        <v>-12.111700000000001</v>
      </c>
      <c r="D4">
        <v>1.0529999999999999</v>
      </c>
    </row>
    <row r="5" spans="1:4" x14ac:dyDescent="0.45">
      <c r="A5" t="s">
        <v>116</v>
      </c>
      <c r="B5">
        <v>-12.5177</v>
      </c>
      <c r="C5">
        <v>-11.961399999999999</v>
      </c>
      <c r="D5">
        <v>0.55630000000000002</v>
      </c>
    </row>
    <row r="6" spans="1:4" x14ac:dyDescent="0.45">
      <c r="A6" t="s">
        <v>117</v>
      </c>
      <c r="B6">
        <v>-12.6152</v>
      </c>
      <c r="C6">
        <v>-11.6816</v>
      </c>
      <c r="D6">
        <v>0.93359999999999999</v>
      </c>
    </row>
    <row r="7" spans="1:4" x14ac:dyDescent="0.45">
      <c r="A7" t="s">
        <v>118</v>
      </c>
      <c r="B7">
        <v>-12.494</v>
      </c>
      <c r="C7">
        <v>-11.932499999999999</v>
      </c>
      <c r="D7">
        <v>0.5615</v>
      </c>
    </row>
    <row r="8" spans="1:4" x14ac:dyDescent="0.45">
      <c r="A8" t="s">
        <v>7</v>
      </c>
      <c r="B8">
        <v>-12.6158</v>
      </c>
      <c r="C8">
        <v>-11.775600000000001</v>
      </c>
      <c r="D8">
        <v>0.84019999999999995</v>
      </c>
    </row>
    <row r="9" spans="1:4" x14ac:dyDescent="0.45">
      <c r="A9" t="s">
        <v>8</v>
      </c>
      <c r="B9">
        <v>-12.4956</v>
      </c>
      <c r="C9">
        <v>-11.691000000000001</v>
      </c>
      <c r="D9">
        <v>0.80459999999999998</v>
      </c>
    </row>
    <row r="10" spans="1:4" x14ac:dyDescent="0.45">
      <c r="A10" t="s">
        <v>9</v>
      </c>
      <c r="B10">
        <v>-12.6046</v>
      </c>
      <c r="C10">
        <v>-11.708</v>
      </c>
      <c r="D10">
        <v>0.89659999999999995</v>
      </c>
    </row>
    <row r="11" spans="1:4" x14ac:dyDescent="0.45">
      <c r="A11" t="s">
        <v>10</v>
      </c>
      <c r="B11">
        <v>-12.5868</v>
      </c>
      <c r="C11">
        <v>-11.734999999999999</v>
      </c>
      <c r="D11">
        <v>0.8518</v>
      </c>
    </row>
    <row r="12" spans="1:4" x14ac:dyDescent="0.45">
      <c r="A12" t="s">
        <v>11</v>
      </c>
      <c r="B12">
        <v>-12.6991</v>
      </c>
      <c r="C12">
        <v>-11.756399999999999</v>
      </c>
      <c r="D12">
        <v>0.94269999999999998</v>
      </c>
    </row>
    <row r="13" spans="1:4" x14ac:dyDescent="0.45">
      <c r="A13" t="s">
        <v>12</v>
      </c>
      <c r="B13">
        <v>-12.2233</v>
      </c>
      <c r="C13">
        <v>-11.267200000000001</v>
      </c>
      <c r="D13">
        <v>0.95609999999999995</v>
      </c>
    </row>
    <row r="14" spans="1:4" x14ac:dyDescent="0.45">
      <c r="A14" t="s">
        <v>13</v>
      </c>
      <c r="B14">
        <v>-12.549099999999999</v>
      </c>
      <c r="C14">
        <v>-11.6922</v>
      </c>
      <c r="D14">
        <v>0.8569</v>
      </c>
    </row>
    <row r="15" spans="1:4" x14ac:dyDescent="0.45">
      <c r="A15" t="s">
        <v>119</v>
      </c>
      <c r="B15">
        <v>-12.9428</v>
      </c>
      <c r="C15">
        <v>-12.0276</v>
      </c>
      <c r="D15">
        <v>0.91520000000000001</v>
      </c>
    </row>
    <row r="16" spans="1:4" x14ac:dyDescent="0.45">
      <c r="A16" t="s">
        <v>14</v>
      </c>
      <c r="B16">
        <v>-12.8117</v>
      </c>
      <c r="C16">
        <v>-11.859299999999999</v>
      </c>
      <c r="D16">
        <v>0.95240000000000002</v>
      </c>
    </row>
    <row r="17" spans="1:4" x14ac:dyDescent="0.45">
      <c r="A17" t="s">
        <v>120</v>
      </c>
      <c r="B17">
        <v>-12.2706</v>
      </c>
      <c r="C17">
        <v>-11.3811</v>
      </c>
      <c r="D17">
        <v>0.88949999999999996</v>
      </c>
    </row>
    <row r="18" spans="1:4" x14ac:dyDescent="0.45">
      <c r="A18" t="s">
        <v>121</v>
      </c>
      <c r="B18">
        <v>-12.9084</v>
      </c>
      <c r="C18">
        <v>-11.9413</v>
      </c>
      <c r="D18">
        <v>0.96709999999999996</v>
      </c>
    </row>
    <row r="19" spans="1:4" x14ac:dyDescent="0.45">
      <c r="A19" t="s">
        <v>122</v>
      </c>
      <c r="B19">
        <v>-12.7232</v>
      </c>
      <c r="C19">
        <v>-12.1881</v>
      </c>
      <c r="D19">
        <v>0.53510000000000002</v>
      </c>
    </row>
    <row r="20" spans="1:4" x14ac:dyDescent="0.45">
      <c r="A20" t="s">
        <v>123</v>
      </c>
      <c r="B20">
        <v>-12.7226</v>
      </c>
      <c r="C20">
        <v>-11.8154</v>
      </c>
      <c r="D20">
        <v>0.90720000000000001</v>
      </c>
    </row>
    <row r="21" spans="1:4" x14ac:dyDescent="0.45">
      <c r="A21" t="s">
        <v>124</v>
      </c>
      <c r="B21">
        <v>-12.811199999999999</v>
      </c>
      <c r="C21">
        <v>-11.9247</v>
      </c>
      <c r="D21">
        <v>0.88649999999999995</v>
      </c>
    </row>
    <row r="22" spans="1:4" x14ac:dyDescent="0.45">
      <c r="A22" t="s">
        <v>125</v>
      </c>
      <c r="B22">
        <v>-12.7803</v>
      </c>
      <c r="C22">
        <v>-11.961600000000001</v>
      </c>
      <c r="D22">
        <v>0.81869999999999998</v>
      </c>
    </row>
    <row r="23" spans="1:4" x14ac:dyDescent="0.45">
      <c r="A23" t="s">
        <v>15</v>
      </c>
      <c r="B23">
        <v>-12.5762</v>
      </c>
      <c r="C23">
        <v>-11.815300000000001</v>
      </c>
      <c r="D23">
        <v>0.76090000000000002</v>
      </c>
    </row>
    <row r="24" spans="1:4" x14ac:dyDescent="0.45">
      <c r="A24" t="s">
        <v>16</v>
      </c>
      <c r="B24">
        <v>-13.1076</v>
      </c>
      <c r="C24">
        <v>-11.9903</v>
      </c>
      <c r="D24">
        <v>1.1173</v>
      </c>
    </row>
    <row r="25" spans="1:4" x14ac:dyDescent="0.45">
      <c r="A25" t="s">
        <v>17</v>
      </c>
      <c r="B25">
        <v>-12.923999999999999</v>
      </c>
      <c r="C25">
        <v>-11.7859</v>
      </c>
      <c r="D25">
        <v>1.1380999999999999</v>
      </c>
    </row>
    <row r="26" spans="1:4" x14ac:dyDescent="0.45">
      <c r="A26" t="s">
        <v>18</v>
      </c>
      <c r="B26">
        <v>-12.2997</v>
      </c>
      <c r="C26">
        <v>-11.498200000000001</v>
      </c>
      <c r="D26">
        <v>0.80149999999999999</v>
      </c>
    </row>
    <row r="27" spans="1:4" x14ac:dyDescent="0.45">
      <c r="A27" t="s">
        <v>19</v>
      </c>
      <c r="B27">
        <v>-12.588200000000001</v>
      </c>
      <c r="C27">
        <v>-11.6127</v>
      </c>
      <c r="D27">
        <v>0.97550000000000003</v>
      </c>
    </row>
    <row r="28" spans="1:4" x14ac:dyDescent="0.45">
      <c r="A28" t="s">
        <v>20</v>
      </c>
      <c r="B28">
        <v>-12.506500000000001</v>
      </c>
      <c r="C28">
        <v>-11.7165</v>
      </c>
      <c r="D28">
        <v>0.79</v>
      </c>
    </row>
    <row r="29" spans="1:4" x14ac:dyDescent="0.45">
      <c r="A29" t="s">
        <v>21</v>
      </c>
      <c r="B29">
        <v>-12.7425</v>
      </c>
      <c r="C29">
        <v>-11.7707</v>
      </c>
      <c r="D29">
        <v>0.9718</v>
      </c>
    </row>
    <row r="30" spans="1:4" x14ac:dyDescent="0.45">
      <c r="A30" t="s">
        <v>22</v>
      </c>
      <c r="B30">
        <v>-12.161</v>
      </c>
      <c r="C30">
        <v>-11.5954</v>
      </c>
      <c r="D30">
        <v>0.56559999999999999</v>
      </c>
    </row>
    <row r="31" spans="1:4" x14ac:dyDescent="0.45">
      <c r="A31" t="s">
        <v>23</v>
      </c>
      <c r="B31">
        <v>-12.2967</v>
      </c>
      <c r="C31">
        <v>-11.321400000000001</v>
      </c>
      <c r="D31">
        <v>0.97529999999999994</v>
      </c>
    </row>
    <row r="32" spans="1:4" x14ac:dyDescent="0.45">
      <c r="A32" t="s">
        <v>24</v>
      </c>
      <c r="B32">
        <v>-12.1699</v>
      </c>
      <c r="C32">
        <v>-11.8353</v>
      </c>
      <c r="D32">
        <v>0.33460000000000001</v>
      </c>
    </row>
    <row r="33" spans="1:4" x14ac:dyDescent="0.45">
      <c r="A33" t="s">
        <v>25</v>
      </c>
      <c r="B33">
        <v>-12.5837</v>
      </c>
      <c r="C33">
        <v>-12.2761</v>
      </c>
      <c r="D33">
        <v>0.30759999999999998</v>
      </c>
    </row>
    <row r="34" spans="1:4" x14ac:dyDescent="0.45">
      <c r="A34" t="s">
        <v>26</v>
      </c>
      <c r="B34">
        <v>-12.6911</v>
      </c>
      <c r="C34">
        <v>-12.300800000000001</v>
      </c>
      <c r="D34">
        <v>0.39029999999999998</v>
      </c>
    </row>
    <row r="35" spans="1:4" x14ac:dyDescent="0.45">
      <c r="A35" t="s">
        <v>27</v>
      </c>
      <c r="B35">
        <v>-12.738099999999999</v>
      </c>
      <c r="C35">
        <v>-12.271599999999999</v>
      </c>
      <c r="D35">
        <v>0.46650000000000003</v>
      </c>
    </row>
    <row r="36" spans="1:4" x14ac:dyDescent="0.45">
      <c r="A36" t="s">
        <v>28</v>
      </c>
      <c r="B36">
        <v>-12.1396</v>
      </c>
      <c r="C36">
        <v>-12.020200000000001</v>
      </c>
      <c r="D36">
        <v>0.11940000000000001</v>
      </c>
    </row>
    <row r="37" spans="1:4" x14ac:dyDescent="0.45">
      <c r="A37" t="s">
        <v>126</v>
      </c>
      <c r="B37">
        <v>-12.835699999999999</v>
      </c>
      <c r="C37">
        <v>-11.977399999999999</v>
      </c>
      <c r="D37">
        <v>0.85829999999999995</v>
      </c>
    </row>
    <row r="38" spans="1:4" x14ac:dyDescent="0.45">
      <c r="A38" t="s">
        <v>29</v>
      </c>
      <c r="B38">
        <v>-12.371499999999999</v>
      </c>
      <c r="C38">
        <v>-11.8774</v>
      </c>
      <c r="D38">
        <v>0.49409999999999998</v>
      </c>
    </row>
    <row r="39" spans="1:4" x14ac:dyDescent="0.45">
      <c r="A39" t="s">
        <v>30</v>
      </c>
      <c r="B39">
        <v>-12.360900000000001</v>
      </c>
      <c r="C39">
        <v>-11.998799999999999</v>
      </c>
      <c r="D39">
        <v>0.36209999999999998</v>
      </c>
    </row>
    <row r="40" spans="1:4" x14ac:dyDescent="0.45">
      <c r="A40" t="s">
        <v>31</v>
      </c>
      <c r="B40">
        <v>-12.5854</v>
      </c>
      <c r="C40">
        <v>-11.808400000000001</v>
      </c>
      <c r="D40">
        <v>0.77700000000000002</v>
      </c>
    </row>
    <row r="41" spans="1:4" x14ac:dyDescent="0.45">
      <c r="A41" t="s">
        <v>127</v>
      </c>
      <c r="B41">
        <v>-12.9254</v>
      </c>
      <c r="C41">
        <v>-11.892300000000001</v>
      </c>
      <c r="D41">
        <v>1.0330999999999999</v>
      </c>
    </row>
    <row r="42" spans="1:4" x14ac:dyDescent="0.45">
      <c r="A42" t="s">
        <v>128</v>
      </c>
      <c r="B42">
        <v>-12.553900000000001</v>
      </c>
      <c r="C42">
        <v>-11.829800000000001</v>
      </c>
      <c r="D42">
        <v>0.72409999999999997</v>
      </c>
    </row>
    <row r="43" spans="1:4" x14ac:dyDescent="0.45">
      <c r="A43" t="s">
        <v>32</v>
      </c>
      <c r="B43">
        <v>-12.6159</v>
      </c>
      <c r="C43">
        <v>-11.837199999999999</v>
      </c>
      <c r="D43">
        <v>0.77869999999999995</v>
      </c>
    </row>
    <row r="44" spans="1:4" x14ac:dyDescent="0.45">
      <c r="A44" t="s">
        <v>33</v>
      </c>
      <c r="B44">
        <v>-12.597099999999999</v>
      </c>
      <c r="C44">
        <v>-11.8629</v>
      </c>
      <c r="D44">
        <v>0.73419999999999996</v>
      </c>
    </row>
    <row r="45" spans="1:4" x14ac:dyDescent="0.45">
      <c r="A45" t="s">
        <v>34</v>
      </c>
      <c r="B45">
        <v>-12.5815</v>
      </c>
      <c r="C45">
        <v>-11.6861</v>
      </c>
      <c r="D45">
        <v>0.89539999999999997</v>
      </c>
    </row>
    <row r="46" spans="1:4" x14ac:dyDescent="0.45">
      <c r="A46" t="s">
        <v>35</v>
      </c>
      <c r="B46">
        <v>-12.412000000000001</v>
      </c>
      <c r="C46">
        <v>-11.666</v>
      </c>
      <c r="D46">
        <v>0.746</v>
      </c>
    </row>
    <row r="47" spans="1:4" x14ac:dyDescent="0.45">
      <c r="A47" t="s">
        <v>36</v>
      </c>
      <c r="B47">
        <v>-12.1557</v>
      </c>
      <c r="C47">
        <v>-11.4716</v>
      </c>
      <c r="D47">
        <v>0.68410000000000004</v>
      </c>
    </row>
    <row r="48" spans="1:4" x14ac:dyDescent="0.45">
      <c r="A48" t="s">
        <v>37</v>
      </c>
      <c r="B48">
        <v>-12.733000000000001</v>
      </c>
      <c r="C48">
        <v>-11.882199999999999</v>
      </c>
      <c r="D48">
        <v>0.8508</v>
      </c>
    </row>
    <row r="49" spans="1:4" x14ac:dyDescent="0.45">
      <c r="A49" t="s">
        <v>38</v>
      </c>
      <c r="B49">
        <v>-12.4285</v>
      </c>
      <c r="C49">
        <v>-11.583299999999999</v>
      </c>
      <c r="D49">
        <v>0.84519999999999995</v>
      </c>
    </row>
    <row r="50" spans="1:4" x14ac:dyDescent="0.45">
      <c r="A50" t="s">
        <v>39</v>
      </c>
      <c r="B50">
        <v>-12.0442</v>
      </c>
      <c r="C50">
        <v>-11.3119</v>
      </c>
      <c r="D50">
        <v>0.73229999999999995</v>
      </c>
    </row>
    <row r="51" spans="1:4" x14ac:dyDescent="0.45">
      <c r="A51" t="s">
        <v>40</v>
      </c>
      <c r="B51">
        <v>-12.2943</v>
      </c>
      <c r="C51">
        <v>-11.5084</v>
      </c>
      <c r="D51">
        <v>0.78590000000000004</v>
      </c>
    </row>
    <row r="52" spans="1:4" x14ac:dyDescent="0.45">
      <c r="A52" t="s">
        <v>41</v>
      </c>
      <c r="B52">
        <v>-12.3124</v>
      </c>
      <c r="C52">
        <v>-11.538500000000001</v>
      </c>
      <c r="D52">
        <v>0.77390000000000003</v>
      </c>
    </row>
    <row r="53" spans="1:4" x14ac:dyDescent="0.45">
      <c r="A53" t="s">
        <v>42</v>
      </c>
      <c r="B53">
        <v>-12.4269</v>
      </c>
      <c r="C53">
        <v>-11.520099999999999</v>
      </c>
      <c r="D53">
        <v>0.90680000000000005</v>
      </c>
    </row>
    <row r="54" spans="1:4" x14ac:dyDescent="0.45">
      <c r="A54" t="s">
        <v>43</v>
      </c>
      <c r="B54">
        <v>-12.4316</v>
      </c>
      <c r="C54">
        <v>-11.522</v>
      </c>
      <c r="D54">
        <v>0.90959999999999996</v>
      </c>
    </row>
    <row r="55" spans="1:4" x14ac:dyDescent="0.45">
      <c r="A55" t="s">
        <v>44</v>
      </c>
      <c r="B55">
        <v>-12.6074</v>
      </c>
      <c r="C55">
        <v>-11.6005</v>
      </c>
      <c r="D55">
        <v>1.0068999999999999</v>
      </c>
    </row>
    <row r="56" spans="1:4" x14ac:dyDescent="0.45">
      <c r="A56" t="s">
        <v>45</v>
      </c>
      <c r="B56">
        <v>-12.4681</v>
      </c>
      <c r="C56">
        <v>-11.69</v>
      </c>
      <c r="D56">
        <v>0.77810000000000001</v>
      </c>
    </row>
    <row r="57" spans="1:4" x14ac:dyDescent="0.45">
      <c r="A57" t="s">
        <v>46</v>
      </c>
      <c r="B57">
        <v>-12.7271</v>
      </c>
      <c r="C57">
        <v>-12.492900000000001</v>
      </c>
      <c r="D57">
        <v>0.23419999999999999</v>
      </c>
    </row>
    <row r="58" spans="1:4" x14ac:dyDescent="0.45">
      <c r="A58" t="s">
        <v>47</v>
      </c>
      <c r="B58">
        <v>-12.3666</v>
      </c>
      <c r="C58">
        <v>-11.579000000000001</v>
      </c>
      <c r="D58">
        <v>0.78759999999999997</v>
      </c>
    </row>
    <row r="59" spans="1:4" x14ac:dyDescent="0.45">
      <c r="A59" t="s">
        <v>48</v>
      </c>
      <c r="B59">
        <v>-12.5237</v>
      </c>
      <c r="C59">
        <v>-11.517300000000001</v>
      </c>
      <c r="D59">
        <v>1.0064</v>
      </c>
    </row>
    <row r="60" spans="1:4" x14ac:dyDescent="0.45">
      <c r="A60" t="s">
        <v>49</v>
      </c>
      <c r="B60">
        <v>-12.6532</v>
      </c>
      <c r="C60">
        <v>-11.837300000000001</v>
      </c>
      <c r="D60">
        <v>0.81589999999999996</v>
      </c>
    </row>
    <row r="61" spans="1:4" x14ac:dyDescent="0.45">
      <c r="A61" t="s">
        <v>50</v>
      </c>
      <c r="B61">
        <v>-12.7926</v>
      </c>
      <c r="C61">
        <v>-12.049300000000001</v>
      </c>
      <c r="D61">
        <v>0.74329999999999996</v>
      </c>
    </row>
    <row r="62" spans="1:4" x14ac:dyDescent="0.45">
      <c r="A62" t="s">
        <v>51</v>
      </c>
      <c r="B62">
        <v>-12.7387</v>
      </c>
      <c r="C62">
        <v>-11.7531</v>
      </c>
      <c r="D62">
        <v>0.98560000000000003</v>
      </c>
    </row>
    <row r="63" spans="1:4" x14ac:dyDescent="0.45">
      <c r="A63" t="s">
        <v>52</v>
      </c>
      <c r="B63">
        <v>-12.444900000000001</v>
      </c>
      <c r="C63">
        <v>-11.55</v>
      </c>
      <c r="D63">
        <v>0.89490000000000003</v>
      </c>
    </row>
    <row r="64" spans="1:4" x14ac:dyDescent="0.45">
      <c r="A64" t="s">
        <v>53</v>
      </c>
      <c r="B64">
        <v>-12.4671</v>
      </c>
      <c r="C64">
        <v>-11.5334</v>
      </c>
      <c r="D64">
        <v>0.93369999999999997</v>
      </c>
    </row>
    <row r="65" spans="1:4" x14ac:dyDescent="0.45">
      <c r="A65" t="s">
        <v>129</v>
      </c>
      <c r="B65">
        <v>-13.2005</v>
      </c>
      <c r="C65">
        <v>-12.171900000000001</v>
      </c>
      <c r="D65">
        <v>1.0286</v>
      </c>
    </row>
    <row r="66" spans="1:4" x14ac:dyDescent="0.45">
      <c r="A66" t="s">
        <v>130</v>
      </c>
      <c r="B66">
        <v>-12.899900000000001</v>
      </c>
      <c r="C66">
        <v>-11.8652</v>
      </c>
      <c r="D66">
        <v>1.0347</v>
      </c>
    </row>
    <row r="67" spans="1:4" x14ac:dyDescent="0.45">
      <c r="A67" t="s">
        <v>54</v>
      </c>
      <c r="B67">
        <v>-12.6104</v>
      </c>
      <c r="C67">
        <v>-11.803599999999999</v>
      </c>
      <c r="D67">
        <v>0.80679999999999996</v>
      </c>
    </row>
    <row r="68" spans="1:4" x14ac:dyDescent="0.45">
      <c r="A68" t="s">
        <v>55</v>
      </c>
      <c r="B68">
        <v>-12.456300000000001</v>
      </c>
      <c r="C68">
        <v>-11.6944</v>
      </c>
      <c r="D68">
        <v>0.76190000000000002</v>
      </c>
    </row>
    <row r="69" spans="1:4" x14ac:dyDescent="0.45">
      <c r="A69" t="s">
        <v>56</v>
      </c>
      <c r="B69">
        <v>-12.4924</v>
      </c>
      <c r="C69">
        <v>-11.7044</v>
      </c>
      <c r="D69">
        <v>0.78800000000000003</v>
      </c>
    </row>
    <row r="70" spans="1:4" x14ac:dyDescent="0.45">
      <c r="A70" t="s">
        <v>57</v>
      </c>
      <c r="B70">
        <v>-12.5686</v>
      </c>
      <c r="C70">
        <v>-11.770899999999999</v>
      </c>
      <c r="D70">
        <v>0.79769999999999996</v>
      </c>
    </row>
    <row r="71" spans="1:4" x14ac:dyDescent="0.45">
      <c r="A71" t="s">
        <v>58</v>
      </c>
      <c r="B71">
        <v>-12.5229</v>
      </c>
      <c r="C71">
        <v>-11.523300000000001</v>
      </c>
      <c r="D71">
        <v>0.99960000000000004</v>
      </c>
    </row>
    <row r="72" spans="1:4" x14ac:dyDescent="0.45">
      <c r="A72" t="s">
        <v>131</v>
      </c>
      <c r="B72">
        <v>-12.8904</v>
      </c>
      <c r="C72">
        <v>-11.8362</v>
      </c>
      <c r="D72">
        <v>1.0542</v>
      </c>
    </row>
    <row r="73" spans="1:4" x14ac:dyDescent="0.45">
      <c r="A73" t="s">
        <v>132</v>
      </c>
      <c r="B73">
        <v>-13.187799999999999</v>
      </c>
      <c r="C73">
        <v>-12.164400000000001</v>
      </c>
      <c r="D73">
        <v>1.0234000000000001</v>
      </c>
    </row>
    <row r="74" spans="1:4" x14ac:dyDescent="0.45">
      <c r="A74" t="s">
        <v>133</v>
      </c>
      <c r="B74">
        <v>-12.805899999999999</v>
      </c>
      <c r="C74">
        <v>-11.7165</v>
      </c>
      <c r="D74">
        <v>1.0893999999999999</v>
      </c>
    </row>
    <row r="75" spans="1:4" x14ac:dyDescent="0.45">
      <c r="A75" t="s">
        <v>59</v>
      </c>
      <c r="B75">
        <v>-12.419600000000001</v>
      </c>
      <c r="C75">
        <v>-11.5915</v>
      </c>
      <c r="D75">
        <v>0.82809999999999995</v>
      </c>
    </row>
    <row r="76" spans="1:4" x14ac:dyDescent="0.45">
      <c r="A76" t="s">
        <v>60</v>
      </c>
      <c r="B76">
        <v>-12.55</v>
      </c>
      <c r="C76">
        <v>-11.751200000000001</v>
      </c>
      <c r="D76">
        <v>0.79879999999999995</v>
      </c>
    </row>
    <row r="77" spans="1:4" x14ac:dyDescent="0.45">
      <c r="A77" t="s">
        <v>61</v>
      </c>
      <c r="B77">
        <v>-12.5183</v>
      </c>
      <c r="C77">
        <v>-11.6746</v>
      </c>
      <c r="D77">
        <v>0.84370000000000001</v>
      </c>
    </row>
    <row r="78" spans="1:4" x14ac:dyDescent="0.45">
      <c r="A78" t="s">
        <v>62</v>
      </c>
      <c r="B78">
        <v>-12.606</v>
      </c>
      <c r="C78">
        <v>-11.71</v>
      </c>
      <c r="D78">
        <v>0.89600000000000002</v>
      </c>
    </row>
    <row r="79" spans="1:4" x14ac:dyDescent="0.45">
      <c r="A79" t="s">
        <v>63</v>
      </c>
      <c r="B79">
        <v>-12.6968</v>
      </c>
      <c r="C79">
        <v>-11.7784</v>
      </c>
      <c r="D79">
        <v>0.91839999999999999</v>
      </c>
    </row>
    <row r="80" spans="1:4" x14ac:dyDescent="0.45">
      <c r="A80" t="s">
        <v>64</v>
      </c>
      <c r="B80">
        <v>-12.673299999999999</v>
      </c>
      <c r="C80">
        <v>-11.810600000000001</v>
      </c>
      <c r="D80">
        <v>0.86270000000000002</v>
      </c>
    </row>
    <row r="81" spans="1:4" x14ac:dyDescent="0.45">
      <c r="A81" t="s">
        <v>65</v>
      </c>
      <c r="B81">
        <v>-12.6066</v>
      </c>
      <c r="C81">
        <v>-11.930300000000001</v>
      </c>
      <c r="D81">
        <v>0.67630000000000001</v>
      </c>
    </row>
    <row r="82" spans="1:4" x14ac:dyDescent="0.45">
      <c r="A82" t="s">
        <v>66</v>
      </c>
      <c r="B82">
        <v>-12.582599999999999</v>
      </c>
      <c r="C82">
        <v>-11.703200000000001</v>
      </c>
      <c r="D82">
        <v>0.87939999999999996</v>
      </c>
    </row>
    <row r="83" spans="1:4" x14ac:dyDescent="0.45">
      <c r="A83" t="s">
        <v>67</v>
      </c>
      <c r="B83">
        <v>-12.814500000000001</v>
      </c>
      <c r="C83">
        <v>-11.860799999999999</v>
      </c>
      <c r="D83">
        <v>0.95369999999999999</v>
      </c>
    </row>
    <row r="84" spans="1:4" x14ac:dyDescent="0.45">
      <c r="A84" t="s">
        <v>134</v>
      </c>
      <c r="B84">
        <v>-12.405799999999999</v>
      </c>
      <c r="C84">
        <v>-11.8522</v>
      </c>
      <c r="D84">
        <v>0.55359999999999998</v>
      </c>
    </row>
    <row r="85" spans="1:4" x14ac:dyDescent="0.45">
      <c r="A85" t="s">
        <v>135</v>
      </c>
      <c r="B85">
        <v>-12.5223</v>
      </c>
      <c r="C85">
        <v>-12.377000000000001</v>
      </c>
      <c r="D85">
        <v>0.14530000000000001</v>
      </c>
    </row>
    <row r="86" spans="1:4" x14ac:dyDescent="0.45">
      <c r="A86" t="s">
        <v>136</v>
      </c>
      <c r="B86">
        <v>-12.714</v>
      </c>
      <c r="C86">
        <v>-11.8294</v>
      </c>
      <c r="D86">
        <v>0.88460000000000005</v>
      </c>
    </row>
    <row r="87" spans="1:4" x14ac:dyDescent="0.45">
      <c r="A87" t="s">
        <v>137</v>
      </c>
      <c r="B87">
        <v>-12.8391</v>
      </c>
      <c r="C87">
        <v>-11.929399999999999</v>
      </c>
      <c r="D87">
        <v>0.90969999999999995</v>
      </c>
    </row>
    <row r="88" spans="1:4" x14ac:dyDescent="0.45">
      <c r="A88" t="s">
        <v>138</v>
      </c>
      <c r="B88">
        <v>-12.7431</v>
      </c>
      <c r="C88">
        <v>-11.9733</v>
      </c>
      <c r="D88">
        <v>0.76980000000000004</v>
      </c>
    </row>
    <row r="89" spans="1:4" x14ac:dyDescent="0.45">
      <c r="A89" t="s">
        <v>68</v>
      </c>
      <c r="B89">
        <v>-12.2431</v>
      </c>
      <c r="C89">
        <v>-11.127700000000001</v>
      </c>
      <c r="D89">
        <v>1.1153999999999999</v>
      </c>
    </row>
    <row r="90" spans="1:4" x14ac:dyDescent="0.45">
      <c r="A90" t="s">
        <v>69</v>
      </c>
      <c r="B90">
        <v>-13.164899999999999</v>
      </c>
      <c r="C90">
        <v>-11.991899999999999</v>
      </c>
      <c r="D90">
        <v>1.173</v>
      </c>
    </row>
    <row r="91" spans="1:4" x14ac:dyDescent="0.45">
      <c r="A91" t="s">
        <v>70</v>
      </c>
      <c r="B91">
        <v>-12.2181</v>
      </c>
      <c r="C91">
        <v>-11.3581</v>
      </c>
      <c r="D91">
        <v>0.86</v>
      </c>
    </row>
    <row r="92" spans="1:4" x14ac:dyDescent="0.45">
      <c r="A92" t="s">
        <v>71</v>
      </c>
      <c r="B92">
        <v>-12.946400000000001</v>
      </c>
      <c r="C92">
        <v>-11.850300000000001</v>
      </c>
      <c r="D92">
        <v>1.0961000000000001</v>
      </c>
    </row>
    <row r="93" spans="1:4" x14ac:dyDescent="0.45">
      <c r="A93" t="s">
        <v>72</v>
      </c>
      <c r="B93">
        <v>-12.610200000000001</v>
      </c>
      <c r="C93">
        <v>-11.6205</v>
      </c>
      <c r="D93">
        <v>0.98970000000000002</v>
      </c>
    </row>
    <row r="94" spans="1:4" x14ac:dyDescent="0.45">
      <c r="A94" t="s">
        <v>73</v>
      </c>
      <c r="B94">
        <v>-12.5084</v>
      </c>
      <c r="C94">
        <v>-11.7356</v>
      </c>
      <c r="D94">
        <v>0.77280000000000004</v>
      </c>
    </row>
    <row r="95" spans="1:4" x14ac:dyDescent="0.45">
      <c r="A95" t="s">
        <v>74</v>
      </c>
      <c r="B95">
        <v>-12.7067</v>
      </c>
      <c r="C95">
        <v>-11.8102</v>
      </c>
      <c r="D95">
        <v>0.89649999999999996</v>
      </c>
    </row>
    <row r="96" spans="1:4" x14ac:dyDescent="0.45">
      <c r="A96" t="s">
        <v>75</v>
      </c>
      <c r="B96">
        <v>-12.1661</v>
      </c>
      <c r="C96">
        <v>-11.718500000000001</v>
      </c>
      <c r="D96">
        <v>0.4476</v>
      </c>
    </row>
    <row r="97" spans="1:4" x14ac:dyDescent="0.45">
      <c r="A97" t="s">
        <v>76</v>
      </c>
      <c r="B97">
        <v>-12.8246</v>
      </c>
      <c r="C97">
        <v>-11.8378</v>
      </c>
      <c r="D97">
        <v>0.98680000000000001</v>
      </c>
    </row>
    <row r="98" spans="1:4" x14ac:dyDescent="0.45">
      <c r="A98" t="s">
        <v>77</v>
      </c>
      <c r="B98">
        <v>-12.1892</v>
      </c>
      <c r="C98">
        <v>-11.6732</v>
      </c>
      <c r="D98">
        <v>0.51600000000000001</v>
      </c>
    </row>
    <row r="99" spans="1:4" x14ac:dyDescent="0.45">
      <c r="A99" t="s">
        <v>78</v>
      </c>
      <c r="B99">
        <v>-12.287599999999999</v>
      </c>
      <c r="C99">
        <v>-12.1403</v>
      </c>
      <c r="D99">
        <v>0.14729999999999999</v>
      </c>
    </row>
    <row r="100" spans="1:4" x14ac:dyDescent="0.45">
      <c r="A100" t="s">
        <v>79</v>
      </c>
      <c r="B100">
        <v>-12.4747</v>
      </c>
      <c r="C100">
        <v>-12.214700000000001</v>
      </c>
      <c r="D100">
        <v>0.26</v>
      </c>
    </row>
    <row r="101" spans="1:4" x14ac:dyDescent="0.45">
      <c r="A101" t="s">
        <v>80</v>
      </c>
      <c r="B101">
        <v>-12.4217</v>
      </c>
      <c r="C101">
        <v>-11.5884</v>
      </c>
      <c r="D101">
        <v>0.83330000000000004</v>
      </c>
    </row>
    <row r="102" spans="1:4" x14ac:dyDescent="0.45">
      <c r="A102" t="s">
        <v>81</v>
      </c>
      <c r="B102">
        <v>-12.277799999999999</v>
      </c>
      <c r="C102">
        <v>-11.911099999999999</v>
      </c>
      <c r="D102">
        <v>0.36670000000000003</v>
      </c>
    </row>
    <row r="103" spans="1:4" x14ac:dyDescent="0.45">
      <c r="A103" t="s">
        <v>82</v>
      </c>
      <c r="B103">
        <v>-11.875299999999999</v>
      </c>
      <c r="C103">
        <v>-11.779500000000001</v>
      </c>
      <c r="D103">
        <v>9.5799999999999996E-2</v>
      </c>
    </row>
    <row r="104" spans="1:4" x14ac:dyDescent="0.45">
      <c r="A104" t="s">
        <v>83</v>
      </c>
      <c r="B104">
        <v>-12.1858</v>
      </c>
      <c r="C104">
        <v>-11.8714</v>
      </c>
      <c r="D104">
        <v>0.31440000000000001</v>
      </c>
    </row>
    <row r="105" spans="1:4" x14ac:dyDescent="0.45">
      <c r="A105" t="s">
        <v>84</v>
      </c>
      <c r="B105">
        <v>-12.614100000000001</v>
      </c>
      <c r="C105">
        <v>-11.8666</v>
      </c>
      <c r="D105">
        <v>0.74750000000000005</v>
      </c>
    </row>
    <row r="106" spans="1:4" x14ac:dyDescent="0.45">
      <c r="A106" t="s">
        <v>139</v>
      </c>
      <c r="B106">
        <v>-12.927300000000001</v>
      </c>
      <c r="C106">
        <v>-11.889200000000001</v>
      </c>
      <c r="D106">
        <v>1.0381</v>
      </c>
    </row>
    <row r="107" spans="1:4" x14ac:dyDescent="0.45">
      <c r="A107" t="s">
        <v>140</v>
      </c>
      <c r="B107">
        <v>-12.523899999999999</v>
      </c>
      <c r="C107">
        <v>-11.8086</v>
      </c>
      <c r="D107">
        <v>0.71530000000000005</v>
      </c>
    </row>
    <row r="108" spans="1:4" x14ac:dyDescent="0.45">
      <c r="A108" t="s">
        <v>85</v>
      </c>
      <c r="B108">
        <v>-12.632899999999999</v>
      </c>
      <c r="C108">
        <v>-11.7637</v>
      </c>
      <c r="D108">
        <v>0.86919999999999997</v>
      </c>
    </row>
    <row r="109" spans="1:4" x14ac:dyDescent="0.45">
      <c r="A109" t="s">
        <v>86</v>
      </c>
      <c r="B109">
        <v>-12.596399999999999</v>
      </c>
      <c r="C109">
        <v>-11.8209</v>
      </c>
      <c r="D109">
        <v>0.77549999999999997</v>
      </c>
    </row>
    <row r="110" spans="1:4" x14ac:dyDescent="0.45">
      <c r="A110" t="s">
        <v>87</v>
      </c>
      <c r="B110">
        <v>-12.4994</v>
      </c>
      <c r="C110">
        <v>-11.818300000000001</v>
      </c>
      <c r="D110">
        <v>0.68110000000000004</v>
      </c>
    </row>
    <row r="111" spans="1:4" x14ac:dyDescent="0.45">
      <c r="A111" t="s">
        <v>88</v>
      </c>
      <c r="B111">
        <v>-12.5535</v>
      </c>
      <c r="C111">
        <v>-11.6395</v>
      </c>
      <c r="D111">
        <v>0.91400000000000003</v>
      </c>
    </row>
    <row r="112" spans="1:4" x14ac:dyDescent="0.45">
      <c r="A112" t="s">
        <v>89</v>
      </c>
      <c r="B112">
        <v>-12.5565</v>
      </c>
      <c r="C112">
        <v>-11.774699999999999</v>
      </c>
      <c r="D112">
        <v>0.78180000000000005</v>
      </c>
    </row>
    <row r="113" spans="1:4" x14ac:dyDescent="0.45">
      <c r="A113" t="s">
        <v>90</v>
      </c>
      <c r="B113">
        <v>-12.1134</v>
      </c>
      <c r="C113">
        <v>-11.4998</v>
      </c>
      <c r="D113">
        <v>0.61360000000000003</v>
      </c>
    </row>
    <row r="114" spans="1:4" x14ac:dyDescent="0.45">
      <c r="A114" t="s">
        <v>91</v>
      </c>
      <c r="B114">
        <v>-12.662000000000001</v>
      </c>
      <c r="C114">
        <v>-11.9489</v>
      </c>
      <c r="D114">
        <v>0.71309999999999996</v>
      </c>
    </row>
    <row r="115" spans="1:4" x14ac:dyDescent="0.45">
      <c r="A115" t="s">
        <v>92</v>
      </c>
      <c r="B115">
        <v>-12.4498</v>
      </c>
      <c r="C115">
        <v>-11.613799999999999</v>
      </c>
      <c r="D115">
        <v>0.83599999999999997</v>
      </c>
    </row>
    <row r="116" spans="1:4" x14ac:dyDescent="0.45">
      <c r="A116" t="s">
        <v>93</v>
      </c>
      <c r="B116">
        <v>-12.223100000000001</v>
      </c>
      <c r="C116">
        <v>-11.401</v>
      </c>
      <c r="D116">
        <v>0.82210000000000005</v>
      </c>
    </row>
    <row r="117" spans="1:4" x14ac:dyDescent="0.45">
      <c r="A117" t="s">
        <v>94</v>
      </c>
      <c r="B117">
        <v>-12.3065</v>
      </c>
      <c r="C117">
        <v>-11.4558</v>
      </c>
      <c r="D117">
        <v>0.85070000000000001</v>
      </c>
    </row>
    <row r="118" spans="1:4" x14ac:dyDescent="0.45">
      <c r="A118" t="s">
        <v>95</v>
      </c>
      <c r="B118">
        <v>-12.1911</v>
      </c>
      <c r="C118">
        <v>-11.476800000000001</v>
      </c>
      <c r="D118">
        <v>0.71430000000000005</v>
      </c>
    </row>
    <row r="119" spans="1:4" x14ac:dyDescent="0.45">
      <c r="A119" t="s">
        <v>96</v>
      </c>
      <c r="B119">
        <v>-12.280099999999999</v>
      </c>
      <c r="C119">
        <v>-11.5382</v>
      </c>
      <c r="D119">
        <v>0.7419</v>
      </c>
    </row>
    <row r="120" spans="1:4" x14ac:dyDescent="0.45">
      <c r="A120" t="s">
        <v>97</v>
      </c>
      <c r="B120">
        <v>-12.234400000000001</v>
      </c>
      <c r="C120">
        <v>-11.790699999999999</v>
      </c>
      <c r="D120">
        <v>0.44369999999999998</v>
      </c>
    </row>
    <row r="121" spans="1:4" x14ac:dyDescent="0.45">
      <c r="A121" t="s">
        <v>98</v>
      </c>
      <c r="B121">
        <v>-12.484400000000001</v>
      </c>
      <c r="C121">
        <v>-11.6038</v>
      </c>
      <c r="D121">
        <v>0.88060000000000005</v>
      </c>
    </row>
    <row r="122" spans="1:4" x14ac:dyDescent="0.45">
      <c r="A122" t="s">
        <v>99</v>
      </c>
      <c r="B122">
        <v>-12.7285</v>
      </c>
      <c r="C122">
        <v>-11.7448</v>
      </c>
      <c r="D122">
        <v>0.98370000000000002</v>
      </c>
    </row>
    <row r="123" spans="1:4" x14ac:dyDescent="0.45">
      <c r="A123" t="s">
        <v>100</v>
      </c>
      <c r="B123">
        <v>-12.7159</v>
      </c>
      <c r="C123">
        <v>-12.475</v>
      </c>
      <c r="D123">
        <v>0.2409</v>
      </c>
    </row>
    <row r="124" spans="1:4" x14ac:dyDescent="0.45">
      <c r="A124" t="s">
        <v>101</v>
      </c>
      <c r="B124">
        <v>-12.360799999999999</v>
      </c>
      <c r="C124">
        <v>-11.653499999999999</v>
      </c>
      <c r="D124">
        <v>0.70730000000000004</v>
      </c>
    </row>
    <row r="125" spans="1:4" x14ac:dyDescent="0.45">
      <c r="A125" t="s">
        <v>102</v>
      </c>
      <c r="B125">
        <v>-12.821</v>
      </c>
      <c r="C125">
        <v>-11.868600000000001</v>
      </c>
      <c r="D125">
        <v>0.95240000000000002</v>
      </c>
    </row>
    <row r="126" spans="1:4" x14ac:dyDescent="0.45">
      <c r="A126" t="s">
        <v>103</v>
      </c>
      <c r="B126">
        <v>-12.7471</v>
      </c>
      <c r="C126">
        <v>-11.8658</v>
      </c>
      <c r="D126">
        <v>0.88129999999999997</v>
      </c>
    </row>
    <row r="127" spans="1:4" x14ac:dyDescent="0.45">
      <c r="A127" t="s">
        <v>104</v>
      </c>
      <c r="B127">
        <v>-12.7852</v>
      </c>
      <c r="C127">
        <v>-11.7272</v>
      </c>
      <c r="D127">
        <v>1.0580000000000001</v>
      </c>
    </row>
    <row r="128" spans="1:4" x14ac:dyDescent="0.45">
      <c r="A128" t="s">
        <v>105</v>
      </c>
      <c r="B128">
        <v>-12.5366</v>
      </c>
      <c r="C128">
        <v>-11.620200000000001</v>
      </c>
      <c r="D128">
        <v>0.91639999999999999</v>
      </c>
    </row>
    <row r="129" spans="1:4" x14ac:dyDescent="0.45">
      <c r="A129" t="s">
        <v>106</v>
      </c>
      <c r="B129">
        <v>-12.5548</v>
      </c>
      <c r="C129">
        <v>-11.676</v>
      </c>
      <c r="D129">
        <v>0.87880000000000003</v>
      </c>
    </row>
    <row r="130" spans="1:4" x14ac:dyDescent="0.45">
      <c r="A130" t="s">
        <v>141</v>
      </c>
      <c r="B130">
        <v>-13.216699999999999</v>
      </c>
      <c r="C130">
        <v>-12.178000000000001</v>
      </c>
      <c r="D130">
        <v>1.0387</v>
      </c>
    </row>
    <row r="131" spans="1:4" x14ac:dyDescent="0.45">
      <c r="A131" t="s">
        <v>142</v>
      </c>
      <c r="B131">
        <v>-12.8644</v>
      </c>
      <c r="C131">
        <v>-11.8635</v>
      </c>
      <c r="D131">
        <v>1.0008999999999999</v>
      </c>
    </row>
    <row r="132" spans="1:4" x14ac:dyDescent="0.45">
      <c r="A132" t="s">
        <v>107</v>
      </c>
      <c r="B132">
        <v>-12.6081</v>
      </c>
      <c r="C132">
        <v>-11.8</v>
      </c>
      <c r="D132">
        <v>0.80810000000000004</v>
      </c>
    </row>
    <row r="133" spans="1:4" x14ac:dyDescent="0.45">
      <c r="A133" t="s">
        <v>108</v>
      </c>
      <c r="B133">
        <v>-12.482799999999999</v>
      </c>
      <c r="C133">
        <v>-11.795299999999999</v>
      </c>
      <c r="D133">
        <v>0.6875</v>
      </c>
    </row>
    <row r="134" spans="1:4" x14ac:dyDescent="0.45">
      <c r="A134" t="s">
        <v>109</v>
      </c>
      <c r="B134">
        <v>-12.5909</v>
      </c>
      <c r="C134">
        <v>-11.7906</v>
      </c>
      <c r="D134">
        <v>0.80030000000000001</v>
      </c>
    </row>
    <row r="135" spans="1:4" x14ac:dyDescent="0.45">
      <c r="A135" t="s">
        <v>110</v>
      </c>
      <c r="B135">
        <v>-12.6105</v>
      </c>
      <c r="C135">
        <v>-11.818899999999999</v>
      </c>
      <c r="D135">
        <v>0.79159999999999997</v>
      </c>
    </row>
    <row r="136" spans="1:4" x14ac:dyDescent="0.45">
      <c r="A136" t="s">
        <v>111</v>
      </c>
      <c r="B136">
        <v>-12.5778</v>
      </c>
      <c r="C136">
        <v>-11.495699999999999</v>
      </c>
      <c r="D136">
        <v>1.0821000000000001</v>
      </c>
    </row>
    <row r="137" spans="1:4" x14ac:dyDescent="0.45">
      <c r="A137" t="s">
        <v>112</v>
      </c>
      <c r="B137">
        <v>-12.574999999999999</v>
      </c>
      <c r="C137">
        <v>-11.495799999999999</v>
      </c>
      <c r="D137">
        <v>1.0791999999999999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5180F-19BA-4902-94D9-14724AFA3F74}">
  <dimension ref="DW1:DZ137"/>
  <sheetViews>
    <sheetView topLeftCell="DW127" workbookViewId="0">
      <selection activeCell="EH146" sqref="EH146"/>
    </sheetView>
  </sheetViews>
  <sheetFormatPr defaultRowHeight="14.25" x14ac:dyDescent="0.45"/>
  <sheetData>
    <row r="1" spans="127:130" x14ac:dyDescent="0.45">
      <c r="DW1" t="s">
        <v>6</v>
      </c>
      <c r="DX1" t="s">
        <v>143</v>
      </c>
      <c r="DY1" t="s">
        <v>144</v>
      </c>
      <c r="DZ1" t="s">
        <v>145</v>
      </c>
    </row>
    <row r="2" spans="127:130" x14ac:dyDescent="0.45">
      <c r="DW2" t="s">
        <v>113</v>
      </c>
      <c r="DX2">
        <v>-0.34261999999999998</v>
      </c>
      <c r="DY2">
        <v>10.80857</v>
      </c>
      <c r="DZ2">
        <v>11.15119</v>
      </c>
    </row>
    <row r="3" spans="127:130" x14ac:dyDescent="0.45">
      <c r="DW3" t="s">
        <v>114</v>
      </c>
      <c r="DX3">
        <v>-0.32536999999999999</v>
      </c>
      <c r="DY3">
        <v>3.8053599999999999</v>
      </c>
      <c r="DZ3">
        <v>4.1307299999999998</v>
      </c>
    </row>
    <row r="4" spans="127:130" x14ac:dyDescent="0.45">
      <c r="DW4" t="s">
        <v>115</v>
      </c>
      <c r="DX4">
        <v>-0.35222999999999999</v>
      </c>
      <c r="DY4">
        <v>3.4714700000000001</v>
      </c>
      <c r="DZ4">
        <v>3.8237000000000001</v>
      </c>
    </row>
    <row r="5" spans="127:130" x14ac:dyDescent="0.45">
      <c r="DW5" t="s">
        <v>116</v>
      </c>
      <c r="DX5">
        <v>-0.32662000000000002</v>
      </c>
      <c r="DY5">
        <v>3.4506899999999998</v>
      </c>
      <c r="DZ5">
        <v>3.7773099999999999</v>
      </c>
    </row>
    <row r="6" spans="127:130" x14ac:dyDescent="0.45">
      <c r="DW6" t="s">
        <v>117</v>
      </c>
      <c r="DX6">
        <v>-0.31189</v>
      </c>
      <c r="DY6">
        <v>3.7362299999999999</v>
      </c>
      <c r="DZ6">
        <v>4.0481199999999999</v>
      </c>
    </row>
    <row r="7" spans="127:130" x14ac:dyDescent="0.45">
      <c r="DW7" t="s">
        <v>118</v>
      </c>
      <c r="DX7">
        <v>-0.32251000000000002</v>
      </c>
      <c r="DY7">
        <v>3.4683700000000002</v>
      </c>
      <c r="DZ7">
        <v>3.79088</v>
      </c>
    </row>
    <row r="8" spans="127:130" x14ac:dyDescent="0.45">
      <c r="DW8" t="s">
        <v>7</v>
      </c>
      <c r="DX8">
        <v>-0.30260999999999999</v>
      </c>
      <c r="DY8">
        <v>3.8411400000000002</v>
      </c>
      <c r="DZ8">
        <v>4.1437499999999998</v>
      </c>
    </row>
    <row r="9" spans="127:130" x14ac:dyDescent="0.45">
      <c r="DW9" t="s">
        <v>8</v>
      </c>
      <c r="DX9">
        <v>-0.29965999999999998</v>
      </c>
      <c r="DY9">
        <v>3.8386100000000001</v>
      </c>
      <c r="DZ9">
        <v>4.1382700000000003</v>
      </c>
    </row>
    <row r="10" spans="127:130" x14ac:dyDescent="0.45">
      <c r="DW10" t="s">
        <v>9</v>
      </c>
      <c r="DX10">
        <v>-0.31396000000000002</v>
      </c>
      <c r="DY10">
        <v>3.81562</v>
      </c>
      <c r="DZ10">
        <v>4.1295799999999998</v>
      </c>
    </row>
    <row r="11" spans="127:130" x14ac:dyDescent="0.45">
      <c r="DW11" t="s">
        <v>10</v>
      </c>
      <c r="DX11">
        <v>-0.31319000000000002</v>
      </c>
      <c r="DY11">
        <v>3.8087900000000001</v>
      </c>
      <c r="DZ11">
        <v>4.1219799999999998</v>
      </c>
    </row>
    <row r="12" spans="127:130" x14ac:dyDescent="0.45">
      <c r="DW12" t="s">
        <v>11</v>
      </c>
      <c r="DX12">
        <v>-0.32790000000000002</v>
      </c>
      <c r="DY12">
        <v>11.57314</v>
      </c>
      <c r="DZ12">
        <v>11.90104</v>
      </c>
    </row>
    <row r="13" spans="127:130" x14ac:dyDescent="0.45">
      <c r="DW13" t="s">
        <v>12</v>
      </c>
      <c r="DX13">
        <v>-0.32002000000000003</v>
      </c>
      <c r="DY13">
        <v>10.77495</v>
      </c>
      <c r="DZ13">
        <v>11.09497</v>
      </c>
    </row>
    <row r="14" spans="127:130" x14ac:dyDescent="0.45">
      <c r="DW14" t="s">
        <v>13</v>
      </c>
      <c r="DX14">
        <v>-0.31241000000000002</v>
      </c>
      <c r="DY14">
        <v>3.81108</v>
      </c>
      <c r="DZ14">
        <v>4.1234900000000003</v>
      </c>
    </row>
    <row r="15" spans="127:130" x14ac:dyDescent="0.45">
      <c r="DW15" t="s">
        <v>119</v>
      </c>
      <c r="DX15">
        <v>-0.33895999999999998</v>
      </c>
      <c r="DY15">
        <v>10.35697</v>
      </c>
      <c r="DZ15">
        <v>10.695930000000001</v>
      </c>
    </row>
    <row r="16" spans="127:130" x14ac:dyDescent="0.45">
      <c r="DW16" t="s">
        <v>14</v>
      </c>
      <c r="DX16">
        <v>-0.32832</v>
      </c>
      <c r="DY16">
        <v>9.4331600000000009</v>
      </c>
      <c r="DZ16">
        <v>9.7614800000000006</v>
      </c>
    </row>
    <row r="17" spans="127:130" x14ac:dyDescent="0.45">
      <c r="DW17" t="s">
        <v>120</v>
      </c>
      <c r="DX17">
        <v>-0.31265999999999999</v>
      </c>
      <c r="DY17">
        <v>3.8372299999999999</v>
      </c>
      <c r="DZ17">
        <v>4.1498900000000001</v>
      </c>
    </row>
    <row r="18" spans="127:130" x14ac:dyDescent="0.45">
      <c r="DW18" t="s">
        <v>121</v>
      </c>
      <c r="DX18">
        <v>-0.33577000000000001</v>
      </c>
      <c r="DY18">
        <v>10.687099999999999</v>
      </c>
      <c r="DZ18">
        <v>11.022869999999999</v>
      </c>
    </row>
    <row r="19" spans="127:130" x14ac:dyDescent="0.45">
      <c r="DW19" t="s">
        <v>122</v>
      </c>
      <c r="DX19">
        <v>-0.30871999999999999</v>
      </c>
      <c r="DY19">
        <v>3.8542299999999998</v>
      </c>
      <c r="DZ19">
        <v>4.1629500000000004</v>
      </c>
    </row>
    <row r="20" spans="127:130" x14ac:dyDescent="0.45">
      <c r="DW20" t="s">
        <v>123</v>
      </c>
      <c r="DX20">
        <v>-0.30732999999999999</v>
      </c>
      <c r="DY20">
        <v>3.8140000000000001</v>
      </c>
      <c r="DZ20">
        <v>4.1213300000000004</v>
      </c>
    </row>
    <row r="21" spans="127:130" x14ac:dyDescent="0.45">
      <c r="DW21" t="s">
        <v>124</v>
      </c>
      <c r="DX21">
        <v>-0.30704999999999999</v>
      </c>
      <c r="DY21">
        <v>9.4749999999999996</v>
      </c>
      <c r="DZ21">
        <v>9.7820499999999999</v>
      </c>
    </row>
    <row r="22" spans="127:130" x14ac:dyDescent="0.45">
      <c r="DW22" t="s">
        <v>125</v>
      </c>
      <c r="DX22">
        <v>-0.30820999999999998</v>
      </c>
      <c r="DY22">
        <v>9.7490000000000006</v>
      </c>
      <c r="DZ22">
        <v>10.05721</v>
      </c>
    </row>
    <row r="23" spans="127:130" x14ac:dyDescent="0.45">
      <c r="DW23" t="s">
        <v>15</v>
      </c>
      <c r="DX23">
        <v>-0.311</v>
      </c>
      <c r="DY23">
        <v>3.80762</v>
      </c>
      <c r="DZ23">
        <v>4.1186199999999999</v>
      </c>
    </row>
    <row r="24" spans="127:130" x14ac:dyDescent="0.45">
      <c r="DW24" t="s">
        <v>16</v>
      </c>
      <c r="DX24">
        <v>-0.33209</v>
      </c>
      <c r="DY24">
        <v>8.7178900000000006</v>
      </c>
      <c r="DZ24">
        <v>9.0499799999999997</v>
      </c>
    </row>
    <row r="25" spans="127:130" x14ac:dyDescent="0.45">
      <c r="DW25" t="s">
        <v>17</v>
      </c>
      <c r="DX25">
        <v>-0.32307999999999998</v>
      </c>
      <c r="DY25">
        <v>8.2383900000000008</v>
      </c>
      <c r="DZ25">
        <v>8.5614699999999999</v>
      </c>
    </row>
    <row r="26" spans="127:130" x14ac:dyDescent="0.45">
      <c r="DW26" t="s">
        <v>18</v>
      </c>
      <c r="DX26">
        <v>-0.32799</v>
      </c>
      <c r="DY26">
        <v>8.0558399999999999</v>
      </c>
      <c r="DZ26">
        <v>8.3838299999999997</v>
      </c>
    </row>
    <row r="27" spans="127:130" x14ac:dyDescent="0.45">
      <c r="DW27" t="s">
        <v>19</v>
      </c>
      <c r="DX27">
        <v>-0.29393999999999998</v>
      </c>
      <c r="DY27">
        <v>3.8038599999999998</v>
      </c>
      <c r="DZ27">
        <v>4.0978000000000003</v>
      </c>
    </row>
    <row r="28" spans="127:130" x14ac:dyDescent="0.45">
      <c r="DW28" t="s">
        <v>20</v>
      </c>
      <c r="DX28">
        <v>-0.29181000000000001</v>
      </c>
      <c r="DY28">
        <v>8.2938399999999994</v>
      </c>
      <c r="DZ28">
        <v>8.5856499999999993</v>
      </c>
    </row>
    <row r="29" spans="127:130" x14ac:dyDescent="0.45">
      <c r="DW29" t="s">
        <v>21</v>
      </c>
      <c r="DX29">
        <v>-0.29605999999999999</v>
      </c>
      <c r="DY29">
        <v>8.6572200000000006</v>
      </c>
      <c r="DZ29">
        <v>8.9532799999999995</v>
      </c>
    </row>
    <row r="30" spans="127:130" x14ac:dyDescent="0.45">
      <c r="DW30" t="s">
        <v>22</v>
      </c>
      <c r="DX30">
        <v>-0.28266999999999998</v>
      </c>
      <c r="DY30">
        <v>3.8785699999999999</v>
      </c>
      <c r="DZ30">
        <v>4.1612400000000003</v>
      </c>
    </row>
    <row r="31" spans="127:130" x14ac:dyDescent="0.45">
      <c r="DW31" t="s">
        <v>23</v>
      </c>
      <c r="DX31">
        <v>-0.30351</v>
      </c>
      <c r="DY31">
        <v>5.2014199999999997</v>
      </c>
      <c r="DZ31">
        <v>5.5049299999999999</v>
      </c>
    </row>
    <row r="32" spans="127:130" x14ac:dyDescent="0.45">
      <c r="DW32" t="s">
        <v>24</v>
      </c>
      <c r="DX32">
        <v>-0.28049000000000002</v>
      </c>
      <c r="DY32">
        <v>3.8298700000000001</v>
      </c>
      <c r="DZ32">
        <v>4.11036</v>
      </c>
    </row>
    <row r="33" spans="127:130" x14ac:dyDescent="0.45">
      <c r="DW33" t="s">
        <v>25</v>
      </c>
      <c r="DX33">
        <v>-0.29871999999999999</v>
      </c>
      <c r="DY33">
        <v>3.8031700000000002</v>
      </c>
      <c r="DZ33">
        <v>4.10189</v>
      </c>
    </row>
    <row r="34" spans="127:130" x14ac:dyDescent="0.45">
      <c r="DW34" t="s">
        <v>26</v>
      </c>
      <c r="DX34">
        <v>-0.28870000000000001</v>
      </c>
      <c r="DY34">
        <v>3.8085599999999999</v>
      </c>
      <c r="DZ34">
        <v>4.0972600000000003</v>
      </c>
    </row>
    <row r="35" spans="127:130" x14ac:dyDescent="0.45">
      <c r="DW35" t="s">
        <v>27</v>
      </c>
      <c r="DX35">
        <v>-0.30598999999999998</v>
      </c>
      <c r="DY35">
        <v>3.6428400000000001</v>
      </c>
      <c r="DZ35">
        <v>3.9488300000000001</v>
      </c>
    </row>
    <row r="36" spans="127:130" x14ac:dyDescent="0.45">
      <c r="DW36" t="s">
        <v>28</v>
      </c>
      <c r="DX36">
        <v>-0.29632999999999998</v>
      </c>
      <c r="DY36">
        <v>3.8026200000000001</v>
      </c>
      <c r="DZ36">
        <v>4.0989500000000003</v>
      </c>
    </row>
    <row r="37" spans="127:130" x14ac:dyDescent="0.45">
      <c r="DW37" t="s">
        <v>126</v>
      </c>
      <c r="DX37">
        <v>-0.31330000000000002</v>
      </c>
      <c r="DY37">
        <v>3.78559</v>
      </c>
      <c r="DZ37">
        <v>4.0988899999999999</v>
      </c>
    </row>
    <row r="38" spans="127:130" x14ac:dyDescent="0.45">
      <c r="DW38" t="s">
        <v>29</v>
      </c>
      <c r="DX38">
        <v>-0.27084999999999998</v>
      </c>
      <c r="DY38">
        <v>3.8153700000000002</v>
      </c>
      <c r="DZ38">
        <v>4.08622</v>
      </c>
    </row>
    <row r="39" spans="127:130" x14ac:dyDescent="0.45">
      <c r="DW39" t="s">
        <v>30</v>
      </c>
      <c r="DX39">
        <v>-0.28051999999999999</v>
      </c>
      <c r="DY39">
        <v>3.8167900000000001</v>
      </c>
      <c r="DZ39">
        <v>4.0973100000000002</v>
      </c>
    </row>
    <row r="40" spans="127:130" x14ac:dyDescent="0.45">
      <c r="DW40" t="s">
        <v>31</v>
      </c>
      <c r="DX40">
        <v>-0.31830999999999998</v>
      </c>
      <c r="DY40">
        <v>12.47315</v>
      </c>
      <c r="DZ40">
        <v>12.791460000000001</v>
      </c>
    </row>
    <row r="41" spans="127:130" x14ac:dyDescent="0.45">
      <c r="DW41" t="s">
        <v>127</v>
      </c>
      <c r="DX41">
        <v>-0.32894000000000001</v>
      </c>
      <c r="DY41">
        <v>3.6853400000000001</v>
      </c>
      <c r="DZ41">
        <v>4.0142800000000003</v>
      </c>
    </row>
    <row r="42" spans="127:130" x14ac:dyDescent="0.45">
      <c r="DW42" t="s">
        <v>128</v>
      </c>
      <c r="DX42">
        <v>-0.30151</v>
      </c>
      <c r="DY42">
        <v>3.8024499999999999</v>
      </c>
      <c r="DZ42">
        <v>4.1039599999999998</v>
      </c>
    </row>
    <row r="43" spans="127:130" x14ac:dyDescent="0.45">
      <c r="DW43" t="s">
        <v>32</v>
      </c>
      <c r="DX43">
        <v>-0.32612999999999998</v>
      </c>
      <c r="DY43">
        <v>10.725949999999999</v>
      </c>
      <c r="DZ43">
        <v>11.05208</v>
      </c>
    </row>
    <row r="44" spans="127:130" x14ac:dyDescent="0.45">
      <c r="DW44" t="s">
        <v>33</v>
      </c>
      <c r="DX44">
        <v>-0.32288</v>
      </c>
      <c r="DY44">
        <v>11.5533</v>
      </c>
      <c r="DZ44">
        <v>11.87618</v>
      </c>
    </row>
    <row r="45" spans="127:130" x14ac:dyDescent="0.45">
      <c r="DW45" t="s">
        <v>34</v>
      </c>
      <c r="DX45">
        <v>-0.31026999999999999</v>
      </c>
      <c r="DY45">
        <v>3.8071999999999999</v>
      </c>
      <c r="DZ45">
        <v>4.11747</v>
      </c>
    </row>
    <row r="46" spans="127:130" x14ac:dyDescent="0.45">
      <c r="DW46" t="s">
        <v>35</v>
      </c>
      <c r="DX46">
        <v>-0.31173000000000001</v>
      </c>
      <c r="DY46">
        <v>3.81046</v>
      </c>
      <c r="DZ46">
        <v>4.1221899999999998</v>
      </c>
    </row>
    <row r="47" spans="127:130" x14ac:dyDescent="0.45">
      <c r="DW47" t="s">
        <v>36</v>
      </c>
      <c r="DX47">
        <v>-0.29444999999999999</v>
      </c>
      <c r="DY47">
        <v>3.8462299999999998</v>
      </c>
      <c r="DZ47">
        <v>4.1406799999999997</v>
      </c>
    </row>
    <row r="48" spans="127:130" x14ac:dyDescent="0.45">
      <c r="DW48" t="s">
        <v>37</v>
      </c>
      <c r="DX48">
        <v>-0.31408999999999998</v>
      </c>
      <c r="DY48">
        <v>3.81311</v>
      </c>
      <c r="DZ48">
        <v>4.1272000000000002</v>
      </c>
    </row>
    <row r="49" spans="127:130" x14ac:dyDescent="0.45">
      <c r="DW49" t="s">
        <v>38</v>
      </c>
      <c r="DX49">
        <v>-0.30495</v>
      </c>
      <c r="DY49">
        <v>3.8160599999999998</v>
      </c>
      <c r="DZ49">
        <v>4.1210100000000001</v>
      </c>
    </row>
    <row r="50" spans="127:130" x14ac:dyDescent="0.45">
      <c r="DW50" t="s">
        <v>39</v>
      </c>
      <c r="DX50">
        <v>-0.29218</v>
      </c>
      <c r="DY50">
        <v>3.8205200000000001</v>
      </c>
      <c r="DZ50">
        <v>4.1127000000000002</v>
      </c>
    </row>
    <row r="51" spans="127:130" x14ac:dyDescent="0.45">
      <c r="DW51" t="s">
        <v>40</v>
      </c>
      <c r="DX51">
        <v>-0.30953999999999998</v>
      </c>
      <c r="DY51">
        <v>3.5386299999999999</v>
      </c>
      <c r="DZ51">
        <v>3.8481700000000001</v>
      </c>
    </row>
    <row r="52" spans="127:130" x14ac:dyDescent="0.45">
      <c r="DW52" t="s">
        <v>41</v>
      </c>
      <c r="DX52">
        <v>-0.29380000000000001</v>
      </c>
      <c r="DY52">
        <v>3.5793400000000002</v>
      </c>
      <c r="DZ52">
        <v>3.8731399999999998</v>
      </c>
    </row>
    <row r="53" spans="127:130" x14ac:dyDescent="0.45">
      <c r="DW53" t="s">
        <v>42</v>
      </c>
      <c r="DX53">
        <v>-0.30237999999999998</v>
      </c>
      <c r="DY53">
        <v>3.5592299999999999</v>
      </c>
      <c r="DZ53">
        <v>3.8616100000000002</v>
      </c>
    </row>
    <row r="54" spans="127:130" x14ac:dyDescent="0.45">
      <c r="DW54" t="s">
        <v>43</v>
      </c>
      <c r="DX54">
        <v>-0.30214000000000002</v>
      </c>
      <c r="DY54">
        <v>3.5391300000000001</v>
      </c>
      <c r="DZ54">
        <v>3.8412700000000002</v>
      </c>
    </row>
    <row r="55" spans="127:130" x14ac:dyDescent="0.45">
      <c r="DW55" t="s">
        <v>44</v>
      </c>
      <c r="DX55">
        <v>-0.31306</v>
      </c>
      <c r="DY55">
        <v>3.8449499999999999</v>
      </c>
      <c r="DZ55">
        <v>4.15801</v>
      </c>
    </row>
    <row r="56" spans="127:130" x14ac:dyDescent="0.45">
      <c r="DW56" t="s">
        <v>45</v>
      </c>
      <c r="DX56">
        <v>-0.30349999999999999</v>
      </c>
      <c r="DY56">
        <v>3.56603</v>
      </c>
      <c r="DZ56">
        <v>3.8695300000000001</v>
      </c>
    </row>
    <row r="57" spans="127:130" x14ac:dyDescent="0.45">
      <c r="DW57" t="s">
        <v>46</v>
      </c>
      <c r="DX57">
        <v>-0.30559999999999998</v>
      </c>
      <c r="DY57">
        <v>7.2784700000000004</v>
      </c>
      <c r="DZ57">
        <v>7.5840699999999996</v>
      </c>
    </row>
    <row r="58" spans="127:130" x14ac:dyDescent="0.45">
      <c r="DW58" t="s">
        <v>47</v>
      </c>
      <c r="DX58">
        <v>-0.29770000000000002</v>
      </c>
      <c r="DY58">
        <v>3.8267799999999998</v>
      </c>
      <c r="DZ58">
        <v>4.1244800000000001</v>
      </c>
    </row>
    <row r="59" spans="127:130" x14ac:dyDescent="0.45">
      <c r="DW59" t="s">
        <v>48</v>
      </c>
      <c r="DX59">
        <v>-0.29272999999999999</v>
      </c>
      <c r="DY59">
        <v>3.8050899999999999</v>
      </c>
      <c r="DZ59">
        <v>4.0978199999999996</v>
      </c>
    </row>
    <row r="60" spans="127:130" x14ac:dyDescent="0.45">
      <c r="DW60" t="s">
        <v>49</v>
      </c>
      <c r="DX60">
        <v>-0.31702999999999998</v>
      </c>
      <c r="DY60">
        <v>3.8014299999999999</v>
      </c>
      <c r="DZ60">
        <v>4.1184599999999998</v>
      </c>
    </row>
    <row r="61" spans="127:130" x14ac:dyDescent="0.45">
      <c r="DW61" t="s">
        <v>50</v>
      </c>
      <c r="DX61">
        <v>-0.31445000000000001</v>
      </c>
      <c r="DY61">
        <v>3.78775</v>
      </c>
      <c r="DZ61">
        <v>4.1021999999999998</v>
      </c>
    </row>
    <row r="62" spans="127:130" x14ac:dyDescent="0.45">
      <c r="DW62" t="s">
        <v>51</v>
      </c>
      <c r="DX62">
        <v>-0.31768000000000002</v>
      </c>
      <c r="DY62">
        <v>3.8027899999999999</v>
      </c>
      <c r="DZ62">
        <v>4.1204700000000001</v>
      </c>
    </row>
    <row r="63" spans="127:130" x14ac:dyDescent="0.45">
      <c r="DW63" t="s">
        <v>52</v>
      </c>
      <c r="DX63">
        <v>-0.30014000000000002</v>
      </c>
      <c r="DY63">
        <v>3.8090999999999999</v>
      </c>
      <c r="DZ63">
        <v>4.1092399999999998</v>
      </c>
    </row>
    <row r="64" spans="127:130" x14ac:dyDescent="0.45">
      <c r="DW64" t="s">
        <v>53</v>
      </c>
      <c r="DX64">
        <v>-0.29937999999999998</v>
      </c>
      <c r="DY64">
        <v>3.8121999999999998</v>
      </c>
      <c r="DZ64">
        <v>4.11158</v>
      </c>
    </row>
    <row r="65" spans="127:130" x14ac:dyDescent="0.45">
      <c r="DW65" t="s">
        <v>129</v>
      </c>
      <c r="DX65">
        <v>-0.34022999999999998</v>
      </c>
      <c r="DY65">
        <v>3.8030499999999998</v>
      </c>
      <c r="DZ65">
        <v>4.1432799999999999</v>
      </c>
    </row>
    <row r="66" spans="127:130" x14ac:dyDescent="0.45">
      <c r="DW66" t="s">
        <v>130</v>
      </c>
      <c r="DX66">
        <v>-0.33764</v>
      </c>
      <c r="DY66">
        <v>3.5502199999999999</v>
      </c>
      <c r="DZ66">
        <v>3.8878599999999999</v>
      </c>
    </row>
    <row r="67" spans="127:130" x14ac:dyDescent="0.45">
      <c r="DW67" t="s">
        <v>54</v>
      </c>
      <c r="DX67">
        <v>-0.31902999999999998</v>
      </c>
      <c r="DY67">
        <v>11.84746</v>
      </c>
      <c r="DZ67">
        <v>12.16649</v>
      </c>
    </row>
    <row r="68" spans="127:130" x14ac:dyDescent="0.45">
      <c r="DW68" t="s">
        <v>55</v>
      </c>
      <c r="DX68">
        <v>-0.31791000000000003</v>
      </c>
      <c r="DY68">
        <v>3.7200099999999998</v>
      </c>
      <c r="DZ68">
        <v>4.0379199999999997</v>
      </c>
    </row>
    <row r="69" spans="127:130" x14ac:dyDescent="0.45">
      <c r="DW69" t="s">
        <v>56</v>
      </c>
      <c r="DX69">
        <v>-0.31836999999999999</v>
      </c>
      <c r="DY69">
        <v>11.380570000000001</v>
      </c>
      <c r="DZ69">
        <v>11.69894</v>
      </c>
    </row>
    <row r="70" spans="127:130" x14ac:dyDescent="0.45">
      <c r="DW70" t="s">
        <v>57</v>
      </c>
      <c r="DX70">
        <v>-0.32290999999999997</v>
      </c>
      <c r="DY70">
        <v>10.72326</v>
      </c>
      <c r="DZ70">
        <v>11.04617</v>
      </c>
    </row>
    <row r="71" spans="127:130" x14ac:dyDescent="0.45">
      <c r="DW71" t="s">
        <v>58</v>
      </c>
      <c r="DX71">
        <v>-0.29277999999999998</v>
      </c>
      <c r="DY71">
        <v>3.80504</v>
      </c>
      <c r="DZ71">
        <v>4.0978199999999996</v>
      </c>
    </row>
    <row r="72" spans="127:130" x14ac:dyDescent="0.45">
      <c r="DW72" t="s">
        <v>131</v>
      </c>
      <c r="DX72">
        <v>-0.32540000000000002</v>
      </c>
      <c r="DY72">
        <v>3.8053599999999999</v>
      </c>
      <c r="DZ72">
        <v>4.1307600000000004</v>
      </c>
    </row>
    <row r="73" spans="127:130" x14ac:dyDescent="0.45">
      <c r="DW73" t="s">
        <v>132</v>
      </c>
      <c r="DX73">
        <v>-0.34472999999999998</v>
      </c>
      <c r="DY73">
        <v>3.48089</v>
      </c>
      <c r="DZ73">
        <v>3.8256199999999998</v>
      </c>
    </row>
    <row r="74" spans="127:130" x14ac:dyDescent="0.45">
      <c r="DW74" t="s">
        <v>133</v>
      </c>
      <c r="DX74">
        <v>-0.31408000000000003</v>
      </c>
      <c r="DY74">
        <v>3.7351399999999999</v>
      </c>
      <c r="DZ74">
        <v>4.04922</v>
      </c>
    </row>
    <row r="75" spans="127:130" x14ac:dyDescent="0.45">
      <c r="DW75" t="s">
        <v>59</v>
      </c>
      <c r="DX75">
        <v>-0.29598999999999998</v>
      </c>
      <c r="DY75">
        <v>3.8283499999999999</v>
      </c>
      <c r="DZ75">
        <v>4.1243400000000001</v>
      </c>
    </row>
    <row r="76" spans="127:130" x14ac:dyDescent="0.45">
      <c r="DW76" t="s">
        <v>60</v>
      </c>
      <c r="DX76">
        <v>-0.30373</v>
      </c>
      <c r="DY76">
        <v>3.84091</v>
      </c>
      <c r="DZ76">
        <v>4.1446399999999999</v>
      </c>
    </row>
    <row r="77" spans="127:130" x14ac:dyDescent="0.45">
      <c r="DW77" t="s">
        <v>61</v>
      </c>
      <c r="DX77">
        <v>-0.29985000000000001</v>
      </c>
      <c r="DY77">
        <v>3.8382100000000001</v>
      </c>
      <c r="DZ77">
        <v>4.1380600000000003</v>
      </c>
    </row>
    <row r="78" spans="127:130" x14ac:dyDescent="0.45">
      <c r="DW78" t="s">
        <v>62</v>
      </c>
      <c r="DX78">
        <v>-0.31509999999999999</v>
      </c>
      <c r="DY78">
        <v>3.8135599999999998</v>
      </c>
      <c r="DZ78">
        <v>4.12866</v>
      </c>
    </row>
    <row r="79" spans="127:130" x14ac:dyDescent="0.45">
      <c r="DW79" t="s">
        <v>63</v>
      </c>
      <c r="DX79">
        <v>-0.31645000000000001</v>
      </c>
      <c r="DY79">
        <v>3.80037</v>
      </c>
      <c r="DZ79">
        <v>4.1168199999999997</v>
      </c>
    </row>
    <row r="80" spans="127:130" x14ac:dyDescent="0.45">
      <c r="DW80" t="s">
        <v>64</v>
      </c>
      <c r="DX80">
        <v>-0.32028000000000001</v>
      </c>
      <c r="DY80">
        <v>11.77969</v>
      </c>
      <c r="DZ80">
        <v>12.099970000000001</v>
      </c>
    </row>
    <row r="81" spans="127:130" x14ac:dyDescent="0.45">
      <c r="DW81" t="s">
        <v>65</v>
      </c>
      <c r="DX81">
        <v>-0.32002999999999998</v>
      </c>
      <c r="DY81">
        <v>10.777049999999999</v>
      </c>
      <c r="DZ81">
        <v>11.09708</v>
      </c>
    </row>
    <row r="82" spans="127:130" x14ac:dyDescent="0.45">
      <c r="DW82" t="s">
        <v>66</v>
      </c>
      <c r="DX82">
        <v>-0.31298999999999999</v>
      </c>
      <c r="DY82">
        <v>3.8168299999999999</v>
      </c>
      <c r="DZ82">
        <v>4.1298199999999996</v>
      </c>
    </row>
    <row r="83" spans="127:130" x14ac:dyDescent="0.45">
      <c r="DW83" t="s">
        <v>67</v>
      </c>
      <c r="DX83">
        <v>-0.32833000000000001</v>
      </c>
      <c r="DY83">
        <v>9.4359099999999998</v>
      </c>
      <c r="DZ83">
        <v>9.7642399999999991</v>
      </c>
    </row>
    <row r="84" spans="127:130" x14ac:dyDescent="0.45">
      <c r="DW84" t="s">
        <v>134</v>
      </c>
      <c r="DX84">
        <v>-0.31545000000000001</v>
      </c>
      <c r="DY84">
        <v>3.8351199999999999</v>
      </c>
      <c r="DZ84">
        <v>4.1505700000000001</v>
      </c>
    </row>
    <row r="85" spans="127:130" x14ac:dyDescent="0.45">
      <c r="DW85" t="s">
        <v>135</v>
      </c>
      <c r="DX85">
        <v>-0.29654000000000003</v>
      </c>
      <c r="DY85">
        <v>3.8525999999999998</v>
      </c>
      <c r="DZ85">
        <v>4.1491400000000001</v>
      </c>
    </row>
    <row r="86" spans="127:130" x14ac:dyDescent="0.45">
      <c r="DW86" t="s">
        <v>136</v>
      </c>
      <c r="DX86">
        <v>-0.30732999999999999</v>
      </c>
      <c r="DY86">
        <v>3.81399</v>
      </c>
      <c r="DZ86">
        <v>4.1213199999999999</v>
      </c>
    </row>
    <row r="87" spans="127:130" x14ac:dyDescent="0.45">
      <c r="DW87" t="s">
        <v>137</v>
      </c>
      <c r="DX87">
        <v>-0.30647999999999997</v>
      </c>
      <c r="DY87">
        <v>9.8387700000000002</v>
      </c>
      <c r="DZ87">
        <v>10.145250000000001</v>
      </c>
    </row>
    <row r="88" spans="127:130" x14ac:dyDescent="0.45">
      <c r="DW88" t="s">
        <v>138</v>
      </c>
      <c r="DX88">
        <v>-0.31070999999999999</v>
      </c>
      <c r="DY88">
        <v>9.6290499999999994</v>
      </c>
      <c r="DZ88">
        <v>9.9397599999999997</v>
      </c>
    </row>
    <row r="89" spans="127:130" x14ac:dyDescent="0.45">
      <c r="DW89" t="s">
        <v>68</v>
      </c>
      <c r="DX89">
        <v>-0.30932999999999999</v>
      </c>
      <c r="DY89">
        <v>3.8044899999999999</v>
      </c>
      <c r="DZ89">
        <v>4.1138199999999996</v>
      </c>
    </row>
    <row r="90" spans="127:130" x14ac:dyDescent="0.45">
      <c r="DW90" t="s">
        <v>69</v>
      </c>
      <c r="DX90">
        <v>-0.33435999999999999</v>
      </c>
      <c r="DY90">
        <v>8.6792300000000004</v>
      </c>
      <c r="DZ90">
        <v>9.0135900000000007</v>
      </c>
    </row>
    <row r="91" spans="127:130" x14ac:dyDescent="0.45">
      <c r="DW91" t="s">
        <v>70</v>
      </c>
      <c r="DX91">
        <v>-0.32489000000000001</v>
      </c>
      <c r="DY91">
        <v>8.1113199999999992</v>
      </c>
      <c r="DZ91">
        <v>8.4362100000000009</v>
      </c>
    </row>
    <row r="92" spans="127:130" x14ac:dyDescent="0.45">
      <c r="DW92" t="s">
        <v>71</v>
      </c>
      <c r="DX92">
        <v>-0.32807999999999998</v>
      </c>
      <c r="DY92">
        <v>8.0531100000000002</v>
      </c>
      <c r="DZ92">
        <v>8.3811900000000001</v>
      </c>
    </row>
    <row r="93" spans="127:130" x14ac:dyDescent="0.45">
      <c r="DW93" t="s">
        <v>72</v>
      </c>
      <c r="DX93">
        <v>-0.29454000000000002</v>
      </c>
      <c r="DY93">
        <v>3.80287</v>
      </c>
      <c r="DZ93">
        <v>4.09741</v>
      </c>
    </row>
    <row r="94" spans="127:130" x14ac:dyDescent="0.45">
      <c r="DW94" t="s">
        <v>73</v>
      </c>
      <c r="DX94">
        <v>-0.29047000000000001</v>
      </c>
      <c r="DY94">
        <v>8.1617700000000006</v>
      </c>
      <c r="DZ94">
        <v>8.4522399999999998</v>
      </c>
    </row>
    <row r="95" spans="127:130" x14ac:dyDescent="0.45">
      <c r="DW95" t="s">
        <v>74</v>
      </c>
      <c r="DX95">
        <v>-0.29688999999999999</v>
      </c>
      <c r="DY95">
        <v>8.2825100000000003</v>
      </c>
      <c r="DZ95">
        <v>8.5793999999999997</v>
      </c>
    </row>
    <row r="96" spans="127:130" x14ac:dyDescent="0.45">
      <c r="DW96" t="s">
        <v>75</v>
      </c>
      <c r="DX96">
        <v>-0.28322999999999998</v>
      </c>
      <c r="DY96">
        <v>3.87961</v>
      </c>
      <c r="DZ96">
        <v>4.1628400000000001</v>
      </c>
    </row>
    <row r="97" spans="127:130" x14ac:dyDescent="0.45">
      <c r="DW97" t="s">
        <v>76</v>
      </c>
      <c r="DX97">
        <v>-0.30187999999999998</v>
      </c>
      <c r="DY97">
        <v>7.9961399999999996</v>
      </c>
      <c r="DZ97">
        <v>8.2980199999999993</v>
      </c>
    </row>
    <row r="98" spans="127:130" x14ac:dyDescent="0.45">
      <c r="DW98" t="s">
        <v>77</v>
      </c>
      <c r="DX98">
        <v>-0.28059000000000001</v>
      </c>
      <c r="DY98">
        <v>3.8312900000000001</v>
      </c>
      <c r="DZ98">
        <v>4.1118800000000002</v>
      </c>
    </row>
    <row r="99" spans="127:130" x14ac:dyDescent="0.45">
      <c r="DW99" t="s">
        <v>78</v>
      </c>
      <c r="DX99">
        <v>-0.28549000000000002</v>
      </c>
      <c r="DY99">
        <v>3.80647</v>
      </c>
      <c r="DZ99">
        <v>4.0919600000000003</v>
      </c>
    </row>
    <row r="100" spans="127:130" x14ac:dyDescent="0.45">
      <c r="DW100" t="s">
        <v>79</v>
      </c>
      <c r="DX100">
        <v>-0.29749999999999999</v>
      </c>
      <c r="DY100">
        <v>3.8042199999999999</v>
      </c>
      <c r="DZ100">
        <v>4.1017200000000003</v>
      </c>
    </row>
    <row r="101" spans="127:130" x14ac:dyDescent="0.45">
      <c r="DW101" t="s">
        <v>80</v>
      </c>
      <c r="DX101">
        <v>-0.28567999999999999</v>
      </c>
      <c r="DY101">
        <v>3.8103099999999999</v>
      </c>
      <c r="DZ101">
        <v>4.0959899999999996</v>
      </c>
    </row>
    <row r="102" spans="127:130" x14ac:dyDescent="0.45">
      <c r="DW102" t="s">
        <v>81</v>
      </c>
      <c r="DX102">
        <v>-0.30343999999999999</v>
      </c>
      <c r="DY102">
        <v>3.81589</v>
      </c>
      <c r="DZ102">
        <v>4.1193299999999997</v>
      </c>
    </row>
    <row r="103" spans="127:130" x14ac:dyDescent="0.45">
      <c r="DW103" t="s">
        <v>82</v>
      </c>
      <c r="DX103">
        <v>-0.27616000000000002</v>
      </c>
      <c r="DY103">
        <v>3.8142</v>
      </c>
      <c r="DZ103">
        <v>4.0903600000000004</v>
      </c>
    </row>
    <row r="104" spans="127:130" x14ac:dyDescent="0.45">
      <c r="DW104" t="s">
        <v>83</v>
      </c>
      <c r="DX104">
        <v>-0.27132000000000001</v>
      </c>
      <c r="DY104">
        <v>3.8177500000000002</v>
      </c>
      <c r="DZ104">
        <v>4.0890700000000004</v>
      </c>
    </row>
    <row r="105" spans="127:130" x14ac:dyDescent="0.45">
      <c r="DW105" t="s">
        <v>84</v>
      </c>
      <c r="DX105">
        <v>-0.31907999999999997</v>
      </c>
      <c r="DY105">
        <v>12.495839999999999</v>
      </c>
      <c r="DZ105">
        <v>12.814920000000001</v>
      </c>
    </row>
    <row r="106" spans="127:130" x14ac:dyDescent="0.45">
      <c r="DW106" t="s">
        <v>139</v>
      </c>
      <c r="DX106">
        <v>-0.32893</v>
      </c>
      <c r="DY106">
        <v>3.6853400000000001</v>
      </c>
      <c r="DZ106">
        <v>4.0142699999999998</v>
      </c>
    </row>
    <row r="107" spans="127:130" x14ac:dyDescent="0.45">
      <c r="DW107" t="s">
        <v>140</v>
      </c>
      <c r="DX107">
        <v>-0.30168</v>
      </c>
      <c r="DY107">
        <v>3.8066900000000001</v>
      </c>
      <c r="DZ107">
        <v>4.1083699999999999</v>
      </c>
    </row>
    <row r="108" spans="127:130" x14ac:dyDescent="0.45">
      <c r="DW108" t="s">
        <v>85</v>
      </c>
      <c r="DX108">
        <v>-0.32003999999999999</v>
      </c>
      <c r="DY108">
        <v>3.8155399999999999</v>
      </c>
      <c r="DZ108">
        <v>4.13558</v>
      </c>
    </row>
    <row r="109" spans="127:130" x14ac:dyDescent="0.45">
      <c r="DW109" t="s">
        <v>86</v>
      </c>
      <c r="DX109">
        <v>-0.32479000000000002</v>
      </c>
      <c r="DY109">
        <v>11.103199999999999</v>
      </c>
      <c r="DZ109">
        <v>11.427989999999999</v>
      </c>
    </row>
    <row r="110" spans="127:130" x14ac:dyDescent="0.45">
      <c r="DW110" t="s">
        <v>87</v>
      </c>
      <c r="DX110">
        <v>-0.31974999999999998</v>
      </c>
      <c r="DY110">
        <v>11.63734</v>
      </c>
      <c r="DZ110">
        <v>11.957090000000001</v>
      </c>
    </row>
    <row r="111" spans="127:130" x14ac:dyDescent="0.45">
      <c r="DW111" t="s">
        <v>88</v>
      </c>
      <c r="DX111">
        <v>-0.31752999999999998</v>
      </c>
      <c r="DY111">
        <v>3.8111299999999999</v>
      </c>
      <c r="DZ111">
        <v>4.12866</v>
      </c>
    </row>
    <row r="112" spans="127:130" x14ac:dyDescent="0.45">
      <c r="DW112" t="s">
        <v>89</v>
      </c>
      <c r="DX112">
        <v>-0.31122</v>
      </c>
      <c r="DY112">
        <v>3.81148</v>
      </c>
      <c r="DZ112">
        <v>4.1227</v>
      </c>
    </row>
    <row r="113" spans="127:130" x14ac:dyDescent="0.45">
      <c r="DW113" t="s">
        <v>90</v>
      </c>
      <c r="DX113">
        <v>-0.2994</v>
      </c>
      <c r="DY113">
        <v>3.8484099999999999</v>
      </c>
      <c r="DZ113">
        <v>4.1478099999999998</v>
      </c>
    </row>
    <row r="114" spans="127:130" x14ac:dyDescent="0.45">
      <c r="DW114" t="s">
        <v>91</v>
      </c>
      <c r="DX114">
        <v>-0.30632999999999999</v>
      </c>
      <c r="DY114">
        <v>3.8165</v>
      </c>
      <c r="DZ114">
        <v>4.1228300000000004</v>
      </c>
    </row>
    <row r="115" spans="127:130" x14ac:dyDescent="0.45">
      <c r="DW115" t="s">
        <v>92</v>
      </c>
      <c r="DX115">
        <v>-0.30462</v>
      </c>
      <c r="DY115">
        <v>3.8117399999999999</v>
      </c>
      <c r="DZ115">
        <v>4.1163600000000002</v>
      </c>
    </row>
    <row r="116" spans="127:130" x14ac:dyDescent="0.45">
      <c r="DW116" t="s">
        <v>93</v>
      </c>
      <c r="DX116">
        <v>-0.29010000000000002</v>
      </c>
      <c r="DY116">
        <v>3.8140000000000001</v>
      </c>
      <c r="DZ116">
        <v>4.1040999999999999</v>
      </c>
    </row>
    <row r="117" spans="127:130" x14ac:dyDescent="0.45">
      <c r="DW117" t="s">
        <v>94</v>
      </c>
      <c r="DX117">
        <v>-0.30929000000000001</v>
      </c>
      <c r="DY117">
        <v>3.5408499999999998</v>
      </c>
      <c r="DZ117">
        <v>3.8501400000000001</v>
      </c>
    </row>
    <row r="118" spans="127:130" x14ac:dyDescent="0.45">
      <c r="DW118" t="s">
        <v>95</v>
      </c>
      <c r="DX118">
        <v>-0.29625000000000001</v>
      </c>
      <c r="DY118">
        <v>3.5796600000000001</v>
      </c>
      <c r="DZ118">
        <v>3.8759100000000002</v>
      </c>
    </row>
    <row r="119" spans="127:130" x14ac:dyDescent="0.45">
      <c r="DW119" t="s">
        <v>96</v>
      </c>
      <c r="DX119">
        <v>-0.30216999999999999</v>
      </c>
      <c r="DY119">
        <v>3.5603899999999999</v>
      </c>
      <c r="DZ119">
        <v>3.8625600000000002</v>
      </c>
    </row>
    <row r="120" spans="127:130" x14ac:dyDescent="0.45">
      <c r="DW120" t="s">
        <v>97</v>
      </c>
      <c r="DX120">
        <v>-0.30506</v>
      </c>
      <c r="DY120">
        <v>3.5313300000000001</v>
      </c>
      <c r="DZ120">
        <v>3.8363900000000002</v>
      </c>
    </row>
    <row r="121" spans="127:130" x14ac:dyDescent="0.45">
      <c r="DW121" t="s">
        <v>98</v>
      </c>
      <c r="DX121">
        <v>-0.31114000000000003</v>
      </c>
      <c r="DY121">
        <v>3.8464100000000001</v>
      </c>
      <c r="DZ121">
        <v>4.1575499999999996</v>
      </c>
    </row>
    <row r="122" spans="127:130" x14ac:dyDescent="0.45">
      <c r="DW122" t="s">
        <v>99</v>
      </c>
      <c r="DX122">
        <v>-0.30679000000000001</v>
      </c>
      <c r="DY122">
        <v>3.5620699999999998</v>
      </c>
      <c r="DZ122">
        <v>3.8688600000000002</v>
      </c>
    </row>
    <row r="123" spans="127:130" x14ac:dyDescent="0.45">
      <c r="DW123" t="s">
        <v>100</v>
      </c>
      <c r="DX123">
        <v>-0.29360000000000003</v>
      </c>
      <c r="DY123">
        <v>6.1410400000000003</v>
      </c>
      <c r="DZ123">
        <v>6.4346399999999999</v>
      </c>
    </row>
    <row r="124" spans="127:130" x14ac:dyDescent="0.45">
      <c r="DW124" t="s">
        <v>101</v>
      </c>
      <c r="DX124">
        <v>-0.30058000000000001</v>
      </c>
      <c r="DY124">
        <v>3.8324199999999999</v>
      </c>
      <c r="DZ124">
        <v>4.133</v>
      </c>
    </row>
    <row r="125" spans="127:130" x14ac:dyDescent="0.45">
      <c r="DW125" t="s">
        <v>102</v>
      </c>
      <c r="DX125">
        <v>-0.31446000000000002</v>
      </c>
      <c r="DY125">
        <v>3.80864</v>
      </c>
      <c r="DZ125">
        <v>4.1231</v>
      </c>
    </row>
    <row r="126" spans="127:130" x14ac:dyDescent="0.45">
      <c r="DW126" t="s">
        <v>103</v>
      </c>
      <c r="DX126">
        <v>-0.31478</v>
      </c>
      <c r="DY126">
        <v>3.80301</v>
      </c>
      <c r="DZ126">
        <v>4.1177900000000003</v>
      </c>
    </row>
    <row r="127" spans="127:130" x14ac:dyDescent="0.45">
      <c r="DW127" t="s">
        <v>104</v>
      </c>
      <c r="DX127">
        <v>-0.31512000000000001</v>
      </c>
      <c r="DY127">
        <v>3.8041399999999999</v>
      </c>
      <c r="DZ127">
        <v>4.1192599999999997</v>
      </c>
    </row>
    <row r="128" spans="127:130" x14ac:dyDescent="0.45">
      <c r="DW128" t="s">
        <v>105</v>
      </c>
      <c r="DX128">
        <v>-0.30669000000000002</v>
      </c>
      <c r="DY128">
        <v>3.8090099999999998</v>
      </c>
      <c r="DZ128">
        <v>4.1157000000000004</v>
      </c>
    </row>
    <row r="129" spans="127:130" x14ac:dyDescent="0.45">
      <c r="DW129" t="s">
        <v>106</v>
      </c>
      <c r="DX129">
        <v>-0.30348000000000003</v>
      </c>
      <c r="DY129">
        <v>3.8116099999999999</v>
      </c>
      <c r="DZ129">
        <v>4.1150900000000004</v>
      </c>
    </row>
    <row r="130" spans="127:130" x14ac:dyDescent="0.45">
      <c r="DW130" t="s">
        <v>141</v>
      </c>
      <c r="DX130">
        <v>-0.34072000000000002</v>
      </c>
      <c r="DY130">
        <v>3.8024100000000001</v>
      </c>
      <c r="DZ130">
        <v>4.1431300000000002</v>
      </c>
    </row>
    <row r="131" spans="127:130" x14ac:dyDescent="0.45">
      <c r="DW131" t="s">
        <v>142</v>
      </c>
      <c r="DX131">
        <v>-0.33462999999999998</v>
      </c>
      <c r="DY131">
        <v>3.5358800000000001</v>
      </c>
      <c r="DZ131">
        <v>3.8705099999999999</v>
      </c>
    </row>
    <row r="132" spans="127:130" x14ac:dyDescent="0.45">
      <c r="DW132" t="s">
        <v>107</v>
      </c>
      <c r="DX132">
        <v>-0.31913999999999998</v>
      </c>
      <c r="DY132">
        <v>11.459390000000001</v>
      </c>
      <c r="DZ132">
        <v>11.77853</v>
      </c>
    </row>
    <row r="133" spans="127:130" x14ac:dyDescent="0.45">
      <c r="DW133" t="s">
        <v>108</v>
      </c>
      <c r="DX133">
        <v>-0.31869999999999998</v>
      </c>
      <c r="DY133">
        <v>3.7141799999999998</v>
      </c>
      <c r="DZ133">
        <v>4.0328799999999996</v>
      </c>
    </row>
    <row r="134" spans="127:130" x14ac:dyDescent="0.45">
      <c r="DW134" t="s">
        <v>109</v>
      </c>
      <c r="DX134">
        <v>-0.31891000000000003</v>
      </c>
      <c r="DY134">
        <v>12.667949999999999</v>
      </c>
      <c r="DZ134">
        <v>12.98686</v>
      </c>
    </row>
    <row r="135" spans="127:130" x14ac:dyDescent="0.45">
      <c r="DW135" t="s">
        <v>110</v>
      </c>
      <c r="DX135">
        <v>-0.32271</v>
      </c>
      <c r="DY135">
        <v>10.80486</v>
      </c>
      <c r="DZ135">
        <v>11.12757</v>
      </c>
    </row>
    <row r="136" spans="127:130" x14ac:dyDescent="0.45">
      <c r="DW136" t="s">
        <v>111</v>
      </c>
      <c r="DX136">
        <v>-0.29399999999999998</v>
      </c>
      <c r="DY136">
        <v>8.8914799999999996</v>
      </c>
      <c r="DZ136">
        <v>9.1854800000000001</v>
      </c>
    </row>
    <row r="137" spans="127:130" x14ac:dyDescent="0.45">
      <c r="DW137" t="s">
        <v>112</v>
      </c>
      <c r="DX137">
        <v>-0.29541000000000001</v>
      </c>
      <c r="DY137">
        <v>9.0155700000000003</v>
      </c>
      <c r="DZ137">
        <v>9.3109800000000007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xTB vs DFT HOMO</vt:lpstr>
      <vt:lpstr>xTB vs DFT LUMO</vt:lpstr>
      <vt:lpstr>xTB-HOMO LUMO</vt:lpstr>
      <vt:lpstr>DFT-HOMO LUMO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Arushi Tyagi</cp:lastModifiedBy>
  <cp:lastPrinted>2026-04-24T10:18:01Z</cp:lastPrinted>
  <dcterms:created xsi:type="dcterms:W3CDTF">2026-01-23T16:01:03Z</dcterms:created>
  <dcterms:modified xsi:type="dcterms:W3CDTF">2026-06-08T12:19:07Z</dcterms:modified>
</cp:coreProperties>
</file>