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2035" documentId="13_ncr:1_{C2F42A1A-F3AD-459C-B9F6-1A17F21557F3}" xr6:coauthVersionLast="47" xr6:coauthVersionMax="47" xr10:uidLastSave="{F9D95542-F385-4088-8AB3-FBF1B25FFB7C}"/>
  <bookViews>
    <workbookView xWindow="-98" yWindow="-98" windowWidth="19396" windowHeight="11596" firstSheet="1" activeTab="2" xr2:uid="{00000000-000D-0000-FFFF-FFFF00000000}"/>
  </bookViews>
  <sheets>
    <sheet name="xTB vs DFT Sterimol diazo L" sheetId="26" r:id="rId1"/>
    <sheet name="xTB vs DFT Sterimol diazo B1" sheetId="29" r:id="rId2"/>
    <sheet name="xTB vs DFT Sterimol diazo B5" sheetId="30" r:id="rId3"/>
    <sheet name="xTB-sterimol" sheetId="27" r:id="rId4"/>
    <sheet name="DFT-sterimol" sheetId="2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29" l="1"/>
  <c r="D101" i="29"/>
  <c r="E101" i="29"/>
  <c r="D91" i="29"/>
  <c r="D89" i="29"/>
  <c r="E89" i="29"/>
  <c r="D37" i="29"/>
  <c r="D17" i="29"/>
  <c r="D13" i="29"/>
  <c r="D101" i="26"/>
  <c r="E101" i="26"/>
  <c r="F101" i="26"/>
  <c r="D91" i="26"/>
  <c r="E91" i="26"/>
  <c r="F91" i="26"/>
  <c r="D89" i="26"/>
  <c r="D37" i="26"/>
  <c r="E37" i="26"/>
  <c r="F37" i="26"/>
  <c r="D31" i="26"/>
  <c r="E31" i="26"/>
  <c r="D26" i="26"/>
  <c r="E26" i="26"/>
  <c r="D17" i="26"/>
  <c r="E17" i="26"/>
  <c r="D13" i="26"/>
  <c r="I140" i="29"/>
  <c r="I139" i="29"/>
  <c r="C140" i="29"/>
  <c r="C139" i="29"/>
  <c r="B140" i="29"/>
  <c r="B139" i="29"/>
  <c r="C140" i="30"/>
  <c r="B140" i="30"/>
  <c r="C139" i="30"/>
  <c r="B139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G2" i="30"/>
  <c r="D2" i="30"/>
  <c r="D137" i="29"/>
  <c r="D136" i="29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3" i="29"/>
  <c r="D102" i="29"/>
  <c r="D100" i="29"/>
  <c r="D99" i="29"/>
  <c r="D98" i="29"/>
  <c r="D97" i="29"/>
  <c r="D96" i="29"/>
  <c r="D95" i="29"/>
  <c r="D94" i="29"/>
  <c r="D93" i="29"/>
  <c r="D92" i="29"/>
  <c r="D90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6" i="29"/>
  <c r="D15" i="29"/>
  <c r="D14" i="29"/>
  <c r="D12" i="29"/>
  <c r="D11" i="29"/>
  <c r="D10" i="29"/>
  <c r="D9" i="29"/>
  <c r="D8" i="29"/>
  <c r="D7" i="29"/>
  <c r="D6" i="29"/>
  <c r="D5" i="29"/>
  <c r="D4" i="29"/>
  <c r="D3" i="29"/>
  <c r="G2" i="29"/>
  <c r="D2" i="29"/>
  <c r="C140" i="26"/>
  <c r="C139" i="26"/>
  <c r="B140" i="26"/>
  <c r="B139" i="26"/>
  <c r="G2" i="26"/>
  <c r="H2" i="26" s="1"/>
  <c r="D11" i="26"/>
  <c r="E11" i="26" s="1"/>
  <c r="F11" i="26" s="1"/>
  <c r="D12" i="26"/>
  <c r="E12" i="26" s="1"/>
  <c r="F12" i="26" s="1"/>
  <c r="D14" i="26"/>
  <c r="E14" i="26" s="1"/>
  <c r="F14" i="26" s="1"/>
  <c r="D15" i="26"/>
  <c r="D16" i="26"/>
  <c r="D18" i="26"/>
  <c r="D19" i="26"/>
  <c r="D20" i="26"/>
  <c r="D21" i="26"/>
  <c r="E21" i="26" s="1"/>
  <c r="F21" i="26" s="1"/>
  <c r="D22" i="26"/>
  <c r="D23" i="26"/>
  <c r="D24" i="26"/>
  <c r="D25" i="26"/>
  <c r="D27" i="26"/>
  <c r="D28" i="26"/>
  <c r="D29" i="26"/>
  <c r="D30" i="26"/>
  <c r="D32" i="26"/>
  <c r="E32" i="26" s="1"/>
  <c r="F32" i="26" s="1"/>
  <c r="D33" i="26"/>
  <c r="E33" i="26" s="1"/>
  <c r="F33" i="26" s="1"/>
  <c r="D34" i="26"/>
  <c r="E34" i="26" s="1"/>
  <c r="F34" i="26" s="1"/>
  <c r="D35" i="26"/>
  <c r="E35" i="26" s="1"/>
  <c r="F35" i="26" s="1"/>
  <c r="D36" i="26"/>
  <c r="E36" i="26" s="1"/>
  <c r="F36" i="26" s="1"/>
  <c r="D38" i="26"/>
  <c r="E38" i="26" s="1"/>
  <c r="F38" i="26" s="1"/>
  <c r="D39" i="26"/>
  <c r="E39" i="26" s="1"/>
  <c r="F39" i="26" s="1"/>
  <c r="D40" i="26"/>
  <c r="E40" i="26" s="1"/>
  <c r="F40" i="26" s="1"/>
  <c r="D41" i="26"/>
  <c r="E41" i="26" s="1"/>
  <c r="F41" i="26" s="1"/>
  <c r="D42" i="26"/>
  <c r="E42" i="26" s="1"/>
  <c r="F42" i="26" s="1"/>
  <c r="D43" i="26"/>
  <c r="E43" i="26" s="1"/>
  <c r="F43" i="26" s="1"/>
  <c r="D44" i="26"/>
  <c r="E44" i="26" s="1"/>
  <c r="F44" i="26" s="1"/>
  <c r="D45" i="26"/>
  <c r="E45" i="26" s="1"/>
  <c r="F45" i="26" s="1"/>
  <c r="D46" i="26"/>
  <c r="E46" i="26" s="1"/>
  <c r="F46" i="26" s="1"/>
  <c r="D47" i="26"/>
  <c r="E47" i="26" s="1"/>
  <c r="F47" i="26" s="1"/>
  <c r="D48" i="26"/>
  <c r="E48" i="26" s="1"/>
  <c r="F48" i="26" s="1"/>
  <c r="D49" i="26"/>
  <c r="E49" i="26" s="1"/>
  <c r="F49" i="26" s="1"/>
  <c r="D50" i="26"/>
  <c r="E50" i="26" s="1"/>
  <c r="F50" i="26" s="1"/>
  <c r="D51" i="26"/>
  <c r="E51" i="26" s="1"/>
  <c r="F51" i="26" s="1"/>
  <c r="D52" i="26"/>
  <c r="E52" i="26" s="1"/>
  <c r="F52" i="26" s="1"/>
  <c r="D53" i="26"/>
  <c r="E53" i="26" s="1"/>
  <c r="F53" i="26" s="1"/>
  <c r="D54" i="26"/>
  <c r="E54" i="26" s="1"/>
  <c r="F54" i="26" s="1"/>
  <c r="D55" i="26"/>
  <c r="E55" i="26" s="1"/>
  <c r="F55" i="26" s="1"/>
  <c r="D56" i="26"/>
  <c r="E56" i="26" s="1"/>
  <c r="F56" i="26" s="1"/>
  <c r="D57" i="26"/>
  <c r="E57" i="26" s="1"/>
  <c r="F57" i="26" s="1"/>
  <c r="D58" i="26"/>
  <c r="E58" i="26" s="1"/>
  <c r="F58" i="26" s="1"/>
  <c r="D59" i="26"/>
  <c r="E59" i="26" s="1"/>
  <c r="F59" i="26" s="1"/>
  <c r="D60" i="26"/>
  <c r="E60" i="26" s="1"/>
  <c r="F60" i="26" s="1"/>
  <c r="D61" i="26"/>
  <c r="E61" i="26" s="1"/>
  <c r="F61" i="26" s="1"/>
  <c r="D62" i="26"/>
  <c r="E62" i="26" s="1"/>
  <c r="F62" i="26" s="1"/>
  <c r="D63" i="26"/>
  <c r="E63" i="26" s="1"/>
  <c r="F63" i="26" s="1"/>
  <c r="D64" i="26"/>
  <c r="E64" i="26" s="1"/>
  <c r="F64" i="26" s="1"/>
  <c r="D65" i="26"/>
  <c r="E65" i="26" s="1"/>
  <c r="F65" i="26" s="1"/>
  <c r="D66" i="26"/>
  <c r="E66" i="26" s="1"/>
  <c r="F66" i="26" s="1"/>
  <c r="D67" i="26"/>
  <c r="E67" i="26" s="1"/>
  <c r="F67" i="26" s="1"/>
  <c r="D68" i="26"/>
  <c r="E68" i="26" s="1"/>
  <c r="F68" i="26" s="1"/>
  <c r="D69" i="26"/>
  <c r="E69" i="26" s="1"/>
  <c r="F69" i="26" s="1"/>
  <c r="D70" i="26"/>
  <c r="E70" i="26" s="1"/>
  <c r="F70" i="26" s="1"/>
  <c r="D71" i="26"/>
  <c r="E71" i="26" s="1"/>
  <c r="F71" i="26" s="1"/>
  <c r="D72" i="26"/>
  <c r="E72" i="26" s="1"/>
  <c r="F72" i="26" s="1"/>
  <c r="D73" i="26"/>
  <c r="E73" i="26" s="1"/>
  <c r="F73" i="26" s="1"/>
  <c r="D74" i="26"/>
  <c r="E74" i="26" s="1"/>
  <c r="F74" i="26" s="1"/>
  <c r="D75" i="26"/>
  <c r="E75" i="26" s="1"/>
  <c r="F75" i="26" s="1"/>
  <c r="D76" i="26"/>
  <c r="E76" i="26" s="1"/>
  <c r="F76" i="26" s="1"/>
  <c r="D77" i="26"/>
  <c r="E77" i="26" s="1"/>
  <c r="F77" i="26" s="1"/>
  <c r="D78" i="26"/>
  <c r="E78" i="26" s="1"/>
  <c r="F78" i="26" s="1"/>
  <c r="D79" i="26"/>
  <c r="E79" i="26" s="1"/>
  <c r="F79" i="26" s="1"/>
  <c r="D80" i="26"/>
  <c r="E80" i="26" s="1"/>
  <c r="F80" i="26" s="1"/>
  <c r="D81" i="26"/>
  <c r="E81" i="26" s="1"/>
  <c r="F81" i="26" s="1"/>
  <c r="D82" i="26"/>
  <c r="E82" i="26" s="1"/>
  <c r="F82" i="26" s="1"/>
  <c r="D83" i="26"/>
  <c r="E83" i="26" s="1"/>
  <c r="F83" i="26" s="1"/>
  <c r="D84" i="26"/>
  <c r="E84" i="26" s="1"/>
  <c r="F84" i="26" s="1"/>
  <c r="D85" i="26"/>
  <c r="E85" i="26" s="1"/>
  <c r="F85" i="26" s="1"/>
  <c r="D86" i="26"/>
  <c r="E86" i="26" s="1"/>
  <c r="F86" i="26" s="1"/>
  <c r="D87" i="26"/>
  <c r="E87" i="26" s="1"/>
  <c r="F87" i="26" s="1"/>
  <c r="D88" i="26"/>
  <c r="E88" i="26" s="1"/>
  <c r="F88" i="26" s="1"/>
  <c r="D90" i="26"/>
  <c r="E90" i="26" s="1"/>
  <c r="F90" i="26" s="1"/>
  <c r="D92" i="26"/>
  <c r="E92" i="26" s="1"/>
  <c r="F92" i="26" s="1"/>
  <c r="D93" i="26"/>
  <c r="E93" i="26" s="1"/>
  <c r="F93" i="26" s="1"/>
  <c r="D94" i="26"/>
  <c r="E94" i="26" s="1"/>
  <c r="F94" i="26" s="1"/>
  <c r="D95" i="26"/>
  <c r="E95" i="26" s="1"/>
  <c r="F95" i="26" s="1"/>
  <c r="D96" i="26"/>
  <c r="E96" i="26" s="1"/>
  <c r="F96" i="26" s="1"/>
  <c r="D97" i="26"/>
  <c r="E97" i="26" s="1"/>
  <c r="F97" i="26" s="1"/>
  <c r="D98" i="26"/>
  <c r="E98" i="26" s="1"/>
  <c r="F98" i="26" s="1"/>
  <c r="D99" i="26"/>
  <c r="E99" i="26" s="1"/>
  <c r="F99" i="26" s="1"/>
  <c r="D100" i="26"/>
  <c r="E100" i="26" s="1"/>
  <c r="F100" i="26" s="1"/>
  <c r="D102" i="26"/>
  <c r="E102" i="26" s="1"/>
  <c r="F102" i="26" s="1"/>
  <c r="D103" i="26"/>
  <c r="E103" i="26" s="1"/>
  <c r="F103" i="26" s="1"/>
  <c r="D104" i="26"/>
  <c r="E104" i="26" s="1"/>
  <c r="F104" i="26" s="1"/>
  <c r="D105" i="26"/>
  <c r="E105" i="26" s="1"/>
  <c r="F105" i="26" s="1"/>
  <c r="D106" i="26"/>
  <c r="E106" i="26" s="1"/>
  <c r="F106" i="26" s="1"/>
  <c r="D107" i="26"/>
  <c r="E107" i="26" s="1"/>
  <c r="F107" i="26" s="1"/>
  <c r="D108" i="26"/>
  <c r="E108" i="26" s="1"/>
  <c r="F108" i="26" s="1"/>
  <c r="D109" i="26"/>
  <c r="E109" i="26" s="1"/>
  <c r="F109" i="26" s="1"/>
  <c r="D110" i="26"/>
  <c r="E110" i="26" s="1"/>
  <c r="F110" i="26" s="1"/>
  <c r="D111" i="26"/>
  <c r="E111" i="26" s="1"/>
  <c r="F111" i="26" s="1"/>
  <c r="D112" i="26"/>
  <c r="E112" i="26" s="1"/>
  <c r="F112" i="26" s="1"/>
  <c r="D113" i="26"/>
  <c r="E113" i="26" s="1"/>
  <c r="F113" i="26" s="1"/>
  <c r="D114" i="26"/>
  <c r="E114" i="26" s="1"/>
  <c r="F114" i="26" s="1"/>
  <c r="D115" i="26"/>
  <c r="E115" i="26" s="1"/>
  <c r="F115" i="26" s="1"/>
  <c r="D116" i="26"/>
  <c r="E116" i="26" s="1"/>
  <c r="F116" i="26" s="1"/>
  <c r="D117" i="26"/>
  <c r="E117" i="26" s="1"/>
  <c r="F117" i="26" s="1"/>
  <c r="D118" i="26"/>
  <c r="E118" i="26" s="1"/>
  <c r="F118" i="26" s="1"/>
  <c r="D119" i="26"/>
  <c r="E119" i="26" s="1"/>
  <c r="F119" i="26" s="1"/>
  <c r="D120" i="26"/>
  <c r="E120" i="26" s="1"/>
  <c r="F120" i="26" s="1"/>
  <c r="D121" i="26"/>
  <c r="E121" i="26" s="1"/>
  <c r="F121" i="26" s="1"/>
  <c r="D122" i="26"/>
  <c r="E122" i="26" s="1"/>
  <c r="F122" i="26" s="1"/>
  <c r="D123" i="26"/>
  <c r="E123" i="26" s="1"/>
  <c r="F123" i="26" s="1"/>
  <c r="D124" i="26"/>
  <c r="E124" i="26" s="1"/>
  <c r="F124" i="26" s="1"/>
  <c r="D125" i="26"/>
  <c r="E125" i="26" s="1"/>
  <c r="F125" i="26" s="1"/>
  <c r="D126" i="26"/>
  <c r="E126" i="26" s="1"/>
  <c r="F126" i="26" s="1"/>
  <c r="D127" i="26"/>
  <c r="E127" i="26" s="1"/>
  <c r="F127" i="26" s="1"/>
  <c r="D128" i="26"/>
  <c r="E128" i="26" s="1"/>
  <c r="F128" i="26" s="1"/>
  <c r="D129" i="26"/>
  <c r="E129" i="26" s="1"/>
  <c r="F129" i="26" s="1"/>
  <c r="D130" i="26"/>
  <c r="E130" i="26" s="1"/>
  <c r="F130" i="26" s="1"/>
  <c r="D131" i="26"/>
  <c r="E131" i="26" s="1"/>
  <c r="F131" i="26" s="1"/>
  <c r="D132" i="26"/>
  <c r="E132" i="26" s="1"/>
  <c r="F132" i="26" s="1"/>
  <c r="D133" i="26"/>
  <c r="E133" i="26" s="1"/>
  <c r="F133" i="26" s="1"/>
  <c r="D134" i="26"/>
  <c r="E134" i="26" s="1"/>
  <c r="F134" i="26" s="1"/>
  <c r="D135" i="26"/>
  <c r="E135" i="26" s="1"/>
  <c r="F135" i="26" s="1"/>
  <c r="D136" i="26"/>
  <c r="E136" i="26" s="1"/>
  <c r="F136" i="26" s="1"/>
  <c r="D137" i="26"/>
  <c r="E137" i="26" s="1"/>
  <c r="F137" i="26" s="1"/>
  <c r="D3" i="26"/>
  <c r="E3" i="26" s="1"/>
  <c r="F3" i="26" s="1"/>
  <c r="D4" i="26"/>
  <c r="E4" i="26" s="1"/>
  <c r="F4" i="26" s="1"/>
  <c r="D5" i="26"/>
  <c r="E5" i="26" s="1"/>
  <c r="F5" i="26" s="1"/>
  <c r="D6" i="26"/>
  <c r="E6" i="26" s="1"/>
  <c r="F6" i="26" s="1"/>
  <c r="D7" i="26"/>
  <c r="E7" i="26" s="1"/>
  <c r="F7" i="26" s="1"/>
  <c r="D8" i="26"/>
  <c r="E8" i="26" s="1"/>
  <c r="F8" i="26" s="1"/>
  <c r="D9" i="26"/>
  <c r="E9" i="26" s="1"/>
  <c r="F9" i="26" s="1"/>
  <c r="D10" i="26"/>
  <c r="D2" i="26"/>
  <c r="E10" i="26"/>
  <c r="F10" i="26" s="1"/>
  <c r="E104" i="29" l="1"/>
  <c r="F104" i="29" s="1"/>
  <c r="F101" i="29"/>
  <c r="E91" i="29"/>
  <c r="F91" i="29" s="1"/>
  <c r="F89" i="29"/>
  <c r="E37" i="29"/>
  <c r="F37" i="29" s="1"/>
  <c r="E17" i="29"/>
  <c r="F17" i="29" s="1"/>
  <c r="E13" i="29"/>
  <c r="F13" i="29" s="1"/>
  <c r="F17" i="26"/>
  <c r="F26" i="26"/>
  <c r="E89" i="26"/>
  <c r="F89" i="26" s="1"/>
  <c r="F31" i="26"/>
  <c r="E13" i="26"/>
  <c r="F13" i="26" s="1"/>
  <c r="E101" i="30"/>
  <c r="E112" i="29"/>
  <c r="E7" i="29"/>
  <c r="E107" i="29"/>
  <c r="E100" i="30"/>
  <c r="F100" i="30" s="1"/>
  <c r="E99" i="30"/>
  <c r="F99" i="30" s="1"/>
  <c r="E98" i="30"/>
  <c r="F98" i="30" s="1"/>
  <c r="E97" i="30"/>
  <c r="F97" i="30" s="1"/>
  <c r="E96" i="30"/>
  <c r="F96" i="30" s="1"/>
  <c r="E95" i="30"/>
  <c r="F95" i="30" s="1"/>
  <c r="E94" i="30"/>
  <c r="F94" i="30" s="1"/>
  <c r="E93" i="30"/>
  <c r="F93" i="30" s="1"/>
  <c r="E92" i="30"/>
  <c r="F92" i="30" s="1"/>
  <c r="E91" i="30"/>
  <c r="F91" i="30" s="1"/>
  <c r="E90" i="30"/>
  <c r="F90" i="30" s="1"/>
  <c r="E89" i="30"/>
  <c r="F89" i="30" s="1"/>
  <c r="E88" i="30"/>
  <c r="F88" i="30" s="1"/>
  <c r="E87" i="30"/>
  <c r="F87" i="30" s="1"/>
  <c r="E86" i="30"/>
  <c r="F86" i="30" s="1"/>
  <c r="E85" i="30"/>
  <c r="F85" i="30" s="1"/>
  <c r="E84" i="30"/>
  <c r="F84" i="30" s="1"/>
  <c r="E83" i="30"/>
  <c r="F83" i="30" s="1"/>
  <c r="E82" i="30"/>
  <c r="F82" i="30" s="1"/>
  <c r="E81" i="30"/>
  <c r="F81" i="30" s="1"/>
  <c r="E80" i="30"/>
  <c r="F80" i="30" s="1"/>
  <c r="E79" i="30"/>
  <c r="F79" i="30" s="1"/>
  <c r="E78" i="30"/>
  <c r="F78" i="30" s="1"/>
  <c r="E77" i="30"/>
  <c r="F77" i="30" s="1"/>
  <c r="E76" i="30"/>
  <c r="F76" i="30" s="1"/>
  <c r="E75" i="30"/>
  <c r="F75" i="30" s="1"/>
  <c r="E74" i="30"/>
  <c r="F74" i="30" s="1"/>
  <c r="E73" i="30"/>
  <c r="F73" i="30" s="1"/>
  <c r="E72" i="30"/>
  <c r="F72" i="30" s="1"/>
  <c r="E71" i="30"/>
  <c r="F71" i="30" s="1"/>
  <c r="E70" i="30"/>
  <c r="F70" i="30" s="1"/>
  <c r="E69" i="30"/>
  <c r="F69" i="30" s="1"/>
  <c r="E68" i="30"/>
  <c r="F68" i="30" s="1"/>
  <c r="E67" i="30"/>
  <c r="F67" i="30" s="1"/>
  <c r="E66" i="30"/>
  <c r="F66" i="30" s="1"/>
  <c r="E65" i="30"/>
  <c r="F65" i="30" s="1"/>
  <c r="E64" i="30"/>
  <c r="F64" i="30" s="1"/>
  <c r="E63" i="30"/>
  <c r="F63" i="30" s="1"/>
  <c r="E62" i="30"/>
  <c r="F62" i="30" s="1"/>
  <c r="E19" i="30"/>
  <c r="F19" i="30" s="1"/>
  <c r="E17" i="30"/>
  <c r="F17" i="30" s="1"/>
  <c r="E16" i="30"/>
  <c r="F16" i="30" s="1"/>
  <c r="E15" i="30"/>
  <c r="F15" i="30" s="1"/>
  <c r="E61" i="30"/>
  <c r="F61" i="30" s="1"/>
  <c r="E60" i="30"/>
  <c r="F60" i="30" s="1"/>
  <c r="E59" i="30"/>
  <c r="F59" i="30" s="1"/>
  <c r="E58" i="30"/>
  <c r="F58" i="30" s="1"/>
  <c r="E57" i="30"/>
  <c r="F57" i="30" s="1"/>
  <c r="E56" i="30"/>
  <c r="F56" i="30" s="1"/>
  <c r="E55" i="30"/>
  <c r="F55" i="30" s="1"/>
  <c r="E54" i="30"/>
  <c r="F54" i="30" s="1"/>
  <c r="E53" i="30"/>
  <c r="F53" i="30" s="1"/>
  <c r="E52" i="30"/>
  <c r="F52" i="30" s="1"/>
  <c r="E51" i="30"/>
  <c r="F51" i="30" s="1"/>
  <c r="E50" i="30"/>
  <c r="F50" i="30" s="1"/>
  <c r="E49" i="30"/>
  <c r="F49" i="30" s="1"/>
  <c r="E48" i="30"/>
  <c r="F48" i="30" s="1"/>
  <c r="E47" i="30"/>
  <c r="F47" i="30" s="1"/>
  <c r="E46" i="30"/>
  <c r="F46" i="30" s="1"/>
  <c r="E45" i="30"/>
  <c r="F45" i="30" s="1"/>
  <c r="E44" i="30"/>
  <c r="F44" i="30" s="1"/>
  <c r="E43" i="30"/>
  <c r="F43" i="30" s="1"/>
  <c r="E42" i="30"/>
  <c r="F42" i="30" s="1"/>
  <c r="E41" i="30"/>
  <c r="F41" i="30" s="1"/>
  <c r="E40" i="30"/>
  <c r="F40" i="30" s="1"/>
  <c r="E39" i="30"/>
  <c r="F39" i="30" s="1"/>
  <c r="E38" i="30"/>
  <c r="F38" i="30" s="1"/>
  <c r="E37" i="30"/>
  <c r="F37" i="30" s="1"/>
  <c r="E36" i="30"/>
  <c r="F36" i="30" s="1"/>
  <c r="E35" i="30"/>
  <c r="F35" i="30" s="1"/>
  <c r="E34" i="30"/>
  <c r="F34" i="30" s="1"/>
  <c r="E33" i="30"/>
  <c r="F33" i="30" s="1"/>
  <c r="E32" i="30"/>
  <c r="F32" i="30" s="1"/>
  <c r="E31" i="30"/>
  <c r="F31" i="30" s="1"/>
  <c r="E30" i="30"/>
  <c r="F30" i="30" s="1"/>
  <c r="E29" i="30"/>
  <c r="F29" i="30" s="1"/>
  <c r="E28" i="30"/>
  <c r="F28" i="30" s="1"/>
  <c r="E27" i="30"/>
  <c r="F27" i="30" s="1"/>
  <c r="E26" i="30"/>
  <c r="F26" i="30" s="1"/>
  <c r="E25" i="30"/>
  <c r="F25" i="30" s="1"/>
  <c r="E24" i="30"/>
  <c r="F24" i="30" s="1"/>
  <c r="E23" i="30"/>
  <c r="F23" i="30" s="1"/>
  <c r="E22" i="30"/>
  <c r="F22" i="30" s="1"/>
  <c r="E21" i="30"/>
  <c r="F21" i="30" s="1"/>
  <c r="E20" i="30"/>
  <c r="F20" i="30" s="1"/>
  <c r="E18" i="30"/>
  <c r="F18" i="30" s="1"/>
  <c r="E4" i="30"/>
  <c r="F4" i="30" s="1"/>
  <c r="H2" i="30"/>
  <c r="E137" i="30"/>
  <c r="F137" i="30" s="1"/>
  <c r="E136" i="30"/>
  <c r="F136" i="30" s="1"/>
  <c r="E135" i="30"/>
  <c r="F135" i="30" s="1"/>
  <c r="E128" i="30"/>
  <c r="F128" i="30" s="1"/>
  <c r="E127" i="30"/>
  <c r="F127" i="30" s="1"/>
  <c r="E126" i="30"/>
  <c r="F126" i="30" s="1"/>
  <c r="E124" i="30"/>
  <c r="F124" i="30" s="1"/>
  <c r="E123" i="30"/>
  <c r="F123" i="30" s="1"/>
  <c r="E122" i="30"/>
  <c r="F122" i="30" s="1"/>
  <c r="E119" i="30"/>
  <c r="F119" i="30" s="1"/>
  <c r="E118" i="30"/>
  <c r="F118" i="30" s="1"/>
  <c r="E117" i="30"/>
  <c r="F117" i="30" s="1"/>
  <c r="E114" i="30"/>
  <c r="F114" i="30" s="1"/>
  <c r="E113" i="30"/>
  <c r="F113" i="30" s="1"/>
  <c r="E112" i="30"/>
  <c r="F112" i="30" s="1"/>
  <c r="E111" i="30"/>
  <c r="F111" i="30" s="1"/>
  <c r="E110" i="30"/>
  <c r="F110" i="30" s="1"/>
  <c r="E109" i="30"/>
  <c r="F109" i="30" s="1"/>
  <c r="E107" i="30"/>
  <c r="F107" i="30" s="1"/>
  <c r="E104" i="30"/>
  <c r="F104" i="30" s="1"/>
  <c r="E103" i="30"/>
  <c r="F103" i="30" s="1"/>
  <c r="E102" i="30"/>
  <c r="F102" i="30" s="1"/>
  <c r="E10" i="30"/>
  <c r="F10" i="30" s="1"/>
  <c r="E9" i="30"/>
  <c r="F9" i="30" s="1"/>
  <c r="E5" i="30"/>
  <c r="F5" i="30" s="1"/>
  <c r="D138" i="30"/>
  <c r="E133" i="30"/>
  <c r="F133" i="30" s="1"/>
  <c r="E132" i="30"/>
  <c r="F132" i="30" s="1"/>
  <c r="E116" i="30"/>
  <c r="F116" i="30" s="1"/>
  <c r="E115" i="30"/>
  <c r="F115" i="30" s="1"/>
  <c r="E106" i="30"/>
  <c r="F106" i="30" s="1"/>
  <c r="E105" i="30"/>
  <c r="F105" i="30" s="1"/>
  <c r="E2" i="30"/>
  <c r="E134" i="30"/>
  <c r="F134" i="30" s="1"/>
  <c r="E131" i="30"/>
  <c r="F131" i="30" s="1"/>
  <c r="E130" i="30"/>
  <c r="F130" i="30" s="1"/>
  <c r="E129" i="30"/>
  <c r="F129" i="30" s="1"/>
  <c r="E125" i="30"/>
  <c r="F125" i="30" s="1"/>
  <c r="E121" i="30"/>
  <c r="F121" i="30" s="1"/>
  <c r="E120" i="30"/>
  <c r="F120" i="30" s="1"/>
  <c r="E108" i="30"/>
  <c r="F108" i="30" s="1"/>
  <c r="F101" i="30"/>
  <c r="E14" i="30"/>
  <c r="F14" i="30" s="1"/>
  <c r="E13" i="30"/>
  <c r="F13" i="30" s="1"/>
  <c r="E12" i="30"/>
  <c r="F12" i="30" s="1"/>
  <c r="E11" i="30"/>
  <c r="F11" i="30" s="1"/>
  <c r="E8" i="30"/>
  <c r="F8" i="30" s="1"/>
  <c r="E7" i="30"/>
  <c r="F7" i="30" s="1"/>
  <c r="E6" i="30"/>
  <c r="F6" i="30" s="1"/>
  <c r="E3" i="30"/>
  <c r="F3" i="30" s="1"/>
  <c r="E131" i="29"/>
  <c r="F131" i="29" s="1"/>
  <c r="E130" i="29"/>
  <c r="F130" i="29" s="1"/>
  <c r="E129" i="29"/>
  <c r="F129" i="29" s="1"/>
  <c r="E128" i="29"/>
  <c r="F128" i="29" s="1"/>
  <c r="E127" i="29"/>
  <c r="F127" i="29" s="1"/>
  <c r="E126" i="29"/>
  <c r="F126" i="29" s="1"/>
  <c r="E125" i="29"/>
  <c r="F125" i="29" s="1"/>
  <c r="E122" i="29"/>
  <c r="F122" i="29" s="1"/>
  <c r="E117" i="29"/>
  <c r="F117" i="29" s="1"/>
  <c r="E116" i="29"/>
  <c r="F116" i="29" s="1"/>
  <c r="E108" i="29"/>
  <c r="F108" i="29" s="1"/>
  <c r="E106" i="29"/>
  <c r="F106" i="29" s="1"/>
  <c r="E105" i="29"/>
  <c r="F105" i="29" s="1"/>
  <c r="E85" i="29"/>
  <c r="F85" i="29" s="1"/>
  <c r="E84" i="29"/>
  <c r="F84" i="29" s="1"/>
  <c r="E82" i="29"/>
  <c r="F82" i="29" s="1"/>
  <c r="E79" i="29"/>
  <c r="F79" i="29" s="1"/>
  <c r="E77" i="29"/>
  <c r="F77" i="29" s="1"/>
  <c r="E76" i="29"/>
  <c r="F76" i="29" s="1"/>
  <c r="E75" i="29"/>
  <c r="F75" i="29" s="1"/>
  <c r="E73" i="29"/>
  <c r="F73" i="29" s="1"/>
  <c r="E72" i="29"/>
  <c r="F72" i="29" s="1"/>
  <c r="E71" i="29"/>
  <c r="F71" i="29" s="1"/>
  <c r="E70" i="29"/>
  <c r="F70" i="29" s="1"/>
  <c r="E69" i="29"/>
  <c r="F69" i="29" s="1"/>
  <c r="E68" i="29"/>
  <c r="F68" i="29" s="1"/>
  <c r="E67" i="29"/>
  <c r="F67" i="29" s="1"/>
  <c r="E66" i="29"/>
  <c r="F66" i="29" s="1"/>
  <c r="E65" i="29"/>
  <c r="F65" i="29" s="1"/>
  <c r="E64" i="29"/>
  <c r="F64" i="29" s="1"/>
  <c r="E63" i="29"/>
  <c r="F63" i="29" s="1"/>
  <c r="E62" i="29"/>
  <c r="F62" i="29" s="1"/>
  <c r="E61" i="29"/>
  <c r="F61" i="29" s="1"/>
  <c r="E60" i="29"/>
  <c r="F60" i="29" s="1"/>
  <c r="E59" i="29"/>
  <c r="F59" i="29" s="1"/>
  <c r="E58" i="29"/>
  <c r="F58" i="29" s="1"/>
  <c r="E57" i="29"/>
  <c r="F57" i="29" s="1"/>
  <c r="E56" i="29"/>
  <c r="F56" i="29" s="1"/>
  <c r="E55" i="29"/>
  <c r="F55" i="29" s="1"/>
  <c r="E54" i="29"/>
  <c r="F54" i="29" s="1"/>
  <c r="E53" i="29"/>
  <c r="F53" i="29" s="1"/>
  <c r="E52" i="29"/>
  <c r="F52" i="29" s="1"/>
  <c r="E51" i="29"/>
  <c r="F51" i="29" s="1"/>
  <c r="E50" i="29"/>
  <c r="F50" i="29" s="1"/>
  <c r="E49" i="29"/>
  <c r="F49" i="29" s="1"/>
  <c r="E48" i="29"/>
  <c r="F48" i="29" s="1"/>
  <c r="E47" i="29"/>
  <c r="F47" i="29" s="1"/>
  <c r="E46" i="29"/>
  <c r="F46" i="29" s="1"/>
  <c r="E45" i="29"/>
  <c r="F45" i="29" s="1"/>
  <c r="E44" i="29"/>
  <c r="F44" i="29" s="1"/>
  <c r="E43" i="29"/>
  <c r="F43" i="29" s="1"/>
  <c r="E42" i="29"/>
  <c r="F42" i="29" s="1"/>
  <c r="E41" i="29"/>
  <c r="F41" i="29" s="1"/>
  <c r="E2" i="29"/>
  <c r="E134" i="29"/>
  <c r="F134" i="29" s="1"/>
  <c r="E132" i="29"/>
  <c r="F132" i="29" s="1"/>
  <c r="E123" i="29"/>
  <c r="F123" i="29" s="1"/>
  <c r="E118" i="29"/>
  <c r="F118" i="29" s="1"/>
  <c r="E96" i="29"/>
  <c r="F96" i="29" s="1"/>
  <c r="E94" i="29"/>
  <c r="F94" i="29" s="1"/>
  <c r="E93" i="29"/>
  <c r="F93" i="29" s="1"/>
  <c r="E92" i="29"/>
  <c r="F92" i="29" s="1"/>
  <c r="E90" i="29"/>
  <c r="F90" i="29" s="1"/>
  <c r="E74" i="29"/>
  <c r="F74" i="29" s="1"/>
  <c r="E40" i="29"/>
  <c r="F40" i="29" s="1"/>
  <c r="E39" i="29"/>
  <c r="F39" i="29" s="1"/>
  <c r="E38" i="29"/>
  <c r="F38" i="29" s="1"/>
  <c r="E36" i="29"/>
  <c r="F36" i="29" s="1"/>
  <c r="E35" i="29"/>
  <c r="F35" i="29" s="1"/>
  <c r="E34" i="29"/>
  <c r="F34" i="29" s="1"/>
  <c r="E33" i="29"/>
  <c r="F33" i="29" s="1"/>
  <c r="E32" i="29"/>
  <c r="F32" i="29" s="1"/>
  <c r="E31" i="29"/>
  <c r="F31" i="29" s="1"/>
  <c r="E30" i="29"/>
  <c r="F30" i="29" s="1"/>
  <c r="E29" i="29"/>
  <c r="F29" i="29" s="1"/>
  <c r="E28" i="29"/>
  <c r="F28" i="29" s="1"/>
  <c r="E27" i="29"/>
  <c r="F27" i="29" s="1"/>
  <c r="E26" i="29"/>
  <c r="F26" i="29" s="1"/>
  <c r="E25" i="29"/>
  <c r="F25" i="29" s="1"/>
  <c r="E24" i="29"/>
  <c r="F24" i="29" s="1"/>
  <c r="E23" i="29"/>
  <c r="F23" i="29" s="1"/>
  <c r="E22" i="29"/>
  <c r="F22" i="29" s="1"/>
  <c r="E21" i="29"/>
  <c r="F21" i="29" s="1"/>
  <c r="E20" i="29"/>
  <c r="F20" i="29" s="1"/>
  <c r="E19" i="29"/>
  <c r="F19" i="29" s="1"/>
  <c r="E18" i="29"/>
  <c r="F18" i="29" s="1"/>
  <c r="E16" i="29"/>
  <c r="F16" i="29" s="1"/>
  <c r="E15" i="29"/>
  <c r="F15" i="29" s="1"/>
  <c r="E14" i="29"/>
  <c r="F14" i="29" s="1"/>
  <c r="E12" i="29"/>
  <c r="F12" i="29" s="1"/>
  <c r="E11" i="29"/>
  <c r="F11" i="29" s="1"/>
  <c r="E10" i="29"/>
  <c r="F10" i="29" s="1"/>
  <c r="E9" i="29"/>
  <c r="F9" i="29" s="1"/>
  <c r="E8" i="29"/>
  <c r="F8" i="29" s="1"/>
  <c r="E124" i="29"/>
  <c r="F124" i="29" s="1"/>
  <c r="E119" i="29"/>
  <c r="F119" i="29" s="1"/>
  <c r="E113" i="29"/>
  <c r="F113" i="29" s="1"/>
  <c r="E100" i="29"/>
  <c r="F100" i="29" s="1"/>
  <c r="E99" i="29"/>
  <c r="F99" i="29" s="1"/>
  <c r="E97" i="29"/>
  <c r="F97" i="29" s="1"/>
  <c r="E95" i="29"/>
  <c r="F95" i="29" s="1"/>
  <c r="E6" i="29"/>
  <c r="F6" i="29" s="1"/>
  <c r="E5" i="29"/>
  <c r="F5" i="29" s="1"/>
  <c r="E4" i="29"/>
  <c r="F4" i="29" s="1"/>
  <c r="E3" i="29"/>
  <c r="F3" i="29" s="1"/>
  <c r="H2" i="29"/>
  <c r="D138" i="29"/>
  <c r="E137" i="29"/>
  <c r="F137" i="29" s="1"/>
  <c r="E136" i="29"/>
  <c r="F136" i="29" s="1"/>
  <c r="E135" i="29"/>
  <c r="F135" i="29" s="1"/>
  <c r="E133" i="29"/>
  <c r="F133" i="29" s="1"/>
  <c r="E121" i="29"/>
  <c r="F121" i="29" s="1"/>
  <c r="E120" i="29"/>
  <c r="F120" i="29" s="1"/>
  <c r="E115" i="29"/>
  <c r="F115" i="29" s="1"/>
  <c r="E114" i="29"/>
  <c r="F114" i="29" s="1"/>
  <c r="E111" i="29"/>
  <c r="F111" i="29" s="1"/>
  <c r="E110" i="29"/>
  <c r="F110" i="29" s="1"/>
  <c r="E109" i="29"/>
  <c r="F109" i="29" s="1"/>
  <c r="E103" i="29"/>
  <c r="F103" i="29" s="1"/>
  <c r="E102" i="29"/>
  <c r="F102" i="29" s="1"/>
  <c r="E98" i="29"/>
  <c r="F98" i="29" s="1"/>
  <c r="E88" i="29"/>
  <c r="F88" i="29" s="1"/>
  <c r="E87" i="29"/>
  <c r="F87" i="29" s="1"/>
  <c r="E86" i="29"/>
  <c r="F86" i="29" s="1"/>
  <c r="E83" i="29"/>
  <c r="F83" i="29" s="1"/>
  <c r="E81" i="29"/>
  <c r="F81" i="29" s="1"/>
  <c r="E80" i="29"/>
  <c r="F80" i="29" s="1"/>
  <c r="E78" i="29"/>
  <c r="F78" i="29" s="1"/>
  <c r="E15" i="26"/>
  <c r="F15" i="26" s="1"/>
  <c r="E16" i="26"/>
  <c r="F16" i="26" s="1"/>
  <c r="E18" i="26"/>
  <c r="F18" i="26" s="1"/>
  <c r="E19" i="26"/>
  <c r="F19" i="26" s="1"/>
  <c r="E20" i="26"/>
  <c r="F20" i="26" s="1"/>
  <c r="E22" i="26"/>
  <c r="F22" i="26" s="1"/>
  <c r="E23" i="26"/>
  <c r="F23" i="26" s="1"/>
  <c r="E24" i="26"/>
  <c r="F24" i="26" s="1"/>
  <c r="E25" i="26"/>
  <c r="F25" i="26" s="1"/>
  <c r="E27" i="26"/>
  <c r="F27" i="26" s="1"/>
  <c r="E28" i="26"/>
  <c r="F28" i="26" s="1"/>
  <c r="E29" i="26"/>
  <c r="F29" i="26" s="1"/>
  <c r="E30" i="26"/>
  <c r="F30" i="26" s="1"/>
  <c r="D138" i="26"/>
  <c r="E2" i="26"/>
  <c r="E138" i="26" l="1"/>
  <c r="F112" i="29"/>
  <c r="F7" i="29"/>
  <c r="F107" i="29"/>
  <c r="F2" i="30"/>
  <c r="F138" i="30" s="1"/>
  <c r="E138" i="30"/>
  <c r="F2" i="29"/>
  <c r="E138" i="29"/>
  <c r="F2" i="26"/>
  <c r="F138" i="26" s="1"/>
  <c r="F138" i="29" l="1"/>
</calcChain>
</file>

<file path=xl/sharedStrings.xml><?xml version="1.0" encoding="utf-8"?>
<sst xmlns="http://schemas.openxmlformats.org/spreadsheetml/2006/main" count="979" uniqueCount="283">
  <si>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</si>
  <si>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</si>
  <si>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</si>
  <si>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</si>
  <si>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</si>
  <si>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</si>
  <si>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</si>
  <si>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</si>
  <si>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</si>
  <si>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</si>
  <si>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</si>
  <si>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</si>
  <si>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</si>
  <si>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</si>
  <si>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</si>
  <si>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</si>
  <si>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</si>
  <si>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</si>
  <si>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</si>
  <si>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</si>
  <si>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</si>
  <si>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</si>
  <si>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</si>
  <si>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</si>
  <si>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</si>
  <si>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</si>
  <si>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</si>
  <si>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</si>
  <si>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</si>
  <si>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</si>
  <si>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</si>
  <si>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</si>
  <si>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</si>
  <si>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</si>
  <si>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</si>
  <si>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</si>
  <si>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</si>
  <si>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</si>
  <si>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</si>
  <si>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</si>
  <si>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</si>
  <si>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</si>
  <si>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</si>
  <si>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</si>
  <si>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</si>
  <si>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</si>
  <si>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</si>
  <si>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</si>
  <si>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</si>
  <si>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</si>
  <si>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</si>
  <si>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</si>
  <si>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</si>
  <si>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</si>
  <si>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</si>
  <si>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</si>
  <si>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</si>
  <si>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</si>
  <si>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</si>
  <si>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</si>
  <si>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</si>
  <si>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</si>
  <si>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</si>
  <si>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</si>
  <si>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</si>
  <si>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</si>
  <si>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</si>
  <si>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</si>
  <si>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</si>
  <si>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</si>
  <si>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</si>
  <si>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</si>
  <si>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</si>
  <si>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</si>
  <si>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</si>
  <si>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</si>
  <si>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</si>
  <si>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</si>
  <si>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</si>
  <si>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</si>
  <si>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</si>
  <si>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</si>
  <si>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</si>
  <si>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</si>
  <si>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</si>
  <si>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</si>
  <si>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</si>
  <si>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</si>
  <si>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</si>
  <si>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</si>
  <si>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</si>
  <si>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</si>
  <si>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</si>
  <si>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</si>
  <si>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</si>
  <si>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</si>
  <si>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</si>
  <si>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</si>
  <si>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</si>
  <si>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</si>
  <si>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</si>
  <si>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</si>
  <si>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</si>
  <si>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</si>
  <si>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</si>
  <si>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</si>
  <si>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</si>
  <si>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</si>
  <si>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</si>
  <si>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</si>
  <si>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</si>
  <si>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</si>
  <si>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</si>
  <si>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</si>
  <si>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</si>
  <si>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</si>
  <si>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</si>
  <si>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</si>
  <si>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</si>
  <si>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</si>
  <si>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</si>
  <si>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</si>
  <si>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</si>
  <si>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</si>
  <si>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</si>
  <si>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</si>
  <si>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</si>
  <si>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</si>
  <si>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</si>
  <si>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</si>
  <si>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</si>
  <si>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</si>
  <si>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</si>
  <si>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</si>
  <si>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</si>
  <si>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</si>
  <si>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</si>
  <si>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</si>
  <si>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</si>
  <si>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</si>
  <si>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</si>
  <si>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</si>
  <si>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</si>
  <si>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Sterimol_L1g_1_L</t>
  </si>
  <si>
    <t>Sterimol_L1g_1_B1</t>
  </si>
  <si>
    <t>Sterimol_L1g_1_B5</t>
  </si>
  <si>
    <t>Sterimol_L1g_2_L</t>
  </si>
  <si>
    <t>Sterimol_L1g_2_B1</t>
  </si>
  <si>
    <t>Sterimol_L1g_2_B5</t>
  </si>
  <si>
    <t>Sterimol_L4g_1_L</t>
  </si>
  <si>
    <t>Sterimol_L4g_1_B1</t>
  </si>
  <si>
    <t>Sterimol_L4g_1_B5</t>
  </si>
  <si>
    <t>Sterimol_L4g_2_L</t>
  </si>
  <si>
    <t>Sterimol_L4g_2_B1</t>
  </si>
  <si>
    <t>Sterimol_L4g_2_B5</t>
  </si>
  <si>
    <t>Sterimol_L4g_3_L</t>
  </si>
  <si>
    <t>Sterimol_L4g_3_B1</t>
  </si>
  <si>
    <t>Sterimol_L4g_3_B5</t>
  </si>
  <si>
    <t>Sterimol_L5g_1_L</t>
  </si>
  <si>
    <t>Sterimol_L5g_1_B1</t>
  </si>
  <si>
    <t>Sterimol_L5g_1_B5</t>
  </si>
  <si>
    <t>Sterimol_L5g_2_L</t>
  </si>
  <si>
    <t>Sterimol_L5g_2_B1</t>
  </si>
  <si>
    <t>Sterimol_L5g_2_B5</t>
  </si>
  <si>
    <t>Sterimol_L6g_1_L</t>
  </si>
  <si>
    <t>Sterimol_L6g_1_B1</t>
  </si>
  <si>
    <t>Sterimol_L6g_1_B5</t>
  </si>
  <si>
    <t>Sterimol_L6g_2_L</t>
  </si>
  <si>
    <t>Sterimol_L6g_2_B1</t>
  </si>
  <si>
    <t>Sterimol_L6g_2_B5</t>
  </si>
  <si>
    <t>Sterimol_L8g_1_L</t>
  </si>
  <si>
    <t>Sterimol_L8g_1_B1</t>
  </si>
  <si>
    <t>Sterimol_L8g_1_B5</t>
  </si>
  <si>
    <t>Sterimol_L8g_2_L</t>
  </si>
  <si>
    <t>Sterimol_L8g_2_B1</t>
  </si>
  <si>
    <t>Sterimol_L8g_2_B5</t>
  </si>
  <si>
    <t>Sterimol_L10g_1_L</t>
  </si>
  <si>
    <t>Sterimol_L10g_1_B1</t>
  </si>
  <si>
    <t>Sterimol_L10g_1_B5</t>
  </si>
  <si>
    <t>Sterimol_L10g_2_L</t>
  </si>
  <si>
    <t>Sterimol_L10g_2_B1</t>
  </si>
  <si>
    <t>Sterimol_L10g_2_B5</t>
  </si>
  <si>
    <t>Sterimol_L19g_1_L</t>
  </si>
  <si>
    <t>Sterimol_L19g_1_B1</t>
  </si>
  <si>
    <t>Sterimol_L19g_1_B5</t>
  </si>
  <si>
    <t>Sterimol_L20g_1_L</t>
  </si>
  <si>
    <t>Sterimol_L20g_1_B1</t>
  </si>
  <si>
    <t>Sterimol_L20g_1_B5</t>
  </si>
  <si>
    <t>Sterimol_L20g_2_L</t>
  </si>
  <si>
    <t>Sterimol_L20g_2_B1</t>
  </si>
  <si>
    <t>Sterimol_L20g_2_B5</t>
  </si>
  <si>
    <t>Sterimol_L23g_1_L</t>
  </si>
  <si>
    <t>Sterimol_L23g_1_B1</t>
  </si>
  <si>
    <t>Sterimol_L23g_1_B5</t>
  </si>
  <si>
    <t>Sterimol_L23g_2_L</t>
  </si>
  <si>
    <t>Sterimol_L23g_2_B1</t>
  </si>
  <si>
    <t>Sterimol_L23g_2_B5</t>
  </si>
  <si>
    <t>Sterimol_L24g_1_L</t>
  </si>
  <si>
    <t>Sterimol_L24g_1_B1</t>
  </si>
  <si>
    <t>Sterimol_L24g_1_B5</t>
  </si>
  <si>
    <t>Sterimol_L24g_2_L</t>
  </si>
  <si>
    <t>Sterimol_L24g_2_B1</t>
  </si>
  <si>
    <t>Sterimol_L24g_2_B5</t>
  </si>
  <si>
    <t>Sterimol_L27g_1_L</t>
  </si>
  <si>
    <t>Sterimol_L27g_1_B1</t>
  </si>
  <si>
    <t>Sterimol_L27g_1_B5</t>
  </si>
  <si>
    <t>Sterimol_L27g_2_L</t>
  </si>
  <si>
    <t>Sterimol_L27g_2_B1</t>
  </si>
  <si>
    <t>Sterimol_L27g_2_B5</t>
  </si>
  <si>
    <t>Sterimol_L33_1_L</t>
  </si>
  <si>
    <t>Sterimol_L33_1_B1</t>
  </si>
  <si>
    <t>Sterimol_L33_1_B5</t>
  </si>
  <si>
    <t>Sterimol_L33_2_L</t>
  </si>
  <si>
    <t>Sterimol_L33_2_B1</t>
  </si>
  <si>
    <t>Sterimol_L33_2_B5</t>
  </si>
  <si>
    <t>Sterimol_L34g_1_L</t>
  </si>
  <si>
    <t>Sterimol_L34g_1_B1</t>
  </si>
  <si>
    <t>Sterimol_L34g_1_B5</t>
  </si>
  <si>
    <t>Sterimol_L34g_2_L</t>
  </si>
  <si>
    <t>Sterimol_L34g_2_B1</t>
  </si>
  <si>
    <t>Sterimol_L34g_2_B5</t>
  </si>
  <si>
    <t>Sterimol_L35g_1_L</t>
  </si>
  <si>
    <t>Sterimol_L35g_1_B1</t>
  </si>
  <si>
    <t>Sterimol_L35g_1_B5</t>
  </si>
  <si>
    <t>Sterimol_L35g_2_L</t>
  </si>
  <si>
    <t>Sterimol_L35g_2_B1</t>
  </si>
  <si>
    <t>Sterimol_L35g_2_B5</t>
  </si>
  <si>
    <t>Sterimol_L39g_1_L</t>
  </si>
  <si>
    <t>Sterimol_L39g_1_B1</t>
  </si>
  <si>
    <t>Sterimol_L39g_1_B5</t>
  </si>
  <si>
    <t>Sterimol_L39g_2_L</t>
  </si>
  <si>
    <t>Sterimol_L39g_2_B1</t>
  </si>
  <si>
    <t>Sterimol_L39g_2_B5</t>
  </si>
  <si>
    <t>Sterimol_L43g_1_L</t>
  </si>
  <si>
    <t>Sterimol_L43g_1_B1</t>
  </si>
  <si>
    <t>Sterimol_L43g_1_B5</t>
  </si>
  <si>
    <t>Sterimol_L43g_2_L</t>
  </si>
  <si>
    <t>Sterimol_L43g_2_B1</t>
  </si>
  <si>
    <t>Sterimol_L43g_2_B5</t>
  </si>
  <si>
    <t>Sterimol_L50g_1_L</t>
  </si>
  <si>
    <t>Sterimol_L50g_1_B1</t>
  </si>
  <si>
    <t>Sterimol_L50g_1_B5</t>
  </si>
  <si>
    <t>Sterimol_L50g_2_L</t>
  </si>
  <si>
    <t>Sterimol_L50g_2_B1</t>
  </si>
  <si>
    <t>Sterimol_L50g_2_B5</t>
  </si>
  <si>
    <t>Sterimol_L58g_1_L</t>
  </si>
  <si>
    <t>Sterimol_L58g_1_B1</t>
  </si>
  <si>
    <t>Sterimol_L58g_1_B5</t>
  </si>
  <si>
    <t>Sterimol_L58g_2_L</t>
  </si>
  <si>
    <t>Sterimol_L58g_2_B1</t>
  </si>
  <si>
    <t>Sterimol_L58g_2_B5</t>
  </si>
  <si>
    <t>Sterimol_L59g_1_L</t>
  </si>
  <si>
    <t>Sterimol_L59g_1_B1</t>
  </si>
  <si>
    <t>Sterimol_L59g_1_B5</t>
  </si>
  <si>
    <t>Sterimol_L59g_2_L</t>
  </si>
  <si>
    <t>Sterimol_L59g_2_B1</t>
  </si>
  <si>
    <t>Sterimol_L59g_2_B5</t>
  </si>
  <si>
    <t>Sterimol_L61g_1_L</t>
  </si>
  <si>
    <t>Sterimol_L61g_1_B1</t>
  </si>
  <si>
    <t>Sterimol_L61g_1_B5</t>
  </si>
  <si>
    <t>Sterimol_L61g_2_L</t>
  </si>
  <si>
    <t>Sterimol_L61g_2_B1</t>
  </si>
  <si>
    <t>Sterimol_L61g_2_B5</t>
  </si>
  <si>
    <t>Sterimol_L63g_1_L</t>
  </si>
  <si>
    <t>Sterimol_L63g_1_B1</t>
  </si>
  <si>
    <t>Sterimol_L63g_1_B5</t>
  </si>
  <si>
    <t>Sterimol_L63g_2_L</t>
  </si>
  <si>
    <t>Sterimol_L63g_2_B1</t>
  </si>
  <si>
    <t>Sterimol_L63g_2_B5</t>
  </si>
  <si>
    <t>Sterimol_L68g_1_L</t>
  </si>
  <si>
    <t>Sterimol_L68g_1_B1</t>
  </si>
  <si>
    <t>Sterimol_L68g_1_B5</t>
  </si>
  <si>
    <t>Sterimol_L68g_2_L</t>
  </si>
  <si>
    <t>Sterimol_L68g_2_B1</t>
  </si>
  <si>
    <t>Sterimol_L68g_2_B5</t>
  </si>
  <si>
    <t>Sterimol_Diazo_carbon_L</t>
  </si>
  <si>
    <t>Sterimol_Diazo_carbon_B1</t>
  </si>
  <si>
    <t>Sterimol_Diazo_carbon_B5</t>
  </si>
  <si>
    <t>xTB_Sterimol_Diazo_carbon_L</t>
  </si>
  <si>
    <t>DFT_Sterimol_Diazo_carbon_L</t>
  </si>
  <si>
    <t>xTB_Sterimol_Diazo_carbon_B1</t>
  </si>
  <si>
    <t>DFT_Sterimol_Diazo_carbon_B1</t>
  </si>
  <si>
    <t>perfect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</si>
</sst>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L</a:t>
            </a:r>
          </a:p>
        </c:rich>
      </c:tx>
      <c:layout>
        <c:manualLayout>
          <c:xMode val="edge"/>
          <c:yMode val="edge"/>
          <c:x val="0.4912260461013062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74000500764553"/>
                  <c:y val="-0.1552314814814814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i="0" u="none" strike="noStrike" baseline="0">
                        <a:effectLst/>
                      </a:rPr>
                      <a:t>L</a:t>
                    </a:r>
                    <a:r>
                      <a:rPr lang="en-US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0.90L</a:t>
                    </a:r>
                    <a:r>
                      <a:rPr lang="en-US" sz="1000" b="1" baseline="-25000"/>
                      <a:t>xTB</a:t>
                    </a:r>
                    <a:r>
                      <a:rPr lang="en-US" sz="1000" b="1" baseline="0"/>
                      <a:t> + 1.1878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0.39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0.56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Sterimol diazo L'!$B$2:$B$137</c:f>
              <c:numCache>
                <c:formatCode>General</c:formatCode>
                <c:ptCount val="136"/>
                <c:pt idx="0">
                  <c:v>8.7312808420000003</c:v>
                </c:pt>
                <c:pt idx="1">
                  <c:v>8.5349775389999998</c:v>
                </c:pt>
                <c:pt idx="2">
                  <c:v>7.3600284919999996</c:v>
                </c:pt>
                <c:pt idx="3">
                  <c:v>8.5666370920000006</c:v>
                </c:pt>
                <c:pt idx="4">
                  <c:v>9.9594856479999994</c:v>
                </c:pt>
                <c:pt idx="5">
                  <c:v>8.6383033569999998</c:v>
                </c:pt>
                <c:pt idx="6">
                  <c:v>10.374801570000001</c:v>
                </c:pt>
                <c:pt idx="7">
                  <c:v>9.9897706999999993</c:v>
                </c:pt>
                <c:pt idx="8">
                  <c:v>9.6354378740000008</c:v>
                </c:pt>
                <c:pt idx="9">
                  <c:v>10.513373169999999</c:v>
                </c:pt>
                <c:pt idx="10">
                  <c:v>10.486241420000001</c:v>
                </c:pt>
                <c:pt idx="11">
                  <c:v>8.9241304140000004</c:v>
                </c:pt>
                <c:pt idx="12">
                  <c:v>10.545820730000001</c:v>
                </c:pt>
                <c:pt idx="13">
                  <c:v>7.8082933079999997</c:v>
                </c:pt>
                <c:pt idx="14">
                  <c:v>10.49370203</c:v>
                </c:pt>
                <c:pt idx="15">
                  <c:v>9.0616614729999991</c:v>
                </c:pt>
                <c:pt idx="16">
                  <c:v>8.6020828510000005</c:v>
                </c:pt>
                <c:pt idx="17">
                  <c:v>10.31033293</c:v>
                </c:pt>
                <c:pt idx="18">
                  <c:v>10.94178739</c:v>
                </c:pt>
                <c:pt idx="19">
                  <c:v>10.48045187</c:v>
                </c:pt>
                <c:pt idx="20">
                  <c:v>9.1252669599999994</c:v>
                </c:pt>
                <c:pt idx="21">
                  <c:v>10.63877675</c:v>
                </c:pt>
                <c:pt idx="22">
                  <c:v>10.141572419999999</c:v>
                </c:pt>
                <c:pt idx="23">
                  <c:v>11.594911420000001</c:v>
                </c:pt>
                <c:pt idx="24">
                  <c:v>11.31619368</c:v>
                </c:pt>
                <c:pt idx="25">
                  <c:v>14.214410060000001</c:v>
                </c:pt>
                <c:pt idx="26">
                  <c:v>13.830742770000001</c:v>
                </c:pt>
                <c:pt idx="27">
                  <c:v>14.8456382</c:v>
                </c:pt>
                <c:pt idx="28">
                  <c:v>14.339453750000001</c:v>
                </c:pt>
                <c:pt idx="29">
                  <c:v>11.83910828</c:v>
                </c:pt>
                <c:pt idx="30">
                  <c:v>14.8843754</c:v>
                </c:pt>
                <c:pt idx="31">
                  <c:v>11.689432630000001</c:v>
                </c:pt>
                <c:pt idx="32">
                  <c:v>11.39035743</c:v>
                </c:pt>
                <c:pt idx="33">
                  <c:v>10.836888119999999</c:v>
                </c:pt>
                <c:pt idx="34">
                  <c:v>11.169990970000001</c:v>
                </c:pt>
                <c:pt idx="35">
                  <c:v>7.7249528789999999</c:v>
                </c:pt>
                <c:pt idx="36">
                  <c:v>10.817331149999999</c:v>
                </c:pt>
                <c:pt idx="37">
                  <c:v>11.35566972</c:v>
                </c:pt>
                <c:pt idx="38">
                  <c:v>9.5701185839999994</c:v>
                </c:pt>
                <c:pt idx="39">
                  <c:v>9.4760960920000006</c:v>
                </c:pt>
                <c:pt idx="40">
                  <c:v>15.245046670000001</c:v>
                </c:pt>
                <c:pt idx="41">
                  <c:v>10.25905595</c:v>
                </c:pt>
                <c:pt idx="42">
                  <c:v>10.008678310000001</c:v>
                </c:pt>
                <c:pt idx="43">
                  <c:v>10.06332903</c:v>
                </c:pt>
                <c:pt idx="44">
                  <c:v>11.281814349999999</c:v>
                </c:pt>
                <c:pt idx="45">
                  <c:v>10.917547219999999</c:v>
                </c:pt>
                <c:pt idx="46">
                  <c:v>11.11601945</c:v>
                </c:pt>
                <c:pt idx="47">
                  <c:v>11.39148103</c:v>
                </c:pt>
                <c:pt idx="48">
                  <c:v>11.29322007</c:v>
                </c:pt>
                <c:pt idx="49">
                  <c:v>11.42555177</c:v>
                </c:pt>
                <c:pt idx="50">
                  <c:v>11.65499157</c:v>
                </c:pt>
                <c:pt idx="51">
                  <c:v>11.02732685</c:v>
                </c:pt>
                <c:pt idx="52">
                  <c:v>12.48864968</c:v>
                </c:pt>
                <c:pt idx="53">
                  <c:v>11.14712177</c:v>
                </c:pt>
                <c:pt idx="54">
                  <c:v>11.18445889</c:v>
                </c:pt>
                <c:pt idx="55">
                  <c:v>10.882942610000001</c:v>
                </c:pt>
                <c:pt idx="56">
                  <c:v>12.15883324</c:v>
                </c:pt>
                <c:pt idx="57">
                  <c:v>14.60922424</c:v>
                </c:pt>
                <c:pt idx="58">
                  <c:v>9.5603919929999996</c:v>
                </c:pt>
                <c:pt idx="59">
                  <c:v>9.7165541609999995</c:v>
                </c:pt>
                <c:pt idx="60">
                  <c:v>9.7815708259999994</c:v>
                </c:pt>
                <c:pt idx="61">
                  <c:v>9.8495405030000001</c:v>
                </c:pt>
                <c:pt idx="62">
                  <c:v>11.8487882</c:v>
                </c:pt>
                <c:pt idx="63">
                  <c:v>7.5681300460000003</c:v>
                </c:pt>
                <c:pt idx="64">
                  <c:v>8.7169672679999994</c:v>
                </c:pt>
                <c:pt idx="65">
                  <c:v>9.5549290550000006</c:v>
                </c:pt>
                <c:pt idx="66">
                  <c:v>11.81861866</c:v>
                </c:pt>
                <c:pt idx="67">
                  <c:v>11.77393597</c:v>
                </c:pt>
                <c:pt idx="68">
                  <c:v>11.906194060000001</c:v>
                </c:pt>
                <c:pt idx="69">
                  <c:v>14.40081313</c:v>
                </c:pt>
                <c:pt idx="70">
                  <c:v>8.6923597790000002</c:v>
                </c:pt>
                <c:pt idx="71">
                  <c:v>7.6142357479999996</c:v>
                </c:pt>
                <c:pt idx="72">
                  <c:v>9.8968779330000007</c:v>
                </c:pt>
                <c:pt idx="73">
                  <c:v>12.05156641</c:v>
                </c:pt>
                <c:pt idx="74">
                  <c:v>10.075203009999999</c:v>
                </c:pt>
                <c:pt idx="75">
                  <c:v>10.734209</c:v>
                </c:pt>
                <c:pt idx="76">
                  <c:v>9.5687336149999993</c:v>
                </c:pt>
                <c:pt idx="77">
                  <c:v>10.59138098</c:v>
                </c:pt>
                <c:pt idx="78">
                  <c:v>9.6122680999999996</c:v>
                </c:pt>
                <c:pt idx="79">
                  <c:v>9.2224230360000004</c:v>
                </c:pt>
                <c:pt idx="80">
                  <c:v>10.32359656</c:v>
                </c:pt>
                <c:pt idx="81">
                  <c:v>10.49054604</c:v>
                </c:pt>
                <c:pt idx="82">
                  <c:v>8.9467944970000008</c:v>
                </c:pt>
                <c:pt idx="83">
                  <c:v>9.3323874989999993</c:v>
                </c:pt>
                <c:pt idx="84">
                  <c:v>10.29238784</c:v>
                </c:pt>
                <c:pt idx="85">
                  <c:v>11.88221566</c:v>
                </c:pt>
                <c:pt idx="86">
                  <c:v>9.9154979480000005</c:v>
                </c:pt>
                <c:pt idx="87">
                  <c:v>10.87083331</c:v>
                </c:pt>
                <c:pt idx="88">
                  <c:v>10.17747331</c:v>
                </c:pt>
                <c:pt idx="89">
                  <c:v>10.78403698</c:v>
                </c:pt>
                <c:pt idx="90">
                  <c:v>11.31888395</c:v>
                </c:pt>
                <c:pt idx="91">
                  <c:v>13.80962012</c:v>
                </c:pt>
                <c:pt idx="92">
                  <c:v>13.501471710000001</c:v>
                </c:pt>
                <c:pt idx="93">
                  <c:v>14.4565912</c:v>
                </c:pt>
                <c:pt idx="94">
                  <c:v>16.970617180000001</c:v>
                </c:pt>
                <c:pt idx="95">
                  <c:v>14.31899774</c:v>
                </c:pt>
                <c:pt idx="96">
                  <c:v>14.44552661</c:v>
                </c:pt>
                <c:pt idx="97">
                  <c:v>11.144486840000001</c:v>
                </c:pt>
                <c:pt idx="98">
                  <c:v>11.19447791</c:v>
                </c:pt>
                <c:pt idx="99">
                  <c:v>10.85029857</c:v>
                </c:pt>
                <c:pt idx="100">
                  <c:v>10.902365120000001</c:v>
                </c:pt>
                <c:pt idx="101">
                  <c:v>10.291123779999999</c:v>
                </c:pt>
                <c:pt idx="102">
                  <c:v>11.702778690000001</c:v>
                </c:pt>
                <c:pt idx="103">
                  <c:v>9.5592503799999999</c:v>
                </c:pt>
                <c:pt idx="104">
                  <c:v>9.4997240460000008</c:v>
                </c:pt>
                <c:pt idx="105">
                  <c:v>15.277976880000001</c:v>
                </c:pt>
                <c:pt idx="106">
                  <c:v>10.08763774</c:v>
                </c:pt>
                <c:pt idx="107">
                  <c:v>9.9767216380000008</c:v>
                </c:pt>
                <c:pt idx="108">
                  <c:v>9.3606717160000006</c:v>
                </c:pt>
                <c:pt idx="109">
                  <c:v>11.745093969999999</c:v>
                </c:pt>
                <c:pt idx="110">
                  <c:v>10.235797760000001</c:v>
                </c:pt>
                <c:pt idx="111">
                  <c:v>10.75783474</c:v>
                </c:pt>
                <c:pt idx="112">
                  <c:v>11.597635110000001</c:v>
                </c:pt>
                <c:pt idx="113">
                  <c:v>11.34213373</c:v>
                </c:pt>
                <c:pt idx="114">
                  <c:v>11.13026226</c:v>
                </c:pt>
                <c:pt idx="115">
                  <c:v>11.027919089999999</c:v>
                </c:pt>
                <c:pt idx="116">
                  <c:v>11.539940420000001</c:v>
                </c:pt>
                <c:pt idx="117">
                  <c:v>11.46003645</c:v>
                </c:pt>
                <c:pt idx="118">
                  <c:v>12.60720049</c:v>
                </c:pt>
                <c:pt idx="119">
                  <c:v>11.29615287</c:v>
                </c:pt>
                <c:pt idx="120">
                  <c:v>11.60373901</c:v>
                </c:pt>
                <c:pt idx="121">
                  <c:v>10.546326179999999</c:v>
                </c:pt>
                <c:pt idx="122">
                  <c:v>11.388413659999999</c:v>
                </c:pt>
                <c:pt idx="123">
                  <c:v>9.2662518259999995</c:v>
                </c:pt>
                <c:pt idx="124">
                  <c:v>11.087545029999999</c:v>
                </c:pt>
                <c:pt idx="125">
                  <c:v>9.8985363159999995</c:v>
                </c:pt>
                <c:pt idx="126">
                  <c:v>9.4921846750000007</c:v>
                </c:pt>
                <c:pt idx="127">
                  <c:v>11.43484773</c:v>
                </c:pt>
                <c:pt idx="128">
                  <c:v>7.5813795370000001</c:v>
                </c:pt>
                <c:pt idx="129">
                  <c:v>8.7086628590000004</c:v>
                </c:pt>
                <c:pt idx="130">
                  <c:v>11.08962537</c:v>
                </c:pt>
                <c:pt idx="131">
                  <c:v>9.7583233079999996</c:v>
                </c:pt>
                <c:pt idx="132">
                  <c:v>9.596367785</c:v>
                </c:pt>
                <c:pt idx="133">
                  <c:v>10.99572014</c:v>
                </c:pt>
                <c:pt idx="134">
                  <c:v>14.28800719</c:v>
                </c:pt>
                <c:pt idx="135">
                  <c:v>14.09125905</c:v>
                </c:pt>
              </c:numCache>
            </c:numRef>
          </c:xVal>
          <c:yVal>
            <c:numRef>
              <c:f>'xTB vs DFT Sterimol diazo L'!$C$2:$C$137</c:f>
              <c:numCache>
                <c:formatCode>General</c:formatCode>
                <c:ptCount val="136"/>
                <c:pt idx="0">
                  <c:v>8.4744469680000005</c:v>
                </c:pt>
                <c:pt idx="1">
                  <c:v>8.5618248779999995</c:v>
                </c:pt>
                <c:pt idx="2">
                  <c:v>7.7508998020000002</c:v>
                </c:pt>
                <c:pt idx="3">
                  <c:v>8.5473860459999997</c:v>
                </c:pt>
                <c:pt idx="4">
                  <c:v>9.8277461949999996</c:v>
                </c:pt>
                <c:pt idx="5">
                  <c:v>9.1209127970000008</c:v>
                </c:pt>
                <c:pt idx="6">
                  <c:v>9.9628025430000005</c:v>
                </c:pt>
                <c:pt idx="7">
                  <c:v>10.63001961</c:v>
                </c:pt>
                <c:pt idx="8">
                  <c:v>9.736683824</c:v>
                </c:pt>
                <c:pt idx="9">
                  <c:v>10.652204380000001</c:v>
                </c:pt>
                <c:pt idx="10">
                  <c:v>10.646189919999999</c:v>
                </c:pt>
                <c:pt idx="11">
                  <c:v>9.6420467639999998</c:v>
                </c:pt>
                <c:pt idx="12">
                  <c:v>10.71941189</c:v>
                </c:pt>
                <c:pt idx="13">
                  <c:v>8.0873978990000008</c:v>
                </c:pt>
                <c:pt idx="14">
                  <c:v>10.60740084</c:v>
                </c:pt>
                <c:pt idx="15">
                  <c:v>8.5536215000000002</c:v>
                </c:pt>
                <c:pt idx="16">
                  <c:v>8.5147383330000004</c:v>
                </c:pt>
                <c:pt idx="17">
                  <c:v>10.315359819999999</c:v>
                </c:pt>
                <c:pt idx="18">
                  <c:v>11.751924669999999</c:v>
                </c:pt>
                <c:pt idx="19">
                  <c:v>11.43732649</c:v>
                </c:pt>
                <c:pt idx="20">
                  <c:v>9.8977748689999991</c:v>
                </c:pt>
                <c:pt idx="21">
                  <c:v>10.887509680000001</c:v>
                </c:pt>
                <c:pt idx="22">
                  <c:v>11.42846314</c:v>
                </c:pt>
                <c:pt idx="23">
                  <c:v>11.506507089999999</c:v>
                </c:pt>
                <c:pt idx="24">
                  <c:v>11.680626630000001</c:v>
                </c:pt>
                <c:pt idx="25">
                  <c:v>14.77827518</c:v>
                </c:pt>
                <c:pt idx="26">
                  <c:v>13.836159329999999</c:v>
                </c:pt>
                <c:pt idx="27">
                  <c:v>13.35722822</c:v>
                </c:pt>
                <c:pt idx="28">
                  <c:v>14.68490944</c:v>
                </c:pt>
                <c:pt idx="29">
                  <c:v>12.71846543</c:v>
                </c:pt>
                <c:pt idx="30">
                  <c:v>13.92199639</c:v>
                </c:pt>
                <c:pt idx="31">
                  <c:v>10.247040289999999</c:v>
                </c:pt>
                <c:pt idx="32">
                  <c:v>11.40570372</c:v>
                </c:pt>
                <c:pt idx="33">
                  <c:v>11.33195093</c:v>
                </c:pt>
                <c:pt idx="34">
                  <c:v>11.44194501</c:v>
                </c:pt>
                <c:pt idx="35">
                  <c:v>9.3202265059999991</c:v>
                </c:pt>
                <c:pt idx="36">
                  <c:v>10.610127289999999</c:v>
                </c:pt>
                <c:pt idx="37">
                  <c:v>11.577231619999999</c:v>
                </c:pt>
                <c:pt idx="38">
                  <c:v>9.6489159709999992</c:v>
                </c:pt>
                <c:pt idx="39">
                  <c:v>9.5350515690000002</c:v>
                </c:pt>
                <c:pt idx="40">
                  <c:v>14.099188099999999</c:v>
                </c:pt>
                <c:pt idx="41">
                  <c:v>10.48391876</c:v>
                </c:pt>
                <c:pt idx="42">
                  <c:v>10.19519232</c:v>
                </c:pt>
                <c:pt idx="43">
                  <c:v>9.6142576940000009</c:v>
                </c:pt>
                <c:pt idx="44">
                  <c:v>12.05152316</c:v>
                </c:pt>
                <c:pt idx="45">
                  <c:v>10.7587998</c:v>
                </c:pt>
                <c:pt idx="46">
                  <c:v>11.3388442</c:v>
                </c:pt>
                <c:pt idx="47">
                  <c:v>11.4750625</c:v>
                </c:pt>
                <c:pt idx="48">
                  <c:v>11.27857478</c:v>
                </c:pt>
                <c:pt idx="49">
                  <c:v>11.487318650000001</c:v>
                </c:pt>
                <c:pt idx="50">
                  <c:v>11.266703659999999</c:v>
                </c:pt>
                <c:pt idx="51">
                  <c:v>11.281085900000001</c:v>
                </c:pt>
                <c:pt idx="52">
                  <c:v>12.41565106</c:v>
                </c:pt>
                <c:pt idx="53">
                  <c:v>10.669941229999999</c:v>
                </c:pt>
                <c:pt idx="54">
                  <c:v>11.15332699</c:v>
                </c:pt>
                <c:pt idx="55">
                  <c:v>10.05505151</c:v>
                </c:pt>
                <c:pt idx="56">
                  <c:v>12.755419570000001</c:v>
                </c:pt>
                <c:pt idx="57">
                  <c:v>14.33926739</c:v>
                </c:pt>
                <c:pt idx="58">
                  <c:v>9.8239431590000006</c:v>
                </c:pt>
                <c:pt idx="59">
                  <c:v>9.4927368699999999</c:v>
                </c:pt>
                <c:pt idx="60">
                  <c:v>9.7753822550000002</c:v>
                </c:pt>
                <c:pt idx="61">
                  <c:v>10.695246750000001</c:v>
                </c:pt>
                <c:pt idx="62">
                  <c:v>13.167299440000001</c:v>
                </c:pt>
                <c:pt idx="63">
                  <c:v>7.6819101859999996</c:v>
                </c:pt>
                <c:pt idx="64">
                  <c:v>8.5566971919999997</c:v>
                </c:pt>
                <c:pt idx="65">
                  <c:v>9.6631737310000005</c:v>
                </c:pt>
                <c:pt idx="66">
                  <c:v>12.01542676</c:v>
                </c:pt>
                <c:pt idx="67">
                  <c:v>11.940847700000001</c:v>
                </c:pt>
                <c:pt idx="68">
                  <c:v>11.99068136</c:v>
                </c:pt>
                <c:pt idx="69">
                  <c:v>14.381981079999999</c:v>
                </c:pt>
                <c:pt idx="70">
                  <c:v>8.5638287710000007</c:v>
                </c:pt>
                <c:pt idx="71">
                  <c:v>7.6682920230000002</c:v>
                </c:pt>
                <c:pt idx="72">
                  <c:v>9.7258005890000003</c:v>
                </c:pt>
                <c:pt idx="73">
                  <c:v>12.138308930000001</c:v>
                </c:pt>
                <c:pt idx="74">
                  <c:v>10.26962728</c:v>
                </c:pt>
                <c:pt idx="75">
                  <c:v>10.93448521</c:v>
                </c:pt>
                <c:pt idx="76">
                  <c:v>10.39363425</c:v>
                </c:pt>
                <c:pt idx="77">
                  <c:v>10.6827843</c:v>
                </c:pt>
                <c:pt idx="78">
                  <c:v>9.7578279200000004</c:v>
                </c:pt>
                <c:pt idx="79">
                  <c:v>9.642513911</c:v>
                </c:pt>
                <c:pt idx="80">
                  <c:v>10.65996065</c:v>
                </c:pt>
                <c:pt idx="81">
                  <c:v>10.60711219</c:v>
                </c:pt>
                <c:pt idx="82">
                  <c:v>8.6760612469999998</c:v>
                </c:pt>
                <c:pt idx="83">
                  <c:v>9.5752185950000008</c:v>
                </c:pt>
                <c:pt idx="84">
                  <c:v>11.751835939999999</c:v>
                </c:pt>
                <c:pt idx="85">
                  <c:v>12.006280329999999</c:v>
                </c:pt>
                <c:pt idx="86">
                  <c:v>10.59718986</c:v>
                </c:pt>
                <c:pt idx="87">
                  <c:v>9.2571052970000007</c:v>
                </c:pt>
                <c:pt idx="88">
                  <c:v>11.172099559999999</c:v>
                </c:pt>
                <c:pt idx="89">
                  <c:v>11.35456707</c:v>
                </c:pt>
                <c:pt idx="90">
                  <c:v>11.423296089999999</c:v>
                </c:pt>
                <c:pt idx="91">
                  <c:v>13.357025699999999</c:v>
                </c:pt>
                <c:pt idx="92">
                  <c:v>13.30501085</c:v>
                </c:pt>
                <c:pt idx="93">
                  <c:v>13.87155287</c:v>
                </c:pt>
                <c:pt idx="94">
                  <c:v>17.230802879999999</c:v>
                </c:pt>
                <c:pt idx="95">
                  <c:v>13.56357023</c:v>
                </c:pt>
                <c:pt idx="96">
                  <c:v>14.094397750000001</c:v>
                </c:pt>
                <c:pt idx="97">
                  <c:v>11.65996161</c:v>
                </c:pt>
                <c:pt idx="98">
                  <c:v>11.03566004</c:v>
                </c:pt>
                <c:pt idx="99">
                  <c:v>11.525604899999999</c:v>
                </c:pt>
                <c:pt idx="100">
                  <c:v>10.445100610000001</c:v>
                </c:pt>
                <c:pt idx="101">
                  <c:v>8.4351270930000002</c:v>
                </c:pt>
                <c:pt idx="102">
                  <c:v>11.11348491</c:v>
                </c:pt>
                <c:pt idx="103">
                  <c:v>9.5877403969999992</c:v>
                </c:pt>
                <c:pt idx="104">
                  <c:v>9.5372414079999999</c:v>
                </c:pt>
                <c:pt idx="105">
                  <c:v>14.079866640000001</c:v>
                </c:pt>
                <c:pt idx="106">
                  <c:v>10.31811931</c:v>
                </c:pt>
                <c:pt idx="107">
                  <c:v>10.27291041</c:v>
                </c:pt>
                <c:pt idx="108">
                  <c:v>9.8452701339999997</c:v>
                </c:pt>
                <c:pt idx="109">
                  <c:v>11.567584</c:v>
                </c:pt>
                <c:pt idx="110">
                  <c:v>10.006142929999999</c:v>
                </c:pt>
                <c:pt idx="111">
                  <c:v>11.402608669999999</c:v>
                </c:pt>
                <c:pt idx="112">
                  <c:v>11.27269978</c:v>
                </c:pt>
                <c:pt idx="113">
                  <c:v>11.097883400000001</c:v>
                </c:pt>
                <c:pt idx="114">
                  <c:v>11.066173340000001</c:v>
                </c:pt>
                <c:pt idx="115">
                  <c:v>11.06720288</c:v>
                </c:pt>
                <c:pt idx="116">
                  <c:v>11.40078651</c:v>
                </c:pt>
                <c:pt idx="117">
                  <c:v>11.24875724</c:v>
                </c:pt>
                <c:pt idx="118">
                  <c:v>12.432476339999999</c:v>
                </c:pt>
                <c:pt idx="119">
                  <c:v>11.33767226</c:v>
                </c:pt>
                <c:pt idx="120">
                  <c:v>11.40932963</c:v>
                </c:pt>
                <c:pt idx="121">
                  <c:v>10.25822833</c:v>
                </c:pt>
                <c:pt idx="122">
                  <c:v>11.82276924</c:v>
                </c:pt>
                <c:pt idx="123">
                  <c:v>9.8222593669999991</c:v>
                </c:pt>
                <c:pt idx="124">
                  <c:v>11.373493030000001</c:v>
                </c:pt>
                <c:pt idx="125">
                  <c:v>9.9827814010000004</c:v>
                </c:pt>
                <c:pt idx="126">
                  <c:v>9.5242654449999993</c:v>
                </c:pt>
                <c:pt idx="127">
                  <c:v>12.25445996</c:v>
                </c:pt>
                <c:pt idx="128">
                  <c:v>7.6747845149999998</c:v>
                </c:pt>
                <c:pt idx="129">
                  <c:v>8.7644139849999991</c:v>
                </c:pt>
                <c:pt idx="130">
                  <c:v>11.945681820000001</c:v>
                </c:pt>
                <c:pt idx="131">
                  <c:v>9.6849137479999996</c:v>
                </c:pt>
                <c:pt idx="132">
                  <c:v>9.6815223150000005</c:v>
                </c:pt>
                <c:pt idx="133">
                  <c:v>12.02282653</c:v>
                </c:pt>
                <c:pt idx="134">
                  <c:v>13.70625179</c:v>
                </c:pt>
                <c:pt idx="135">
                  <c:v>13.748822820000001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Sterimol diazo L'!$B$2:$B$137</c:f>
              <c:numCache>
                <c:formatCode>General</c:formatCode>
                <c:ptCount val="136"/>
                <c:pt idx="0">
                  <c:v>8.7312808420000003</c:v>
                </c:pt>
                <c:pt idx="1">
                  <c:v>8.5349775389999998</c:v>
                </c:pt>
                <c:pt idx="2">
                  <c:v>7.3600284919999996</c:v>
                </c:pt>
                <c:pt idx="3">
                  <c:v>8.5666370920000006</c:v>
                </c:pt>
                <c:pt idx="4">
                  <c:v>9.9594856479999994</c:v>
                </c:pt>
                <c:pt idx="5">
                  <c:v>8.6383033569999998</c:v>
                </c:pt>
                <c:pt idx="6">
                  <c:v>10.374801570000001</c:v>
                </c:pt>
                <c:pt idx="7">
                  <c:v>9.9897706999999993</c:v>
                </c:pt>
                <c:pt idx="8">
                  <c:v>9.6354378740000008</c:v>
                </c:pt>
                <c:pt idx="9">
                  <c:v>10.513373169999999</c:v>
                </c:pt>
                <c:pt idx="10">
                  <c:v>10.486241420000001</c:v>
                </c:pt>
                <c:pt idx="11">
                  <c:v>8.9241304140000004</c:v>
                </c:pt>
                <c:pt idx="12">
                  <c:v>10.545820730000001</c:v>
                </c:pt>
                <c:pt idx="13">
                  <c:v>7.8082933079999997</c:v>
                </c:pt>
                <c:pt idx="14">
                  <c:v>10.49370203</c:v>
                </c:pt>
                <c:pt idx="15">
                  <c:v>9.0616614729999991</c:v>
                </c:pt>
                <c:pt idx="16">
                  <c:v>8.6020828510000005</c:v>
                </c:pt>
                <c:pt idx="17">
                  <c:v>10.31033293</c:v>
                </c:pt>
                <c:pt idx="18">
                  <c:v>10.94178739</c:v>
                </c:pt>
                <c:pt idx="19">
                  <c:v>10.48045187</c:v>
                </c:pt>
                <c:pt idx="20">
                  <c:v>9.1252669599999994</c:v>
                </c:pt>
                <c:pt idx="21">
                  <c:v>10.63877675</c:v>
                </c:pt>
                <c:pt idx="22">
                  <c:v>10.141572419999999</c:v>
                </c:pt>
                <c:pt idx="23">
                  <c:v>11.594911420000001</c:v>
                </c:pt>
                <c:pt idx="24">
                  <c:v>11.31619368</c:v>
                </c:pt>
                <c:pt idx="25">
                  <c:v>14.214410060000001</c:v>
                </c:pt>
                <c:pt idx="26">
                  <c:v>13.830742770000001</c:v>
                </c:pt>
                <c:pt idx="27">
                  <c:v>14.8456382</c:v>
                </c:pt>
                <c:pt idx="28">
                  <c:v>14.339453750000001</c:v>
                </c:pt>
                <c:pt idx="29">
                  <c:v>11.83910828</c:v>
                </c:pt>
                <c:pt idx="30">
                  <c:v>14.8843754</c:v>
                </c:pt>
                <c:pt idx="31">
                  <c:v>11.689432630000001</c:v>
                </c:pt>
                <c:pt idx="32">
                  <c:v>11.39035743</c:v>
                </c:pt>
                <c:pt idx="33">
                  <c:v>10.836888119999999</c:v>
                </c:pt>
                <c:pt idx="34">
                  <c:v>11.169990970000001</c:v>
                </c:pt>
                <c:pt idx="35">
                  <c:v>7.7249528789999999</c:v>
                </c:pt>
                <c:pt idx="36">
                  <c:v>10.817331149999999</c:v>
                </c:pt>
                <c:pt idx="37">
                  <c:v>11.35566972</c:v>
                </c:pt>
                <c:pt idx="38">
                  <c:v>9.5701185839999994</c:v>
                </c:pt>
                <c:pt idx="39">
                  <c:v>9.4760960920000006</c:v>
                </c:pt>
                <c:pt idx="40">
                  <c:v>15.245046670000001</c:v>
                </c:pt>
                <c:pt idx="41">
                  <c:v>10.25905595</c:v>
                </c:pt>
                <c:pt idx="42">
                  <c:v>10.008678310000001</c:v>
                </c:pt>
                <c:pt idx="43">
                  <c:v>10.06332903</c:v>
                </c:pt>
                <c:pt idx="44">
                  <c:v>11.281814349999999</c:v>
                </c:pt>
                <c:pt idx="45">
                  <c:v>10.917547219999999</c:v>
                </c:pt>
                <c:pt idx="46">
                  <c:v>11.11601945</c:v>
                </c:pt>
                <c:pt idx="47">
                  <c:v>11.39148103</c:v>
                </c:pt>
                <c:pt idx="48">
                  <c:v>11.29322007</c:v>
                </c:pt>
                <c:pt idx="49">
                  <c:v>11.42555177</c:v>
                </c:pt>
                <c:pt idx="50">
                  <c:v>11.65499157</c:v>
                </c:pt>
                <c:pt idx="51">
                  <c:v>11.02732685</c:v>
                </c:pt>
                <c:pt idx="52">
                  <c:v>12.48864968</c:v>
                </c:pt>
                <c:pt idx="53">
                  <c:v>11.14712177</c:v>
                </c:pt>
                <c:pt idx="54">
                  <c:v>11.18445889</c:v>
                </c:pt>
                <c:pt idx="55">
                  <c:v>10.882942610000001</c:v>
                </c:pt>
                <c:pt idx="56">
                  <c:v>12.15883324</c:v>
                </c:pt>
                <c:pt idx="57">
                  <c:v>14.60922424</c:v>
                </c:pt>
                <c:pt idx="58">
                  <c:v>9.5603919929999996</c:v>
                </c:pt>
                <c:pt idx="59">
                  <c:v>9.7165541609999995</c:v>
                </c:pt>
                <c:pt idx="60">
                  <c:v>9.7815708259999994</c:v>
                </c:pt>
                <c:pt idx="61">
                  <c:v>9.8495405030000001</c:v>
                </c:pt>
                <c:pt idx="62">
                  <c:v>11.8487882</c:v>
                </c:pt>
                <c:pt idx="63">
                  <c:v>7.5681300460000003</c:v>
                </c:pt>
                <c:pt idx="64">
                  <c:v>8.7169672679999994</c:v>
                </c:pt>
                <c:pt idx="65">
                  <c:v>9.5549290550000006</c:v>
                </c:pt>
                <c:pt idx="66">
                  <c:v>11.81861866</c:v>
                </c:pt>
                <c:pt idx="67">
                  <c:v>11.77393597</c:v>
                </c:pt>
                <c:pt idx="68">
                  <c:v>11.906194060000001</c:v>
                </c:pt>
                <c:pt idx="69">
                  <c:v>14.40081313</c:v>
                </c:pt>
                <c:pt idx="70">
                  <c:v>8.6923597790000002</c:v>
                </c:pt>
                <c:pt idx="71">
                  <c:v>7.6142357479999996</c:v>
                </c:pt>
                <c:pt idx="72">
                  <c:v>9.8968779330000007</c:v>
                </c:pt>
                <c:pt idx="73">
                  <c:v>12.05156641</c:v>
                </c:pt>
                <c:pt idx="74">
                  <c:v>10.075203009999999</c:v>
                </c:pt>
                <c:pt idx="75">
                  <c:v>10.734209</c:v>
                </c:pt>
                <c:pt idx="76">
                  <c:v>9.5687336149999993</c:v>
                </c:pt>
                <c:pt idx="77">
                  <c:v>10.59138098</c:v>
                </c:pt>
                <c:pt idx="78">
                  <c:v>9.6122680999999996</c:v>
                </c:pt>
                <c:pt idx="79">
                  <c:v>9.2224230360000004</c:v>
                </c:pt>
                <c:pt idx="80">
                  <c:v>10.32359656</c:v>
                </c:pt>
                <c:pt idx="81">
                  <c:v>10.49054604</c:v>
                </c:pt>
                <c:pt idx="82">
                  <c:v>8.9467944970000008</c:v>
                </c:pt>
                <c:pt idx="83">
                  <c:v>9.3323874989999993</c:v>
                </c:pt>
                <c:pt idx="84">
                  <c:v>10.29238784</c:v>
                </c:pt>
                <c:pt idx="85">
                  <c:v>11.88221566</c:v>
                </c:pt>
                <c:pt idx="86">
                  <c:v>9.9154979480000005</c:v>
                </c:pt>
                <c:pt idx="87">
                  <c:v>10.87083331</c:v>
                </c:pt>
                <c:pt idx="88">
                  <c:v>10.17747331</c:v>
                </c:pt>
                <c:pt idx="89">
                  <c:v>10.78403698</c:v>
                </c:pt>
                <c:pt idx="90">
                  <c:v>11.31888395</c:v>
                </c:pt>
                <c:pt idx="91">
                  <c:v>13.80962012</c:v>
                </c:pt>
                <c:pt idx="92">
                  <c:v>13.501471710000001</c:v>
                </c:pt>
                <c:pt idx="93">
                  <c:v>14.4565912</c:v>
                </c:pt>
                <c:pt idx="94">
                  <c:v>16.970617180000001</c:v>
                </c:pt>
                <c:pt idx="95">
                  <c:v>14.31899774</c:v>
                </c:pt>
                <c:pt idx="96">
                  <c:v>14.44552661</c:v>
                </c:pt>
                <c:pt idx="97">
                  <c:v>11.144486840000001</c:v>
                </c:pt>
                <c:pt idx="98">
                  <c:v>11.19447791</c:v>
                </c:pt>
                <c:pt idx="99">
                  <c:v>10.85029857</c:v>
                </c:pt>
                <c:pt idx="100">
                  <c:v>10.902365120000001</c:v>
                </c:pt>
                <c:pt idx="101">
                  <c:v>10.291123779999999</c:v>
                </c:pt>
                <c:pt idx="102">
                  <c:v>11.702778690000001</c:v>
                </c:pt>
                <c:pt idx="103">
                  <c:v>9.5592503799999999</c:v>
                </c:pt>
                <c:pt idx="104">
                  <c:v>9.4997240460000008</c:v>
                </c:pt>
                <c:pt idx="105">
                  <c:v>15.277976880000001</c:v>
                </c:pt>
                <c:pt idx="106">
                  <c:v>10.08763774</c:v>
                </c:pt>
                <c:pt idx="107">
                  <c:v>9.9767216380000008</c:v>
                </c:pt>
                <c:pt idx="108">
                  <c:v>9.3606717160000006</c:v>
                </c:pt>
                <c:pt idx="109">
                  <c:v>11.745093969999999</c:v>
                </c:pt>
                <c:pt idx="110">
                  <c:v>10.235797760000001</c:v>
                </c:pt>
                <c:pt idx="111">
                  <c:v>10.75783474</c:v>
                </c:pt>
                <c:pt idx="112">
                  <c:v>11.597635110000001</c:v>
                </c:pt>
                <c:pt idx="113">
                  <c:v>11.34213373</c:v>
                </c:pt>
                <c:pt idx="114">
                  <c:v>11.13026226</c:v>
                </c:pt>
                <c:pt idx="115">
                  <c:v>11.027919089999999</c:v>
                </c:pt>
                <c:pt idx="116">
                  <c:v>11.539940420000001</c:v>
                </c:pt>
                <c:pt idx="117">
                  <c:v>11.46003645</c:v>
                </c:pt>
                <c:pt idx="118">
                  <c:v>12.60720049</c:v>
                </c:pt>
                <c:pt idx="119">
                  <c:v>11.29615287</c:v>
                </c:pt>
                <c:pt idx="120">
                  <c:v>11.60373901</c:v>
                </c:pt>
                <c:pt idx="121">
                  <c:v>10.546326179999999</c:v>
                </c:pt>
                <c:pt idx="122">
                  <c:v>11.388413659999999</c:v>
                </c:pt>
                <c:pt idx="123">
                  <c:v>9.2662518259999995</c:v>
                </c:pt>
                <c:pt idx="124">
                  <c:v>11.087545029999999</c:v>
                </c:pt>
                <c:pt idx="125">
                  <c:v>9.8985363159999995</c:v>
                </c:pt>
                <c:pt idx="126">
                  <c:v>9.4921846750000007</c:v>
                </c:pt>
                <c:pt idx="127">
                  <c:v>11.43484773</c:v>
                </c:pt>
                <c:pt idx="128">
                  <c:v>7.5813795370000001</c:v>
                </c:pt>
                <c:pt idx="129">
                  <c:v>8.7086628590000004</c:v>
                </c:pt>
                <c:pt idx="130">
                  <c:v>11.08962537</c:v>
                </c:pt>
                <c:pt idx="131">
                  <c:v>9.7583233079999996</c:v>
                </c:pt>
                <c:pt idx="132">
                  <c:v>9.596367785</c:v>
                </c:pt>
                <c:pt idx="133">
                  <c:v>10.99572014</c:v>
                </c:pt>
                <c:pt idx="134">
                  <c:v>14.28800719</c:v>
                </c:pt>
                <c:pt idx="135">
                  <c:v>14.09125905</c:v>
                </c:pt>
              </c:numCache>
            </c:numRef>
          </c:xVal>
          <c:yVal>
            <c:numRef>
              <c:f>'xTB vs DFT Sterimol diazo L'!$I$2:$I$137</c:f>
              <c:numCache>
                <c:formatCode>General</c:formatCode>
                <c:ptCount val="136"/>
                <c:pt idx="0">
                  <c:v>8.7312808420000003</c:v>
                </c:pt>
                <c:pt idx="1">
                  <c:v>8.5349775389999998</c:v>
                </c:pt>
                <c:pt idx="2">
                  <c:v>7.3600284919999996</c:v>
                </c:pt>
                <c:pt idx="3">
                  <c:v>8.5666370920000006</c:v>
                </c:pt>
                <c:pt idx="4">
                  <c:v>9.9594856479999994</c:v>
                </c:pt>
                <c:pt idx="5">
                  <c:v>8.6383033569999998</c:v>
                </c:pt>
                <c:pt idx="6">
                  <c:v>10.374801570000001</c:v>
                </c:pt>
                <c:pt idx="7">
                  <c:v>9.9897706999999993</c:v>
                </c:pt>
                <c:pt idx="8">
                  <c:v>9.6354378740000008</c:v>
                </c:pt>
                <c:pt idx="9">
                  <c:v>10.513373169999999</c:v>
                </c:pt>
                <c:pt idx="10">
                  <c:v>10.486241420000001</c:v>
                </c:pt>
                <c:pt idx="11">
                  <c:v>8.9241304140000004</c:v>
                </c:pt>
                <c:pt idx="12">
                  <c:v>10.545820730000001</c:v>
                </c:pt>
                <c:pt idx="13">
                  <c:v>7.8082933079999997</c:v>
                </c:pt>
                <c:pt idx="14">
                  <c:v>10.49370203</c:v>
                </c:pt>
                <c:pt idx="15">
                  <c:v>9.0616614729999991</c:v>
                </c:pt>
                <c:pt idx="16">
                  <c:v>8.6020828510000005</c:v>
                </c:pt>
                <c:pt idx="17">
                  <c:v>10.31033293</c:v>
                </c:pt>
                <c:pt idx="18">
                  <c:v>10.94178739</c:v>
                </c:pt>
                <c:pt idx="19">
                  <c:v>10.48045187</c:v>
                </c:pt>
                <c:pt idx="20">
                  <c:v>9.1252669599999994</c:v>
                </c:pt>
                <c:pt idx="21">
                  <c:v>10.63877675</c:v>
                </c:pt>
                <c:pt idx="22">
                  <c:v>10.141572419999999</c:v>
                </c:pt>
                <c:pt idx="23">
                  <c:v>11.594911420000001</c:v>
                </c:pt>
                <c:pt idx="24">
                  <c:v>11.31619368</c:v>
                </c:pt>
                <c:pt idx="25">
                  <c:v>14.214410060000001</c:v>
                </c:pt>
                <c:pt idx="26">
                  <c:v>13.830742770000001</c:v>
                </c:pt>
                <c:pt idx="27">
                  <c:v>14.8456382</c:v>
                </c:pt>
                <c:pt idx="28">
                  <c:v>14.339453750000001</c:v>
                </c:pt>
                <c:pt idx="29">
                  <c:v>11.83910828</c:v>
                </c:pt>
                <c:pt idx="30">
                  <c:v>14.8843754</c:v>
                </c:pt>
                <c:pt idx="31">
                  <c:v>11.689432630000001</c:v>
                </c:pt>
                <c:pt idx="32">
                  <c:v>11.39035743</c:v>
                </c:pt>
                <c:pt idx="33">
                  <c:v>10.836888119999999</c:v>
                </c:pt>
                <c:pt idx="34">
                  <c:v>11.169990970000001</c:v>
                </c:pt>
                <c:pt idx="35">
                  <c:v>7.7249528789999999</c:v>
                </c:pt>
                <c:pt idx="36">
                  <c:v>10.817331149999999</c:v>
                </c:pt>
                <c:pt idx="37">
                  <c:v>11.35566972</c:v>
                </c:pt>
                <c:pt idx="38">
                  <c:v>9.5701185839999994</c:v>
                </c:pt>
                <c:pt idx="39">
                  <c:v>9.4760960920000006</c:v>
                </c:pt>
                <c:pt idx="40">
                  <c:v>15.245046670000001</c:v>
                </c:pt>
                <c:pt idx="41">
                  <c:v>10.25905595</c:v>
                </c:pt>
                <c:pt idx="42">
                  <c:v>10.008678310000001</c:v>
                </c:pt>
                <c:pt idx="43">
                  <c:v>10.06332903</c:v>
                </c:pt>
                <c:pt idx="44">
                  <c:v>11.281814349999999</c:v>
                </c:pt>
                <c:pt idx="45">
                  <c:v>10.917547219999999</c:v>
                </c:pt>
                <c:pt idx="46">
                  <c:v>11.11601945</c:v>
                </c:pt>
                <c:pt idx="47">
                  <c:v>11.39148103</c:v>
                </c:pt>
                <c:pt idx="48">
                  <c:v>11.29322007</c:v>
                </c:pt>
                <c:pt idx="49">
                  <c:v>11.42555177</c:v>
                </c:pt>
                <c:pt idx="50">
                  <c:v>11.65499157</c:v>
                </c:pt>
                <c:pt idx="51">
                  <c:v>11.02732685</c:v>
                </c:pt>
                <c:pt idx="52">
                  <c:v>12.48864968</c:v>
                </c:pt>
                <c:pt idx="53">
                  <c:v>11.14712177</c:v>
                </c:pt>
                <c:pt idx="54">
                  <c:v>11.18445889</c:v>
                </c:pt>
                <c:pt idx="55">
                  <c:v>10.882942610000001</c:v>
                </c:pt>
                <c:pt idx="56">
                  <c:v>12.15883324</c:v>
                </c:pt>
                <c:pt idx="57">
                  <c:v>14.60922424</c:v>
                </c:pt>
                <c:pt idx="58">
                  <c:v>9.5603919929999996</c:v>
                </c:pt>
                <c:pt idx="59">
                  <c:v>9.7165541609999995</c:v>
                </c:pt>
                <c:pt idx="60">
                  <c:v>9.7815708259999994</c:v>
                </c:pt>
                <c:pt idx="61">
                  <c:v>9.8495405030000001</c:v>
                </c:pt>
                <c:pt idx="62">
                  <c:v>11.8487882</c:v>
                </c:pt>
                <c:pt idx="63">
                  <c:v>7.5681300460000003</c:v>
                </c:pt>
                <c:pt idx="64">
                  <c:v>8.7169672679999994</c:v>
                </c:pt>
                <c:pt idx="65">
                  <c:v>9.5549290550000006</c:v>
                </c:pt>
                <c:pt idx="66">
                  <c:v>11.81861866</c:v>
                </c:pt>
                <c:pt idx="67">
                  <c:v>11.77393597</c:v>
                </c:pt>
                <c:pt idx="68">
                  <c:v>11.906194060000001</c:v>
                </c:pt>
                <c:pt idx="69">
                  <c:v>14.40081313</c:v>
                </c:pt>
                <c:pt idx="70">
                  <c:v>8.6923597790000002</c:v>
                </c:pt>
                <c:pt idx="71">
                  <c:v>7.6142357479999996</c:v>
                </c:pt>
                <c:pt idx="72">
                  <c:v>9.8968779330000007</c:v>
                </c:pt>
                <c:pt idx="73">
                  <c:v>12.05156641</c:v>
                </c:pt>
                <c:pt idx="74">
                  <c:v>10.075203009999999</c:v>
                </c:pt>
                <c:pt idx="75">
                  <c:v>10.734209</c:v>
                </c:pt>
                <c:pt idx="76">
                  <c:v>9.5687336149999993</c:v>
                </c:pt>
                <c:pt idx="77">
                  <c:v>10.59138098</c:v>
                </c:pt>
                <c:pt idx="78">
                  <c:v>9.6122680999999996</c:v>
                </c:pt>
                <c:pt idx="79">
                  <c:v>9.2224230360000004</c:v>
                </c:pt>
                <c:pt idx="80">
                  <c:v>10.32359656</c:v>
                </c:pt>
                <c:pt idx="81">
                  <c:v>10.49054604</c:v>
                </c:pt>
                <c:pt idx="82">
                  <c:v>8.9467944970000008</c:v>
                </c:pt>
                <c:pt idx="83">
                  <c:v>9.3323874989999993</c:v>
                </c:pt>
                <c:pt idx="84">
                  <c:v>10.29238784</c:v>
                </c:pt>
                <c:pt idx="85">
                  <c:v>11.88221566</c:v>
                </c:pt>
                <c:pt idx="86">
                  <c:v>9.9154979480000005</c:v>
                </c:pt>
                <c:pt idx="87">
                  <c:v>10.87083331</c:v>
                </c:pt>
                <c:pt idx="88">
                  <c:v>10.17747331</c:v>
                </c:pt>
                <c:pt idx="89">
                  <c:v>10.78403698</c:v>
                </c:pt>
                <c:pt idx="90">
                  <c:v>11.31888395</c:v>
                </c:pt>
                <c:pt idx="91">
                  <c:v>13.80962012</c:v>
                </c:pt>
                <c:pt idx="92">
                  <c:v>13.501471710000001</c:v>
                </c:pt>
                <c:pt idx="93">
                  <c:v>14.4565912</c:v>
                </c:pt>
                <c:pt idx="94">
                  <c:v>16.970617180000001</c:v>
                </c:pt>
                <c:pt idx="95">
                  <c:v>14.31899774</c:v>
                </c:pt>
                <c:pt idx="96">
                  <c:v>14.44552661</c:v>
                </c:pt>
                <c:pt idx="97">
                  <c:v>11.144486840000001</c:v>
                </c:pt>
                <c:pt idx="98">
                  <c:v>11.19447791</c:v>
                </c:pt>
                <c:pt idx="99">
                  <c:v>10.85029857</c:v>
                </c:pt>
                <c:pt idx="100">
                  <c:v>10.902365120000001</c:v>
                </c:pt>
                <c:pt idx="101">
                  <c:v>10.291123779999999</c:v>
                </c:pt>
                <c:pt idx="102">
                  <c:v>11.702778690000001</c:v>
                </c:pt>
                <c:pt idx="103">
                  <c:v>9.5592503799999999</c:v>
                </c:pt>
                <c:pt idx="104">
                  <c:v>9.4997240460000008</c:v>
                </c:pt>
                <c:pt idx="105">
                  <c:v>15.277976880000001</c:v>
                </c:pt>
                <c:pt idx="106">
                  <c:v>10.08763774</c:v>
                </c:pt>
                <c:pt idx="107">
                  <c:v>9.9767216380000008</c:v>
                </c:pt>
                <c:pt idx="108">
                  <c:v>9.3606717160000006</c:v>
                </c:pt>
                <c:pt idx="109">
                  <c:v>11.745093969999999</c:v>
                </c:pt>
                <c:pt idx="110">
                  <c:v>10.235797760000001</c:v>
                </c:pt>
                <c:pt idx="111">
                  <c:v>10.75783474</c:v>
                </c:pt>
                <c:pt idx="112">
                  <c:v>11.597635110000001</c:v>
                </c:pt>
                <c:pt idx="113">
                  <c:v>11.34213373</c:v>
                </c:pt>
                <c:pt idx="114">
                  <c:v>11.13026226</c:v>
                </c:pt>
                <c:pt idx="115">
                  <c:v>11.027919089999999</c:v>
                </c:pt>
                <c:pt idx="116">
                  <c:v>11.539940420000001</c:v>
                </c:pt>
                <c:pt idx="117">
                  <c:v>11.46003645</c:v>
                </c:pt>
                <c:pt idx="118">
                  <c:v>12.60720049</c:v>
                </c:pt>
                <c:pt idx="119">
                  <c:v>11.29615287</c:v>
                </c:pt>
                <c:pt idx="120">
                  <c:v>11.60373901</c:v>
                </c:pt>
                <c:pt idx="121">
                  <c:v>10.546326179999999</c:v>
                </c:pt>
                <c:pt idx="122">
                  <c:v>11.388413659999999</c:v>
                </c:pt>
                <c:pt idx="123">
                  <c:v>9.2662518259999995</c:v>
                </c:pt>
                <c:pt idx="124">
                  <c:v>11.087545029999999</c:v>
                </c:pt>
                <c:pt idx="125">
                  <c:v>9.8985363159999995</c:v>
                </c:pt>
                <c:pt idx="126">
                  <c:v>9.4921846750000007</c:v>
                </c:pt>
                <c:pt idx="127">
                  <c:v>11.43484773</c:v>
                </c:pt>
                <c:pt idx="128">
                  <c:v>7.5813795370000001</c:v>
                </c:pt>
                <c:pt idx="129">
                  <c:v>8.7086628590000004</c:v>
                </c:pt>
                <c:pt idx="130">
                  <c:v>11.08962537</c:v>
                </c:pt>
                <c:pt idx="131">
                  <c:v>9.7583233079999996</c:v>
                </c:pt>
                <c:pt idx="132">
                  <c:v>9.596367785</c:v>
                </c:pt>
                <c:pt idx="133">
                  <c:v>10.99572014</c:v>
                </c:pt>
                <c:pt idx="134">
                  <c:v>14.28800719</c:v>
                </c:pt>
                <c:pt idx="135">
                  <c:v>14.09125905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7.3"/>
          <c:min val="7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L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7.3"/>
          <c:min val="7.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L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B1</a:t>
            </a:r>
          </a:p>
        </c:rich>
      </c:tx>
      <c:layout>
        <c:manualLayout>
          <c:xMode val="edge"/>
          <c:yMode val="edge"/>
          <c:x val="0.51041069113439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695048360033853"/>
                  <c:y val="-0.201527777777777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i="0" u="none" strike="noStrike" baseline="0">
                        <a:effectLst/>
                      </a:rPr>
                      <a:t>B1</a:t>
                    </a:r>
                    <a:r>
                      <a:rPr lang="en-US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0.95B1</a:t>
                    </a:r>
                    <a:r>
                      <a:rPr lang="en-US" sz="1000" b="1" baseline="-25000"/>
                      <a:t>xTB</a:t>
                    </a:r>
                    <a:r>
                      <a:rPr lang="en-US" sz="1000" b="1" baseline="0"/>
                      <a:t> + 0.21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0.66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0.81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0.28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0.40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Sterimol diazo B1'!$B$2:$B$137</c:f>
              <c:numCache>
                <c:formatCode>General</c:formatCode>
                <c:ptCount val="136"/>
                <c:pt idx="0">
                  <c:v>4.1046356360000003</c:v>
                </c:pt>
                <c:pt idx="1">
                  <c:v>4.1338032189999998</c:v>
                </c:pt>
                <c:pt idx="2">
                  <c:v>4.2024156049999997</c:v>
                </c:pt>
                <c:pt idx="3">
                  <c:v>4.2671460760000004</c:v>
                </c:pt>
                <c:pt idx="4">
                  <c:v>5.1080377590000001</c:v>
                </c:pt>
                <c:pt idx="5">
                  <c:v>4.1729566279999997</c:v>
                </c:pt>
                <c:pt idx="6">
                  <c:v>4.6298005240000002</c:v>
                </c:pt>
                <c:pt idx="7">
                  <c:v>5.0197913569999999</c:v>
                </c:pt>
                <c:pt idx="8">
                  <c:v>4.6912529489999999</c:v>
                </c:pt>
                <c:pt idx="9">
                  <c:v>4.5073560170000002</c:v>
                </c:pt>
                <c:pt idx="10">
                  <c:v>4.9210873749999999</c:v>
                </c:pt>
                <c:pt idx="11">
                  <c:v>4.4459397840000001</c:v>
                </c:pt>
                <c:pt idx="12">
                  <c:v>4.3125312520000003</c:v>
                </c:pt>
                <c:pt idx="13">
                  <c:v>4.8902917959999996</c:v>
                </c:pt>
                <c:pt idx="14">
                  <c:v>3.961197963</c:v>
                </c:pt>
                <c:pt idx="15">
                  <c:v>4.3874110039999996</c:v>
                </c:pt>
                <c:pt idx="16">
                  <c:v>4.7121986490000003</c:v>
                </c:pt>
                <c:pt idx="17">
                  <c:v>5.0521733580000001</c:v>
                </c:pt>
                <c:pt idx="18">
                  <c:v>5.0272684239999998</c:v>
                </c:pt>
                <c:pt idx="19">
                  <c:v>5.3424637160000001</c:v>
                </c:pt>
                <c:pt idx="20">
                  <c:v>5.1214329999999997</c:v>
                </c:pt>
                <c:pt idx="21">
                  <c:v>4.9108617419999998</c:v>
                </c:pt>
                <c:pt idx="22">
                  <c:v>4.1452788119999999</c:v>
                </c:pt>
                <c:pt idx="23">
                  <c:v>3.7584774009999999</c:v>
                </c:pt>
                <c:pt idx="24">
                  <c:v>2.9982437590000002</c:v>
                </c:pt>
                <c:pt idx="25">
                  <c:v>4.0585362250000001</c:v>
                </c:pt>
                <c:pt idx="26">
                  <c:v>3.9989503320000002</c:v>
                </c:pt>
                <c:pt idx="27">
                  <c:v>4.4923626680000002</c:v>
                </c:pt>
                <c:pt idx="28">
                  <c:v>6.4664675919999999</c:v>
                </c:pt>
                <c:pt idx="29">
                  <c:v>3.7625226559999998</c:v>
                </c:pt>
                <c:pt idx="30">
                  <c:v>4.9323029109999998</c:v>
                </c:pt>
                <c:pt idx="31">
                  <c:v>4.8753934409999999</c:v>
                </c:pt>
                <c:pt idx="32">
                  <c:v>4.7614069079999997</c:v>
                </c:pt>
                <c:pt idx="33">
                  <c:v>5.0558766300000002</c:v>
                </c:pt>
                <c:pt idx="34">
                  <c:v>4.784650149</c:v>
                </c:pt>
                <c:pt idx="35">
                  <c:v>4.2225992339999996</c:v>
                </c:pt>
                <c:pt idx="36">
                  <c:v>5.2228149339999996</c:v>
                </c:pt>
                <c:pt idx="37">
                  <c:v>4.3170530380000001</c:v>
                </c:pt>
                <c:pt idx="38">
                  <c:v>5.1375184850000002</c:v>
                </c:pt>
                <c:pt idx="39">
                  <c:v>4.8967100830000003</c:v>
                </c:pt>
                <c:pt idx="40">
                  <c:v>3.7714800319999999</c:v>
                </c:pt>
                <c:pt idx="41">
                  <c:v>4.6592011299999996</c:v>
                </c:pt>
                <c:pt idx="42">
                  <c:v>5.0390061509999997</c:v>
                </c:pt>
                <c:pt idx="43">
                  <c:v>5.1103873569999996</c:v>
                </c:pt>
                <c:pt idx="44">
                  <c:v>3.9509329019999999</c:v>
                </c:pt>
                <c:pt idx="45">
                  <c:v>4.7849300990000003</c:v>
                </c:pt>
                <c:pt idx="46">
                  <c:v>5.5699098200000003</c:v>
                </c:pt>
                <c:pt idx="47">
                  <c:v>4.5719705900000003</c:v>
                </c:pt>
                <c:pt idx="48">
                  <c:v>4.761424495</c:v>
                </c:pt>
                <c:pt idx="49">
                  <c:v>4.966414597</c:v>
                </c:pt>
                <c:pt idx="50">
                  <c:v>4.3100535789999999</c:v>
                </c:pt>
                <c:pt idx="51">
                  <c:v>4.8226806120000001</c:v>
                </c:pt>
                <c:pt idx="52">
                  <c:v>4.3562610709999996</c:v>
                </c:pt>
                <c:pt idx="53">
                  <c:v>4.6281124499999997</c:v>
                </c:pt>
                <c:pt idx="54">
                  <c:v>4.9299248809999998</c:v>
                </c:pt>
                <c:pt idx="55">
                  <c:v>3.0843514980000002</c:v>
                </c:pt>
                <c:pt idx="56">
                  <c:v>4.861220554</c:v>
                </c:pt>
                <c:pt idx="57">
                  <c:v>4.3373273350000003</c:v>
                </c:pt>
                <c:pt idx="58">
                  <c:v>5.0746934289999999</c:v>
                </c:pt>
                <c:pt idx="59">
                  <c:v>3.879530339</c:v>
                </c:pt>
                <c:pt idx="60">
                  <c:v>4.667664984</c:v>
                </c:pt>
                <c:pt idx="61">
                  <c:v>4.6579644480000004</c:v>
                </c:pt>
                <c:pt idx="62">
                  <c:v>4.6471966729999998</c:v>
                </c:pt>
                <c:pt idx="63">
                  <c:v>3.5076686929999998</c:v>
                </c:pt>
                <c:pt idx="64">
                  <c:v>4.4344929750000004</c:v>
                </c:pt>
                <c:pt idx="65">
                  <c:v>5.0591430549999998</c:v>
                </c:pt>
                <c:pt idx="66">
                  <c:v>4.4355785570000004</c:v>
                </c:pt>
                <c:pt idx="67">
                  <c:v>3.8407557259999998</c:v>
                </c:pt>
                <c:pt idx="68">
                  <c:v>4.9428456619999999</c:v>
                </c:pt>
                <c:pt idx="69">
                  <c:v>4.6153652019999996</c:v>
                </c:pt>
                <c:pt idx="70">
                  <c:v>3.8796642910000001</c:v>
                </c:pt>
                <c:pt idx="71">
                  <c:v>4.408113546</c:v>
                </c:pt>
                <c:pt idx="72">
                  <c:v>5.2195622339999996</c:v>
                </c:pt>
                <c:pt idx="73">
                  <c:v>4.3580875079999997</c:v>
                </c:pt>
                <c:pt idx="74">
                  <c:v>4.2695934910000002</c:v>
                </c:pt>
                <c:pt idx="75">
                  <c:v>5.2000572370000002</c:v>
                </c:pt>
                <c:pt idx="76">
                  <c:v>4.8257734660000002</c:v>
                </c:pt>
                <c:pt idx="77">
                  <c:v>4.0533167880000001</c:v>
                </c:pt>
                <c:pt idx="78">
                  <c:v>4.6364723359999997</c:v>
                </c:pt>
                <c:pt idx="79">
                  <c:v>4.7266649300000001</c:v>
                </c:pt>
                <c:pt idx="80">
                  <c:v>4.360307776</c:v>
                </c:pt>
                <c:pt idx="81">
                  <c:v>3.9246314500000001</c:v>
                </c:pt>
                <c:pt idx="82">
                  <c:v>4.2746575379999996</c:v>
                </c:pt>
                <c:pt idx="83">
                  <c:v>4.2493775280000001</c:v>
                </c:pt>
                <c:pt idx="84">
                  <c:v>4.8656836459999999</c:v>
                </c:pt>
                <c:pt idx="85">
                  <c:v>5.0214387609999998</c:v>
                </c:pt>
                <c:pt idx="86">
                  <c:v>5.1282379520000001</c:v>
                </c:pt>
                <c:pt idx="87">
                  <c:v>4.8616604289999996</c:v>
                </c:pt>
                <c:pt idx="88">
                  <c:v>3.9469536380000001</c:v>
                </c:pt>
                <c:pt idx="89">
                  <c:v>3.6165923019999999</c:v>
                </c:pt>
                <c:pt idx="90">
                  <c:v>4.1690108429999997</c:v>
                </c:pt>
                <c:pt idx="91">
                  <c:v>4.4782994120000001</c:v>
                </c:pt>
                <c:pt idx="92">
                  <c:v>3.413704697</c:v>
                </c:pt>
                <c:pt idx="93">
                  <c:v>4.2403387209999996</c:v>
                </c:pt>
                <c:pt idx="94">
                  <c:v>4.7659373860000001</c:v>
                </c:pt>
                <c:pt idx="95">
                  <c:v>3.9595645369999999</c:v>
                </c:pt>
                <c:pt idx="96">
                  <c:v>5.5345242749999999</c:v>
                </c:pt>
                <c:pt idx="97">
                  <c:v>3.3100607790000001</c:v>
                </c:pt>
                <c:pt idx="98">
                  <c:v>5.1098767269999996</c:v>
                </c:pt>
                <c:pt idx="99">
                  <c:v>5.2539679760000002</c:v>
                </c:pt>
                <c:pt idx="100">
                  <c:v>3.5873138839999998</c:v>
                </c:pt>
                <c:pt idx="101">
                  <c:v>4.4388783419999998</c:v>
                </c:pt>
                <c:pt idx="102">
                  <c:v>4.2618378410000002</c:v>
                </c:pt>
                <c:pt idx="103">
                  <c:v>5.1340377029999997</c:v>
                </c:pt>
                <c:pt idx="104">
                  <c:v>4.9624524470000004</c:v>
                </c:pt>
                <c:pt idx="105">
                  <c:v>4.5645120800000001</c:v>
                </c:pt>
                <c:pt idx="106">
                  <c:v>4.78789642</c:v>
                </c:pt>
                <c:pt idx="107">
                  <c:v>4.7713507420000001</c:v>
                </c:pt>
                <c:pt idx="108">
                  <c:v>4.3502923300000003</c:v>
                </c:pt>
                <c:pt idx="109">
                  <c:v>4.6440856500000001</c:v>
                </c:pt>
                <c:pt idx="110">
                  <c:v>4.6018393169999996</c:v>
                </c:pt>
                <c:pt idx="111">
                  <c:v>4.3839594689999997</c:v>
                </c:pt>
                <c:pt idx="112">
                  <c:v>5.4128319100000004</c:v>
                </c:pt>
                <c:pt idx="113">
                  <c:v>4.9621090969999999</c:v>
                </c:pt>
                <c:pt idx="114">
                  <c:v>5.0051933059999998</c:v>
                </c:pt>
                <c:pt idx="115">
                  <c:v>5.2549510020000003</c:v>
                </c:pt>
                <c:pt idx="116">
                  <c:v>3.7727269749999999</c:v>
                </c:pt>
                <c:pt idx="117">
                  <c:v>3.915543445</c:v>
                </c:pt>
                <c:pt idx="118">
                  <c:v>4.3192554149999998</c:v>
                </c:pt>
                <c:pt idx="119">
                  <c:v>5.0590278289999997</c:v>
                </c:pt>
                <c:pt idx="120">
                  <c:v>4.268679347</c:v>
                </c:pt>
                <c:pt idx="121">
                  <c:v>2.46855373</c:v>
                </c:pt>
                <c:pt idx="122">
                  <c:v>2.6703896579999999</c:v>
                </c:pt>
                <c:pt idx="123">
                  <c:v>4.5654229769999999</c:v>
                </c:pt>
                <c:pt idx="124">
                  <c:v>4.3393999059999997</c:v>
                </c:pt>
                <c:pt idx="125">
                  <c:v>4.8480457440000002</c:v>
                </c:pt>
                <c:pt idx="126">
                  <c:v>3.6281396290000001</c:v>
                </c:pt>
                <c:pt idx="127">
                  <c:v>4.3482550760000001</c:v>
                </c:pt>
                <c:pt idx="128">
                  <c:v>3.6524525639999998</c:v>
                </c:pt>
                <c:pt idx="129">
                  <c:v>4.3575847620000001</c:v>
                </c:pt>
                <c:pt idx="130">
                  <c:v>4.4993685709999998</c:v>
                </c:pt>
                <c:pt idx="131">
                  <c:v>5.1983697009999998</c:v>
                </c:pt>
                <c:pt idx="132">
                  <c:v>5.3106070650000001</c:v>
                </c:pt>
                <c:pt idx="133">
                  <c:v>4.848228421</c:v>
                </c:pt>
                <c:pt idx="134">
                  <c:v>4.519004153</c:v>
                </c:pt>
                <c:pt idx="135">
                  <c:v>4.4195609420000004</c:v>
                </c:pt>
              </c:numCache>
            </c:numRef>
          </c:xVal>
          <c:yVal>
            <c:numRef>
              <c:f>'xTB vs DFT Sterimol diazo B1'!$C$2:$C$137</c:f>
              <c:numCache>
                <c:formatCode>General</c:formatCode>
                <c:ptCount val="136"/>
                <c:pt idx="0">
                  <c:v>3.9100993829999999</c:v>
                </c:pt>
                <c:pt idx="1">
                  <c:v>4.2139742230000001</c:v>
                </c:pt>
                <c:pt idx="2">
                  <c:v>4.3370989839999998</c:v>
                </c:pt>
                <c:pt idx="3">
                  <c:v>4.1706110470000004</c:v>
                </c:pt>
                <c:pt idx="4">
                  <c:v>5.4000388130000001</c:v>
                </c:pt>
                <c:pt idx="5">
                  <c:v>4.5993711350000002</c:v>
                </c:pt>
                <c:pt idx="6">
                  <c:v>4.6413142389999997</c:v>
                </c:pt>
                <c:pt idx="7">
                  <c:v>5.5460946829999997</c:v>
                </c:pt>
                <c:pt idx="8">
                  <c:v>4.724023313</c:v>
                </c:pt>
                <c:pt idx="9">
                  <c:v>4.7685673890000002</c:v>
                </c:pt>
                <c:pt idx="10">
                  <c:v>4.814757255</c:v>
                </c:pt>
                <c:pt idx="11">
                  <c:v>4.5571669899999998</c:v>
                </c:pt>
                <c:pt idx="12">
                  <c:v>4.2700554659999996</c:v>
                </c:pt>
                <c:pt idx="13">
                  <c:v>4.7640919249999998</c:v>
                </c:pt>
                <c:pt idx="14">
                  <c:v>3.9555904979999998</c:v>
                </c:pt>
                <c:pt idx="15">
                  <c:v>3.8835787150000001</c:v>
                </c:pt>
                <c:pt idx="16">
                  <c:v>4.736562535</c:v>
                </c:pt>
                <c:pt idx="17">
                  <c:v>5.0540008140000001</c:v>
                </c:pt>
                <c:pt idx="18">
                  <c:v>5.3370888089999999</c:v>
                </c:pt>
                <c:pt idx="19">
                  <c:v>5.0477720919999998</c:v>
                </c:pt>
                <c:pt idx="20">
                  <c:v>5.1769756239999998</c:v>
                </c:pt>
                <c:pt idx="21">
                  <c:v>4.806990903</c:v>
                </c:pt>
                <c:pt idx="22">
                  <c:v>4.1906699139999999</c:v>
                </c:pt>
                <c:pt idx="23">
                  <c:v>3.665157572</c:v>
                </c:pt>
                <c:pt idx="24">
                  <c:v>4.0411421409999999</c:v>
                </c:pt>
                <c:pt idx="25">
                  <c:v>3.7594935</c:v>
                </c:pt>
                <c:pt idx="26">
                  <c:v>3.93442705</c:v>
                </c:pt>
                <c:pt idx="27">
                  <c:v>3.1147160710000001</c:v>
                </c:pt>
                <c:pt idx="28">
                  <c:v>6.9430960749999997</c:v>
                </c:pt>
                <c:pt idx="29">
                  <c:v>3.0554877120000001</c:v>
                </c:pt>
                <c:pt idx="30">
                  <c:v>4.7034177740000001</c:v>
                </c:pt>
                <c:pt idx="31">
                  <c:v>4.9480089329999997</c:v>
                </c:pt>
                <c:pt idx="32">
                  <c:v>5.1507484049999999</c:v>
                </c:pt>
                <c:pt idx="33">
                  <c:v>4.5992526260000002</c:v>
                </c:pt>
                <c:pt idx="34">
                  <c:v>4.1970368049999998</c:v>
                </c:pt>
                <c:pt idx="35">
                  <c:v>2.510178647</c:v>
                </c:pt>
                <c:pt idx="36">
                  <c:v>5.4266717150000003</c:v>
                </c:pt>
                <c:pt idx="37">
                  <c:v>5.009474655</c:v>
                </c:pt>
                <c:pt idx="38">
                  <c:v>5.2292445809999997</c:v>
                </c:pt>
                <c:pt idx="39">
                  <c:v>4.9967927269999999</c:v>
                </c:pt>
                <c:pt idx="40">
                  <c:v>4.3600273710000002</c:v>
                </c:pt>
                <c:pt idx="41">
                  <c:v>4.0122449939999996</c:v>
                </c:pt>
                <c:pt idx="42">
                  <c:v>5.057282077</c:v>
                </c:pt>
                <c:pt idx="43">
                  <c:v>5.205137626</c:v>
                </c:pt>
                <c:pt idx="44">
                  <c:v>4.0285461380000003</c:v>
                </c:pt>
                <c:pt idx="45">
                  <c:v>4.827844078</c:v>
                </c:pt>
                <c:pt idx="46">
                  <c:v>5.6926764209999998</c:v>
                </c:pt>
                <c:pt idx="47">
                  <c:v>4.9059311189999999</c:v>
                </c:pt>
                <c:pt idx="48">
                  <c:v>5.0047507019999999</c:v>
                </c:pt>
                <c:pt idx="49">
                  <c:v>4.9252362119999997</c:v>
                </c:pt>
                <c:pt idx="50">
                  <c:v>4.2359116989999999</c:v>
                </c:pt>
                <c:pt idx="51">
                  <c:v>5.0358327190000001</c:v>
                </c:pt>
                <c:pt idx="52">
                  <c:v>4.2494097589999997</c:v>
                </c:pt>
                <c:pt idx="53">
                  <c:v>4.5918439480000002</c:v>
                </c:pt>
                <c:pt idx="54">
                  <c:v>4.9930379</c:v>
                </c:pt>
                <c:pt idx="55">
                  <c:v>2.305637156</c:v>
                </c:pt>
                <c:pt idx="56">
                  <c:v>5.4674280409999998</c:v>
                </c:pt>
                <c:pt idx="57">
                  <c:v>4.8398923790000001</c:v>
                </c:pt>
                <c:pt idx="58">
                  <c:v>4.9916704860000003</c:v>
                </c:pt>
                <c:pt idx="59">
                  <c:v>3.6364403250000001</c:v>
                </c:pt>
                <c:pt idx="60">
                  <c:v>4.8162324310000004</c:v>
                </c:pt>
                <c:pt idx="61">
                  <c:v>4.8738932259999999</c:v>
                </c:pt>
                <c:pt idx="62">
                  <c:v>4.5551238959999996</c:v>
                </c:pt>
                <c:pt idx="63">
                  <c:v>3.5816911230000001</c:v>
                </c:pt>
                <c:pt idx="64">
                  <c:v>4.1018711000000003</c:v>
                </c:pt>
                <c:pt idx="65">
                  <c:v>5.1283395430000001</c:v>
                </c:pt>
                <c:pt idx="66">
                  <c:v>4.6622419129999999</c:v>
                </c:pt>
                <c:pt idx="67">
                  <c:v>3.808802832</c:v>
                </c:pt>
                <c:pt idx="68">
                  <c:v>4.9782776530000001</c:v>
                </c:pt>
                <c:pt idx="69">
                  <c:v>4.68751564</c:v>
                </c:pt>
                <c:pt idx="70">
                  <c:v>4.2139358060000003</c:v>
                </c:pt>
                <c:pt idx="71">
                  <c:v>4.1320684029999999</c:v>
                </c:pt>
                <c:pt idx="72">
                  <c:v>5.3304793720000001</c:v>
                </c:pt>
                <c:pt idx="73">
                  <c:v>4.5703702320000001</c:v>
                </c:pt>
                <c:pt idx="74">
                  <c:v>4.3650567320000002</c:v>
                </c:pt>
                <c:pt idx="75">
                  <c:v>5.3296180609999997</c:v>
                </c:pt>
                <c:pt idx="76">
                  <c:v>4.5559651170000004</c:v>
                </c:pt>
                <c:pt idx="77">
                  <c:v>4.2288482619999996</c:v>
                </c:pt>
                <c:pt idx="78">
                  <c:v>4.7985820070000003</c:v>
                </c:pt>
                <c:pt idx="79">
                  <c:v>4.5589710620000004</c:v>
                </c:pt>
                <c:pt idx="80">
                  <c:v>4.06350839</c:v>
                </c:pt>
                <c:pt idx="81">
                  <c:v>3.9556965499999999</c:v>
                </c:pt>
                <c:pt idx="82">
                  <c:v>3.942591803</c:v>
                </c:pt>
                <c:pt idx="83">
                  <c:v>3.9456727919999999</c:v>
                </c:pt>
                <c:pt idx="84">
                  <c:v>5.3358619940000001</c:v>
                </c:pt>
                <c:pt idx="85">
                  <c:v>4.7594360560000002</c:v>
                </c:pt>
                <c:pt idx="86">
                  <c:v>4.9790503230000001</c:v>
                </c:pt>
                <c:pt idx="87">
                  <c:v>5.2054423109999997</c:v>
                </c:pt>
                <c:pt idx="88">
                  <c:v>4.0284604660000003</c:v>
                </c:pt>
                <c:pt idx="89">
                  <c:v>3.578585559</c:v>
                </c:pt>
                <c:pt idx="90">
                  <c:v>4.0854602470000003</c:v>
                </c:pt>
                <c:pt idx="91">
                  <c:v>4.1358459160000001</c:v>
                </c:pt>
                <c:pt idx="92">
                  <c:v>3.6774273750000002</c:v>
                </c:pt>
                <c:pt idx="93">
                  <c:v>3.703743459</c:v>
                </c:pt>
                <c:pt idx="94">
                  <c:v>5.0517477309999999</c:v>
                </c:pt>
                <c:pt idx="95">
                  <c:v>3.4609964209999999</c:v>
                </c:pt>
                <c:pt idx="96">
                  <c:v>4.6533459109999997</c:v>
                </c:pt>
                <c:pt idx="97">
                  <c:v>3.759342658</c:v>
                </c:pt>
                <c:pt idx="98">
                  <c:v>5.0613372940000003</c:v>
                </c:pt>
                <c:pt idx="99">
                  <c:v>4.268052451</c:v>
                </c:pt>
                <c:pt idx="100">
                  <c:v>3.691296007</c:v>
                </c:pt>
                <c:pt idx="101">
                  <c:v>3.0338578150000002</c:v>
                </c:pt>
                <c:pt idx="102">
                  <c:v>4.5820743840000002</c:v>
                </c:pt>
                <c:pt idx="103">
                  <c:v>5.3092220220000002</c:v>
                </c:pt>
                <c:pt idx="104">
                  <c:v>4.9967437400000003</c:v>
                </c:pt>
                <c:pt idx="105">
                  <c:v>4.2283168870000001</c:v>
                </c:pt>
                <c:pt idx="106">
                  <c:v>4.7962491500000004</c:v>
                </c:pt>
                <c:pt idx="107">
                  <c:v>4.7537160949999997</c:v>
                </c:pt>
                <c:pt idx="108">
                  <c:v>4.860797893</c:v>
                </c:pt>
                <c:pt idx="109">
                  <c:v>4.3351766659999997</c:v>
                </c:pt>
                <c:pt idx="110">
                  <c:v>4.5679649219999998</c:v>
                </c:pt>
                <c:pt idx="111">
                  <c:v>4.7699558809999996</c:v>
                </c:pt>
                <c:pt idx="112">
                  <c:v>5.1268671640000001</c:v>
                </c:pt>
                <c:pt idx="113">
                  <c:v>4.7258995710000002</c:v>
                </c:pt>
                <c:pt idx="114">
                  <c:v>4.9111033099999997</c:v>
                </c:pt>
                <c:pt idx="115">
                  <c:v>5.4388976490000003</c:v>
                </c:pt>
                <c:pt idx="116">
                  <c:v>4.676182335</c:v>
                </c:pt>
                <c:pt idx="117">
                  <c:v>4.815935122</c:v>
                </c:pt>
                <c:pt idx="118">
                  <c:v>4.1788865370000003</c:v>
                </c:pt>
                <c:pt idx="119">
                  <c:v>5.1961213050000001</c:v>
                </c:pt>
                <c:pt idx="120">
                  <c:v>4.1390699040000003</c:v>
                </c:pt>
                <c:pt idx="121">
                  <c:v>2.4466371159999998</c:v>
                </c:pt>
                <c:pt idx="122">
                  <c:v>3.0360035860000001</c:v>
                </c:pt>
                <c:pt idx="123">
                  <c:v>4.9071821780000002</c:v>
                </c:pt>
                <c:pt idx="124">
                  <c:v>4.4801923449999999</c:v>
                </c:pt>
                <c:pt idx="125">
                  <c:v>4.8583196219999998</c:v>
                </c:pt>
                <c:pt idx="126">
                  <c:v>3.5628241620000001</c:v>
                </c:pt>
                <c:pt idx="127">
                  <c:v>4.5801086959999999</c:v>
                </c:pt>
                <c:pt idx="128">
                  <c:v>3.4212400160000001</c:v>
                </c:pt>
                <c:pt idx="129">
                  <c:v>4.2430671049999997</c:v>
                </c:pt>
                <c:pt idx="130">
                  <c:v>4.4591111740000002</c:v>
                </c:pt>
                <c:pt idx="131">
                  <c:v>5.395055084</c:v>
                </c:pt>
                <c:pt idx="132">
                  <c:v>5.2664667469999999</c:v>
                </c:pt>
                <c:pt idx="133">
                  <c:v>4.5267823199999997</c:v>
                </c:pt>
                <c:pt idx="134">
                  <c:v>5.3334764149999998</c:v>
                </c:pt>
                <c:pt idx="135">
                  <c:v>5.1078355809999998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6-40B4-923B-1377C726AFA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Sterimol diazo B1'!$B$2:$B$137</c:f>
              <c:numCache>
                <c:formatCode>General</c:formatCode>
                <c:ptCount val="136"/>
                <c:pt idx="0">
                  <c:v>4.1046356360000003</c:v>
                </c:pt>
                <c:pt idx="1">
                  <c:v>4.1338032189999998</c:v>
                </c:pt>
                <c:pt idx="2">
                  <c:v>4.2024156049999997</c:v>
                </c:pt>
                <c:pt idx="3">
                  <c:v>4.2671460760000004</c:v>
                </c:pt>
                <c:pt idx="4">
                  <c:v>5.1080377590000001</c:v>
                </c:pt>
                <c:pt idx="5">
                  <c:v>4.1729566279999997</c:v>
                </c:pt>
                <c:pt idx="6">
                  <c:v>4.6298005240000002</c:v>
                </c:pt>
                <c:pt idx="7">
                  <c:v>5.0197913569999999</c:v>
                </c:pt>
                <c:pt idx="8">
                  <c:v>4.6912529489999999</c:v>
                </c:pt>
                <c:pt idx="9">
                  <c:v>4.5073560170000002</c:v>
                </c:pt>
                <c:pt idx="10">
                  <c:v>4.9210873749999999</c:v>
                </c:pt>
                <c:pt idx="11">
                  <c:v>4.4459397840000001</c:v>
                </c:pt>
                <c:pt idx="12">
                  <c:v>4.3125312520000003</c:v>
                </c:pt>
                <c:pt idx="13">
                  <c:v>4.8902917959999996</c:v>
                </c:pt>
                <c:pt idx="14">
                  <c:v>3.961197963</c:v>
                </c:pt>
                <c:pt idx="15">
                  <c:v>4.3874110039999996</c:v>
                </c:pt>
                <c:pt idx="16">
                  <c:v>4.7121986490000003</c:v>
                </c:pt>
                <c:pt idx="17">
                  <c:v>5.0521733580000001</c:v>
                </c:pt>
                <c:pt idx="18">
                  <c:v>5.0272684239999998</c:v>
                </c:pt>
                <c:pt idx="19">
                  <c:v>5.3424637160000001</c:v>
                </c:pt>
                <c:pt idx="20">
                  <c:v>5.1214329999999997</c:v>
                </c:pt>
                <c:pt idx="21">
                  <c:v>4.9108617419999998</c:v>
                </c:pt>
                <c:pt idx="22">
                  <c:v>4.1452788119999999</c:v>
                </c:pt>
                <c:pt idx="23">
                  <c:v>3.7584774009999999</c:v>
                </c:pt>
                <c:pt idx="24">
                  <c:v>2.9982437590000002</c:v>
                </c:pt>
                <c:pt idx="25">
                  <c:v>4.0585362250000001</c:v>
                </c:pt>
                <c:pt idx="26">
                  <c:v>3.9989503320000002</c:v>
                </c:pt>
                <c:pt idx="27">
                  <c:v>4.4923626680000002</c:v>
                </c:pt>
                <c:pt idx="28">
                  <c:v>6.4664675919999999</c:v>
                </c:pt>
                <c:pt idx="29">
                  <c:v>3.7625226559999998</c:v>
                </c:pt>
                <c:pt idx="30">
                  <c:v>4.9323029109999998</c:v>
                </c:pt>
                <c:pt idx="31">
                  <c:v>4.8753934409999999</c:v>
                </c:pt>
                <c:pt idx="32">
                  <c:v>4.7614069079999997</c:v>
                </c:pt>
                <c:pt idx="33">
                  <c:v>5.0558766300000002</c:v>
                </c:pt>
                <c:pt idx="34">
                  <c:v>4.784650149</c:v>
                </c:pt>
                <c:pt idx="35">
                  <c:v>4.2225992339999996</c:v>
                </c:pt>
                <c:pt idx="36">
                  <c:v>5.2228149339999996</c:v>
                </c:pt>
                <c:pt idx="37">
                  <c:v>4.3170530380000001</c:v>
                </c:pt>
                <c:pt idx="38">
                  <c:v>5.1375184850000002</c:v>
                </c:pt>
                <c:pt idx="39">
                  <c:v>4.8967100830000003</c:v>
                </c:pt>
                <c:pt idx="40">
                  <c:v>3.7714800319999999</c:v>
                </c:pt>
                <c:pt idx="41">
                  <c:v>4.6592011299999996</c:v>
                </c:pt>
                <c:pt idx="42">
                  <c:v>5.0390061509999997</c:v>
                </c:pt>
                <c:pt idx="43">
                  <c:v>5.1103873569999996</c:v>
                </c:pt>
                <c:pt idx="44">
                  <c:v>3.9509329019999999</c:v>
                </c:pt>
                <c:pt idx="45">
                  <c:v>4.7849300990000003</c:v>
                </c:pt>
                <c:pt idx="46">
                  <c:v>5.5699098200000003</c:v>
                </c:pt>
                <c:pt idx="47">
                  <c:v>4.5719705900000003</c:v>
                </c:pt>
                <c:pt idx="48">
                  <c:v>4.761424495</c:v>
                </c:pt>
                <c:pt idx="49">
                  <c:v>4.966414597</c:v>
                </c:pt>
                <c:pt idx="50">
                  <c:v>4.3100535789999999</c:v>
                </c:pt>
                <c:pt idx="51">
                  <c:v>4.8226806120000001</c:v>
                </c:pt>
                <c:pt idx="52">
                  <c:v>4.3562610709999996</c:v>
                </c:pt>
                <c:pt idx="53">
                  <c:v>4.6281124499999997</c:v>
                </c:pt>
                <c:pt idx="54">
                  <c:v>4.9299248809999998</c:v>
                </c:pt>
                <c:pt idx="55">
                  <c:v>3.0843514980000002</c:v>
                </c:pt>
                <c:pt idx="56">
                  <c:v>4.861220554</c:v>
                </c:pt>
                <c:pt idx="57">
                  <c:v>4.3373273350000003</c:v>
                </c:pt>
                <c:pt idx="58">
                  <c:v>5.0746934289999999</c:v>
                </c:pt>
                <c:pt idx="59">
                  <c:v>3.879530339</c:v>
                </c:pt>
                <c:pt idx="60">
                  <c:v>4.667664984</c:v>
                </c:pt>
                <c:pt idx="61">
                  <c:v>4.6579644480000004</c:v>
                </c:pt>
                <c:pt idx="62">
                  <c:v>4.6471966729999998</c:v>
                </c:pt>
                <c:pt idx="63">
                  <c:v>3.5076686929999998</c:v>
                </c:pt>
                <c:pt idx="64">
                  <c:v>4.4344929750000004</c:v>
                </c:pt>
                <c:pt idx="65">
                  <c:v>5.0591430549999998</c:v>
                </c:pt>
                <c:pt idx="66">
                  <c:v>4.4355785570000004</c:v>
                </c:pt>
                <c:pt idx="67">
                  <c:v>3.8407557259999998</c:v>
                </c:pt>
                <c:pt idx="68">
                  <c:v>4.9428456619999999</c:v>
                </c:pt>
                <c:pt idx="69">
                  <c:v>4.6153652019999996</c:v>
                </c:pt>
                <c:pt idx="70">
                  <c:v>3.8796642910000001</c:v>
                </c:pt>
                <c:pt idx="71">
                  <c:v>4.408113546</c:v>
                </c:pt>
                <c:pt idx="72">
                  <c:v>5.2195622339999996</c:v>
                </c:pt>
                <c:pt idx="73">
                  <c:v>4.3580875079999997</c:v>
                </c:pt>
                <c:pt idx="74">
                  <c:v>4.2695934910000002</c:v>
                </c:pt>
                <c:pt idx="75">
                  <c:v>5.2000572370000002</c:v>
                </c:pt>
                <c:pt idx="76">
                  <c:v>4.8257734660000002</c:v>
                </c:pt>
                <c:pt idx="77">
                  <c:v>4.0533167880000001</c:v>
                </c:pt>
                <c:pt idx="78">
                  <c:v>4.6364723359999997</c:v>
                </c:pt>
                <c:pt idx="79">
                  <c:v>4.7266649300000001</c:v>
                </c:pt>
                <c:pt idx="80">
                  <c:v>4.360307776</c:v>
                </c:pt>
                <c:pt idx="81">
                  <c:v>3.9246314500000001</c:v>
                </c:pt>
                <c:pt idx="82">
                  <c:v>4.2746575379999996</c:v>
                </c:pt>
                <c:pt idx="83">
                  <c:v>4.2493775280000001</c:v>
                </c:pt>
                <c:pt idx="84">
                  <c:v>4.8656836459999999</c:v>
                </c:pt>
                <c:pt idx="85">
                  <c:v>5.0214387609999998</c:v>
                </c:pt>
                <c:pt idx="86">
                  <c:v>5.1282379520000001</c:v>
                </c:pt>
                <c:pt idx="87">
                  <c:v>4.8616604289999996</c:v>
                </c:pt>
                <c:pt idx="88">
                  <c:v>3.9469536380000001</c:v>
                </c:pt>
                <c:pt idx="89">
                  <c:v>3.6165923019999999</c:v>
                </c:pt>
                <c:pt idx="90">
                  <c:v>4.1690108429999997</c:v>
                </c:pt>
                <c:pt idx="91">
                  <c:v>4.4782994120000001</c:v>
                </c:pt>
                <c:pt idx="92">
                  <c:v>3.413704697</c:v>
                </c:pt>
                <c:pt idx="93">
                  <c:v>4.2403387209999996</c:v>
                </c:pt>
                <c:pt idx="94">
                  <c:v>4.7659373860000001</c:v>
                </c:pt>
                <c:pt idx="95">
                  <c:v>3.9595645369999999</c:v>
                </c:pt>
                <c:pt idx="96">
                  <c:v>5.5345242749999999</c:v>
                </c:pt>
                <c:pt idx="97">
                  <c:v>3.3100607790000001</c:v>
                </c:pt>
                <c:pt idx="98">
                  <c:v>5.1098767269999996</c:v>
                </c:pt>
                <c:pt idx="99">
                  <c:v>5.2539679760000002</c:v>
                </c:pt>
                <c:pt idx="100">
                  <c:v>3.5873138839999998</c:v>
                </c:pt>
                <c:pt idx="101">
                  <c:v>4.4388783419999998</c:v>
                </c:pt>
                <c:pt idx="102">
                  <c:v>4.2618378410000002</c:v>
                </c:pt>
                <c:pt idx="103">
                  <c:v>5.1340377029999997</c:v>
                </c:pt>
                <c:pt idx="104">
                  <c:v>4.9624524470000004</c:v>
                </c:pt>
                <c:pt idx="105">
                  <c:v>4.5645120800000001</c:v>
                </c:pt>
                <c:pt idx="106">
                  <c:v>4.78789642</c:v>
                </c:pt>
                <c:pt idx="107">
                  <c:v>4.7713507420000001</c:v>
                </c:pt>
                <c:pt idx="108">
                  <c:v>4.3502923300000003</c:v>
                </c:pt>
                <c:pt idx="109">
                  <c:v>4.6440856500000001</c:v>
                </c:pt>
                <c:pt idx="110">
                  <c:v>4.6018393169999996</c:v>
                </c:pt>
                <c:pt idx="111">
                  <c:v>4.3839594689999997</c:v>
                </c:pt>
                <c:pt idx="112">
                  <c:v>5.4128319100000004</c:v>
                </c:pt>
                <c:pt idx="113">
                  <c:v>4.9621090969999999</c:v>
                </c:pt>
                <c:pt idx="114">
                  <c:v>5.0051933059999998</c:v>
                </c:pt>
                <c:pt idx="115">
                  <c:v>5.2549510020000003</c:v>
                </c:pt>
                <c:pt idx="116">
                  <c:v>3.7727269749999999</c:v>
                </c:pt>
                <c:pt idx="117">
                  <c:v>3.915543445</c:v>
                </c:pt>
                <c:pt idx="118">
                  <c:v>4.3192554149999998</c:v>
                </c:pt>
                <c:pt idx="119">
                  <c:v>5.0590278289999997</c:v>
                </c:pt>
                <c:pt idx="120">
                  <c:v>4.268679347</c:v>
                </c:pt>
                <c:pt idx="121">
                  <c:v>2.46855373</c:v>
                </c:pt>
                <c:pt idx="122">
                  <c:v>2.6703896579999999</c:v>
                </c:pt>
                <c:pt idx="123">
                  <c:v>4.5654229769999999</c:v>
                </c:pt>
                <c:pt idx="124">
                  <c:v>4.3393999059999997</c:v>
                </c:pt>
                <c:pt idx="125">
                  <c:v>4.8480457440000002</c:v>
                </c:pt>
                <c:pt idx="126">
                  <c:v>3.6281396290000001</c:v>
                </c:pt>
                <c:pt idx="127">
                  <c:v>4.3482550760000001</c:v>
                </c:pt>
                <c:pt idx="128">
                  <c:v>3.6524525639999998</c:v>
                </c:pt>
                <c:pt idx="129">
                  <c:v>4.3575847620000001</c:v>
                </c:pt>
                <c:pt idx="130">
                  <c:v>4.4993685709999998</c:v>
                </c:pt>
                <c:pt idx="131">
                  <c:v>5.1983697009999998</c:v>
                </c:pt>
                <c:pt idx="132">
                  <c:v>5.3106070650000001</c:v>
                </c:pt>
                <c:pt idx="133">
                  <c:v>4.848228421</c:v>
                </c:pt>
                <c:pt idx="134">
                  <c:v>4.519004153</c:v>
                </c:pt>
                <c:pt idx="135">
                  <c:v>4.4195609420000004</c:v>
                </c:pt>
              </c:numCache>
            </c:numRef>
          </c:xVal>
          <c:yVal>
            <c:numRef>
              <c:f>'xTB vs DFT Sterimol diazo B1'!$I$2:$I$137</c:f>
              <c:numCache>
                <c:formatCode>General</c:formatCode>
                <c:ptCount val="136"/>
                <c:pt idx="0">
                  <c:v>4.1046356360000003</c:v>
                </c:pt>
                <c:pt idx="1">
                  <c:v>4.1338032189999998</c:v>
                </c:pt>
                <c:pt idx="2">
                  <c:v>4.2024156049999997</c:v>
                </c:pt>
                <c:pt idx="3">
                  <c:v>4.2671460760000004</c:v>
                </c:pt>
                <c:pt idx="4">
                  <c:v>5.1080377590000001</c:v>
                </c:pt>
                <c:pt idx="5">
                  <c:v>4.1729566279999997</c:v>
                </c:pt>
                <c:pt idx="6">
                  <c:v>4.6298005240000002</c:v>
                </c:pt>
                <c:pt idx="7">
                  <c:v>5.0197913569999999</c:v>
                </c:pt>
                <c:pt idx="8">
                  <c:v>4.6912529489999999</c:v>
                </c:pt>
                <c:pt idx="9">
                  <c:v>4.5073560170000002</c:v>
                </c:pt>
                <c:pt idx="10">
                  <c:v>4.9210873749999999</c:v>
                </c:pt>
                <c:pt idx="11">
                  <c:v>4.4459397840000001</c:v>
                </c:pt>
                <c:pt idx="12">
                  <c:v>4.3125312520000003</c:v>
                </c:pt>
                <c:pt idx="13">
                  <c:v>4.8902917959999996</c:v>
                </c:pt>
                <c:pt idx="14">
                  <c:v>3.961197963</c:v>
                </c:pt>
                <c:pt idx="15">
                  <c:v>4.3874110039999996</c:v>
                </c:pt>
                <c:pt idx="16">
                  <c:v>4.7121986490000003</c:v>
                </c:pt>
                <c:pt idx="17">
                  <c:v>5.0521733580000001</c:v>
                </c:pt>
                <c:pt idx="18">
                  <c:v>5.0272684239999998</c:v>
                </c:pt>
                <c:pt idx="19">
                  <c:v>5.3424637160000001</c:v>
                </c:pt>
                <c:pt idx="20">
                  <c:v>5.1214329999999997</c:v>
                </c:pt>
                <c:pt idx="21">
                  <c:v>4.9108617419999998</c:v>
                </c:pt>
                <c:pt idx="22">
                  <c:v>4.1452788119999999</c:v>
                </c:pt>
                <c:pt idx="23">
                  <c:v>3.7584774009999999</c:v>
                </c:pt>
                <c:pt idx="24">
                  <c:v>2.9982437590000002</c:v>
                </c:pt>
                <c:pt idx="25">
                  <c:v>4.0585362250000001</c:v>
                </c:pt>
                <c:pt idx="26">
                  <c:v>3.9989503320000002</c:v>
                </c:pt>
                <c:pt idx="27">
                  <c:v>4.4923626680000002</c:v>
                </c:pt>
                <c:pt idx="28">
                  <c:v>6.4664675919999999</c:v>
                </c:pt>
                <c:pt idx="29">
                  <c:v>3.7625226559999998</c:v>
                </c:pt>
                <c:pt idx="30">
                  <c:v>4.9323029109999998</c:v>
                </c:pt>
                <c:pt idx="31">
                  <c:v>4.8753934409999999</c:v>
                </c:pt>
                <c:pt idx="32">
                  <c:v>4.7614069079999997</c:v>
                </c:pt>
                <c:pt idx="33">
                  <c:v>5.0558766300000002</c:v>
                </c:pt>
                <c:pt idx="34">
                  <c:v>4.784650149</c:v>
                </c:pt>
                <c:pt idx="35">
                  <c:v>4.2225992339999996</c:v>
                </c:pt>
                <c:pt idx="36">
                  <c:v>5.2228149339999996</c:v>
                </c:pt>
                <c:pt idx="37">
                  <c:v>4.3170530380000001</c:v>
                </c:pt>
                <c:pt idx="38">
                  <c:v>5.1375184850000002</c:v>
                </c:pt>
                <c:pt idx="39">
                  <c:v>4.8967100830000003</c:v>
                </c:pt>
                <c:pt idx="40">
                  <c:v>3.7714800319999999</c:v>
                </c:pt>
                <c:pt idx="41">
                  <c:v>4.6592011299999996</c:v>
                </c:pt>
                <c:pt idx="42">
                  <c:v>5.0390061509999997</c:v>
                </c:pt>
                <c:pt idx="43">
                  <c:v>5.1103873569999996</c:v>
                </c:pt>
                <c:pt idx="44">
                  <c:v>3.9509329019999999</c:v>
                </c:pt>
                <c:pt idx="45">
                  <c:v>4.7849300990000003</c:v>
                </c:pt>
                <c:pt idx="46">
                  <c:v>5.5699098200000003</c:v>
                </c:pt>
                <c:pt idx="47">
                  <c:v>4.5719705900000003</c:v>
                </c:pt>
                <c:pt idx="48">
                  <c:v>4.761424495</c:v>
                </c:pt>
                <c:pt idx="49">
                  <c:v>4.966414597</c:v>
                </c:pt>
                <c:pt idx="50">
                  <c:v>4.3100535789999999</c:v>
                </c:pt>
                <c:pt idx="51">
                  <c:v>4.8226806120000001</c:v>
                </c:pt>
                <c:pt idx="52">
                  <c:v>4.3562610709999996</c:v>
                </c:pt>
                <c:pt idx="53">
                  <c:v>4.6281124499999997</c:v>
                </c:pt>
                <c:pt idx="54">
                  <c:v>4.9299248809999998</c:v>
                </c:pt>
                <c:pt idx="55">
                  <c:v>3.0843514980000002</c:v>
                </c:pt>
                <c:pt idx="56">
                  <c:v>4.861220554</c:v>
                </c:pt>
                <c:pt idx="57">
                  <c:v>4.3373273350000003</c:v>
                </c:pt>
                <c:pt idx="58">
                  <c:v>5.0746934289999999</c:v>
                </c:pt>
                <c:pt idx="59">
                  <c:v>3.879530339</c:v>
                </c:pt>
                <c:pt idx="60">
                  <c:v>4.667664984</c:v>
                </c:pt>
                <c:pt idx="61">
                  <c:v>4.6579644480000004</c:v>
                </c:pt>
                <c:pt idx="62">
                  <c:v>4.6471966729999998</c:v>
                </c:pt>
                <c:pt idx="63">
                  <c:v>3.5076686929999998</c:v>
                </c:pt>
                <c:pt idx="64">
                  <c:v>4.4344929750000004</c:v>
                </c:pt>
                <c:pt idx="65">
                  <c:v>5.0591430549999998</c:v>
                </c:pt>
                <c:pt idx="66">
                  <c:v>4.4355785570000004</c:v>
                </c:pt>
                <c:pt idx="67">
                  <c:v>3.8407557259999998</c:v>
                </c:pt>
                <c:pt idx="68">
                  <c:v>4.9428456619999999</c:v>
                </c:pt>
                <c:pt idx="69">
                  <c:v>4.6153652019999996</c:v>
                </c:pt>
                <c:pt idx="70">
                  <c:v>3.8796642910000001</c:v>
                </c:pt>
                <c:pt idx="71">
                  <c:v>4.408113546</c:v>
                </c:pt>
                <c:pt idx="72">
                  <c:v>5.2195622339999996</c:v>
                </c:pt>
                <c:pt idx="73">
                  <c:v>4.3580875079999997</c:v>
                </c:pt>
                <c:pt idx="74">
                  <c:v>4.2695934910000002</c:v>
                </c:pt>
                <c:pt idx="75">
                  <c:v>5.2000572370000002</c:v>
                </c:pt>
                <c:pt idx="76">
                  <c:v>4.8257734660000002</c:v>
                </c:pt>
                <c:pt idx="77">
                  <c:v>4.0533167880000001</c:v>
                </c:pt>
                <c:pt idx="78">
                  <c:v>4.6364723359999997</c:v>
                </c:pt>
                <c:pt idx="79">
                  <c:v>4.7266649300000001</c:v>
                </c:pt>
                <c:pt idx="80">
                  <c:v>4.360307776</c:v>
                </c:pt>
                <c:pt idx="81">
                  <c:v>3.9246314500000001</c:v>
                </c:pt>
                <c:pt idx="82">
                  <c:v>4.2746575379999996</c:v>
                </c:pt>
                <c:pt idx="83">
                  <c:v>4.2493775280000001</c:v>
                </c:pt>
                <c:pt idx="84">
                  <c:v>4.8656836459999999</c:v>
                </c:pt>
                <c:pt idx="85">
                  <c:v>5.0214387609999998</c:v>
                </c:pt>
                <c:pt idx="86">
                  <c:v>5.1282379520000001</c:v>
                </c:pt>
                <c:pt idx="87">
                  <c:v>4.8616604289999996</c:v>
                </c:pt>
                <c:pt idx="88">
                  <c:v>3.9469536380000001</c:v>
                </c:pt>
                <c:pt idx="89">
                  <c:v>3.6165923019999999</c:v>
                </c:pt>
                <c:pt idx="90">
                  <c:v>4.1690108429999997</c:v>
                </c:pt>
                <c:pt idx="91">
                  <c:v>4.4782994120000001</c:v>
                </c:pt>
                <c:pt idx="92">
                  <c:v>3.413704697</c:v>
                </c:pt>
                <c:pt idx="93">
                  <c:v>4.2403387209999996</c:v>
                </c:pt>
                <c:pt idx="94">
                  <c:v>4.7659373860000001</c:v>
                </c:pt>
                <c:pt idx="95">
                  <c:v>3.9595645369999999</c:v>
                </c:pt>
                <c:pt idx="96">
                  <c:v>5.5345242749999999</c:v>
                </c:pt>
                <c:pt idx="97">
                  <c:v>3.3100607790000001</c:v>
                </c:pt>
                <c:pt idx="98">
                  <c:v>5.1098767269999996</c:v>
                </c:pt>
                <c:pt idx="99">
                  <c:v>5.2539679760000002</c:v>
                </c:pt>
                <c:pt idx="100">
                  <c:v>3.5873138839999998</c:v>
                </c:pt>
                <c:pt idx="101">
                  <c:v>4.4388783419999998</c:v>
                </c:pt>
                <c:pt idx="102">
                  <c:v>4.2618378410000002</c:v>
                </c:pt>
                <c:pt idx="103">
                  <c:v>5.1340377029999997</c:v>
                </c:pt>
                <c:pt idx="104">
                  <c:v>4.9624524470000004</c:v>
                </c:pt>
                <c:pt idx="105">
                  <c:v>4.5645120800000001</c:v>
                </c:pt>
                <c:pt idx="106">
                  <c:v>4.78789642</c:v>
                </c:pt>
                <c:pt idx="107">
                  <c:v>4.7713507420000001</c:v>
                </c:pt>
                <c:pt idx="108">
                  <c:v>4.3502923300000003</c:v>
                </c:pt>
                <c:pt idx="109">
                  <c:v>4.6440856500000001</c:v>
                </c:pt>
                <c:pt idx="110">
                  <c:v>4.6018393169999996</c:v>
                </c:pt>
                <c:pt idx="111">
                  <c:v>4.3839594689999997</c:v>
                </c:pt>
                <c:pt idx="112">
                  <c:v>5.4128319100000004</c:v>
                </c:pt>
                <c:pt idx="113">
                  <c:v>4.9621090969999999</c:v>
                </c:pt>
                <c:pt idx="114">
                  <c:v>5.0051933059999998</c:v>
                </c:pt>
                <c:pt idx="115">
                  <c:v>5.2549510020000003</c:v>
                </c:pt>
                <c:pt idx="116">
                  <c:v>3.7727269749999999</c:v>
                </c:pt>
                <c:pt idx="117">
                  <c:v>3.915543445</c:v>
                </c:pt>
                <c:pt idx="118">
                  <c:v>4.3192554149999998</c:v>
                </c:pt>
                <c:pt idx="119">
                  <c:v>5.0590278289999997</c:v>
                </c:pt>
                <c:pt idx="120">
                  <c:v>4.268679347</c:v>
                </c:pt>
                <c:pt idx="121">
                  <c:v>2.46855373</c:v>
                </c:pt>
                <c:pt idx="122">
                  <c:v>2.6703896579999999</c:v>
                </c:pt>
                <c:pt idx="123">
                  <c:v>4.5654229769999999</c:v>
                </c:pt>
                <c:pt idx="124">
                  <c:v>4.3393999059999997</c:v>
                </c:pt>
                <c:pt idx="125">
                  <c:v>4.8480457440000002</c:v>
                </c:pt>
                <c:pt idx="126">
                  <c:v>3.6281396290000001</c:v>
                </c:pt>
                <c:pt idx="127">
                  <c:v>4.3482550760000001</c:v>
                </c:pt>
                <c:pt idx="128">
                  <c:v>3.6524525639999998</c:v>
                </c:pt>
                <c:pt idx="129">
                  <c:v>4.3575847620000001</c:v>
                </c:pt>
                <c:pt idx="130">
                  <c:v>4.4993685709999998</c:v>
                </c:pt>
                <c:pt idx="131">
                  <c:v>5.1983697009999998</c:v>
                </c:pt>
                <c:pt idx="132">
                  <c:v>5.3106070650000001</c:v>
                </c:pt>
                <c:pt idx="133">
                  <c:v>4.848228421</c:v>
                </c:pt>
                <c:pt idx="134">
                  <c:v>4.519004153</c:v>
                </c:pt>
                <c:pt idx="135">
                  <c:v>4.4195609420000004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A6-40B4-923B-1377C726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7"/>
          <c:min val="2.299999999999999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B1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7"/>
          <c:min val="2.299999999999999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B1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B5</a:t>
            </a:r>
          </a:p>
        </c:rich>
      </c:tx>
      <c:layout>
        <c:manualLayout>
          <c:xMode val="edge"/>
          <c:yMode val="edge"/>
          <c:x val="0.4960222073595772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74000500764553"/>
                  <c:y val="-0.1552314814814814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i="0" u="none" strike="noStrike" baseline="0">
                        <a:effectLst/>
                      </a:rPr>
                      <a:t>B5</a:t>
                    </a:r>
                    <a:r>
                      <a:rPr lang="en-US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0.94B5</a:t>
                    </a:r>
                    <a:r>
                      <a:rPr lang="en-US" sz="1000" b="1" baseline="-25000"/>
                      <a:t>xTB</a:t>
                    </a:r>
                    <a:r>
                      <a:rPr lang="en-US" sz="1000" b="1" baseline="0"/>
                      <a:t> + 0.55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0.87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0.31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0.41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Sterimol diazo B5'!$B$2:$B$137</c:f>
              <c:numCache>
                <c:formatCode>General</c:formatCode>
                <c:ptCount val="136"/>
                <c:pt idx="0">
                  <c:v>6.5536188170000003</c:v>
                </c:pt>
                <c:pt idx="1">
                  <c:v>6.4155850550000002</c:v>
                </c:pt>
                <c:pt idx="2">
                  <c:v>7.9138196870000002</c:v>
                </c:pt>
                <c:pt idx="3">
                  <c:v>7.1091680430000004</c:v>
                </c:pt>
                <c:pt idx="4">
                  <c:v>6.8456635180000003</c:v>
                </c:pt>
                <c:pt idx="5">
                  <c:v>7.1861470929999998</c:v>
                </c:pt>
                <c:pt idx="6">
                  <c:v>7.4520760199999998</c:v>
                </c:pt>
                <c:pt idx="7">
                  <c:v>7.2238563009999996</c:v>
                </c:pt>
                <c:pt idx="8">
                  <c:v>7.1985747199999999</c:v>
                </c:pt>
                <c:pt idx="9">
                  <c:v>8.349433908</c:v>
                </c:pt>
                <c:pt idx="10">
                  <c:v>6.8345904700000002</c:v>
                </c:pt>
                <c:pt idx="11">
                  <c:v>7.0054066849999996</c:v>
                </c:pt>
                <c:pt idx="12">
                  <c:v>6.6834024530000002</c:v>
                </c:pt>
                <c:pt idx="13">
                  <c:v>6.8169683120000002</c:v>
                </c:pt>
                <c:pt idx="14">
                  <c:v>6.8627647620000003</c:v>
                </c:pt>
                <c:pt idx="15">
                  <c:v>7.2807971159999996</c:v>
                </c:pt>
                <c:pt idx="16">
                  <c:v>6.7990086769999998</c:v>
                </c:pt>
                <c:pt idx="17">
                  <c:v>8.4732332140000004</c:v>
                </c:pt>
                <c:pt idx="18">
                  <c:v>8.3077782290000002</c:v>
                </c:pt>
                <c:pt idx="19">
                  <c:v>8.4634807129999992</c:v>
                </c:pt>
                <c:pt idx="20">
                  <c:v>8.4540103539999993</c:v>
                </c:pt>
                <c:pt idx="21">
                  <c:v>8.8797852769999999</c:v>
                </c:pt>
                <c:pt idx="22">
                  <c:v>5.8228069959999997</c:v>
                </c:pt>
                <c:pt idx="23">
                  <c:v>5.8662954269999998</c:v>
                </c:pt>
                <c:pt idx="24">
                  <c:v>6.4843307970000001</c:v>
                </c:pt>
                <c:pt idx="25">
                  <c:v>7.695628986</c:v>
                </c:pt>
                <c:pt idx="26">
                  <c:v>8.1809079530000002</c:v>
                </c:pt>
                <c:pt idx="27">
                  <c:v>9.0536818290000003</c:v>
                </c:pt>
                <c:pt idx="28">
                  <c:v>11.911038319999999</c:v>
                </c:pt>
                <c:pt idx="29">
                  <c:v>10.574965219999999</c:v>
                </c:pt>
                <c:pt idx="30">
                  <c:v>10.456304149999999</c:v>
                </c:pt>
                <c:pt idx="31">
                  <c:v>7.9638048850000001</c:v>
                </c:pt>
                <c:pt idx="32">
                  <c:v>8.6414657310000003</c:v>
                </c:pt>
                <c:pt idx="33">
                  <c:v>8.3213122810000009</c:v>
                </c:pt>
                <c:pt idx="34">
                  <c:v>8.9020650529999994</c:v>
                </c:pt>
                <c:pt idx="35">
                  <c:v>8.0867563830000009</c:v>
                </c:pt>
                <c:pt idx="36">
                  <c:v>8.2191297320000007</c:v>
                </c:pt>
                <c:pt idx="37">
                  <c:v>8.3929945650000004</c:v>
                </c:pt>
                <c:pt idx="38">
                  <c:v>6.9372845740000004</c:v>
                </c:pt>
                <c:pt idx="39">
                  <c:v>8.8075263439999993</c:v>
                </c:pt>
                <c:pt idx="40">
                  <c:v>7.5423412760000001</c:v>
                </c:pt>
                <c:pt idx="41">
                  <c:v>6.9554189769999999</c:v>
                </c:pt>
                <c:pt idx="42">
                  <c:v>6.8617756959999996</c:v>
                </c:pt>
                <c:pt idx="43">
                  <c:v>7.850518385</c:v>
                </c:pt>
                <c:pt idx="44">
                  <c:v>6.833138537</c:v>
                </c:pt>
                <c:pt idx="45">
                  <c:v>7.152141576</c:v>
                </c:pt>
                <c:pt idx="46">
                  <c:v>9.6558912130000003</c:v>
                </c:pt>
                <c:pt idx="47">
                  <c:v>7.1393378390000004</c:v>
                </c:pt>
                <c:pt idx="48">
                  <c:v>8.8236780560000003</c:v>
                </c:pt>
                <c:pt idx="49">
                  <c:v>7.8365664050000001</c:v>
                </c:pt>
                <c:pt idx="50">
                  <c:v>7.934220152</c:v>
                </c:pt>
                <c:pt idx="51">
                  <c:v>6.9357153010000001</c:v>
                </c:pt>
                <c:pt idx="52">
                  <c:v>6.7761871410000003</c:v>
                </c:pt>
                <c:pt idx="53">
                  <c:v>7.0213043449999999</c:v>
                </c:pt>
                <c:pt idx="54">
                  <c:v>8.4426630449999998</c:v>
                </c:pt>
                <c:pt idx="55">
                  <c:v>7.6971382960000003</c:v>
                </c:pt>
                <c:pt idx="56">
                  <c:v>8.0784781189999997</c:v>
                </c:pt>
                <c:pt idx="57">
                  <c:v>7.5813391220000002</c:v>
                </c:pt>
                <c:pt idx="58">
                  <c:v>8.3716305250000005</c:v>
                </c:pt>
                <c:pt idx="59">
                  <c:v>10.4809529</c:v>
                </c:pt>
                <c:pt idx="60">
                  <c:v>6.8307855420000001</c:v>
                </c:pt>
                <c:pt idx="61">
                  <c:v>8.9471284610000001</c:v>
                </c:pt>
                <c:pt idx="62">
                  <c:v>10.95523721</c:v>
                </c:pt>
                <c:pt idx="63">
                  <c:v>7.3567297030000001</c:v>
                </c:pt>
                <c:pt idx="64">
                  <c:v>7.6014109190000001</c:v>
                </c:pt>
                <c:pt idx="65">
                  <c:v>8.1889392409999999</c:v>
                </c:pt>
                <c:pt idx="66">
                  <c:v>7.7557359330000004</c:v>
                </c:pt>
                <c:pt idx="67">
                  <c:v>7.2398641179999998</c:v>
                </c:pt>
                <c:pt idx="68">
                  <c:v>7.6256057210000003</c:v>
                </c:pt>
                <c:pt idx="69">
                  <c:v>7.649455025</c:v>
                </c:pt>
                <c:pt idx="70">
                  <c:v>6.6478187850000001</c:v>
                </c:pt>
                <c:pt idx="71">
                  <c:v>7.608658417</c:v>
                </c:pt>
                <c:pt idx="72">
                  <c:v>6.9114836999999998</c:v>
                </c:pt>
                <c:pt idx="73">
                  <c:v>8.4127463290000009</c:v>
                </c:pt>
                <c:pt idx="74">
                  <c:v>7.4536065259999997</c:v>
                </c:pt>
                <c:pt idx="75">
                  <c:v>8.0939283639999999</c:v>
                </c:pt>
                <c:pt idx="76">
                  <c:v>7.1012390590000001</c:v>
                </c:pt>
                <c:pt idx="77">
                  <c:v>9.1091433530000003</c:v>
                </c:pt>
                <c:pt idx="78">
                  <c:v>7.0708611909999997</c:v>
                </c:pt>
                <c:pt idx="79">
                  <c:v>7.0390853690000004</c:v>
                </c:pt>
                <c:pt idx="80">
                  <c:v>7.535967962</c:v>
                </c:pt>
                <c:pt idx="81">
                  <c:v>6.8587769209999996</c:v>
                </c:pt>
                <c:pt idx="82">
                  <c:v>7.8096380410000004</c:v>
                </c:pt>
                <c:pt idx="83">
                  <c:v>8.1305070980000007</c:v>
                </c:pt>
                <c:pt idx="84">
                  <c:v>8.3292454080000002</c:v>
                </c:pt>
                <c:pt idx="85">
                  <c:v>8.398034784</c:v>
                </c:pt>
                <c:pt idx="86">
                  <c:v>8.4411068710000006</c:v>
                </c:pt>
                <c:pt idx="87">
                  <c:v>8.2309935299999992</c:v>
                </c:pt>
                <c:pt idx="88">
                  <c:v>5.7008304159999996</c:v>
                </c:pt>
                <c:pt idx="89">
                  <c:v>6.6998881590000003</c:v>
                </c:pt>
                <c:pt idx="90">
                  <c:v>5.8953866289999999</c:v>
                </c:pt>
                <c:pt idx="91">
                  <c:v>8.0290241570000003</c:v>
                </c:pt>
                <c:pt idx="92">
                  <c:v>8.4452849059999995</c:v>
                </c:pt>
                <c:pt idx="93">
                  <c:v>8.1418813669999999</c:v>
                </c:pt>
                <c:pt idx="94">
                  <c:v>11.815099849999999</c:v>
                </c:pt>
                <c:pt idx="95">
                  <c:v>10.194128299999999</c:v>
                </c:pt>
                <c:pt idx="96">
                  <c:v>9.8813296029999993</c:v>
                </c:pt>
                <c:pt idx="97">
                  <c:v>9.2116496399999992</c:v>
                </c:pt>
                <c:pt idx="98">
                  <c:v>6.6038496719999999</c:v>
                </c:pt>
                <c:pt idx="99">
                  <c:v>8.5229762200000003</c:v>
                </c:pt>
                <c:pt idx="100">
                  <c:v>9.0863739530000007</c:v>
                </c:pt>
                <c:pt idx="101">
                  <c:v>9.6066726599999992</c:v>
                </c:pt>
                <c:pt idx="102">
                  <c:v>12.200198759999999</c:v>
                </c:pt>
                <c:pt idx="103">
                  <c:v>7.1071347429999996</c:v>
                </c:pt>
                <c:pt idx="104">
                  <c:v>8.8081999090000007</c:v>
                </c:pt>
                <c:pt idx="105">
                  <c:v>7.6578616310000003</c:v>
                </c:pt>
                <c:pt idx="106">
                  <c:v>9.1254103069999992</c:v>
                </c:pt>
                <c:pt idx="107">
                  <c:v>6.8079755090000003</c:v>
                </c:pt>
                <c:pt idx="108">
                  <c:v>6.7936868739999996</c:v>
                </c:pt>
                <c:pt idx="109">
                  <c:v>6.94225563</c:v>
                </c:pt>
                <c:pt idx="110">
                  <c:v>7.6447733610000004</c:v>
                </c:pt>
                <c:pt idx="111">
                  <c:v>8.1615744039999996</c:v>
                </c:pt>
                <c:pt idx="112">
                  <c:v>8.8921661699999994</c:v>
                </c:pt>
                <c:pt idx="113">
                  <c:v>7.8400156499999998</c:v>
                </c:pt>
                <c:pt idx="114">
                  <c:v>8.674470114</c:v>
                </c:pt>
                <c:pt idx="115">
                  <c:v>7.0659216269999998</c:v>
                </c:pt>
                <c:pt idx="116">
                  <c:v>7.9662003319999997</c:v>
                </c:pt>
                <c:pt idx="117">
                  <c:v>8.1767987790000003</c:v>
                </c:pt>
                <c:pt idx="118">
                  <c:v>7.9423955770000001</c:v>
                </c:pt>
                <c:pt idx="119">
                  <c:v>8.2397554619999998</c:v>
                </c:pt>
                <c:pt idx="120">
                  <c:v>8.1691120359999996</c:v>
                </c:pt>
                <c:pt idx="121">
                  <c:v>7.1265753729999997</c:v>
                </c:pt>
                <c:pt idx="122">
                  <c:v>9.3348399440000005</c:v>
                </c:pt>
                <c:pt idx="123">
                  <c:v>8.6541243150000007</c:v>
                </c:pt>
                <c:pt idx="124">
                  <c:v>6.723827784</c:v>
                </c:pt>
                <c:pt idx="125">
                  <c:v>8.2930864010000001</c:v>
                </c:pt>
                <c:pt idx="126">
                  <c:v>8.0737637200000005</c:v>
                </c:pt>
                <c:pt idx="127">
                  <c:v>8.4055053789999992</c:v>
                </c:pt>
                <c:pt idx="128">
                  <c:v>7.1099046279999998</c:v>
                </c:pt>
                <c:pt idx="129">
                  <c:v>7.8316110349999999</c:v>
                </c:pt>
                <c:pt idx="130">
                  <c:v>8.0047604559999996</c:v>
                </c:pt>
                <c:pt idx="131">
                  <c:v>8.0079662319999994</c:v>
                </c:pt>
                <c:pt idx="132">
                  <c:v>8.0375312389999998</c:v>
                </c:pt>
                <c:pt idx="133">
                  <c:v>8.5095642009999999</c:v>
                </c:pt>
                <c:pt idx="134">
                  <c:v>8.1934284260000005</c:v>
                </c:pt>
                <c:pt idx="135">
                  <c:v>8.0726542810000002</c:v>
                </c:pt>
              </c:numCache>
            </c:numRef>
          </c:xVal>
          <c:yVal>
            <c:numRef>
              <c:f>'xTB vs DFT Sterimol diazo B5'!$C$2:$C$137</c:f>
              <c:numCache>
                <c:formatCode>General</c:formatCode>
                <c:ptCount val="136"/>
                <c:pt idx="0">
                  <c:v>6.6065487750000003</c:v>
                </c:pt>
                <c:pt idx="1">
                  <c:v>6.6563333650000001</c:v>
                </c:pt>
                <c:pt idx="2">
                  <c:v>8.0519470599999998</c:v>
                </c:pt>
                <c:pt idx="3">
                  <c:v>7.7721489689999999</c:v>
                </c:pt>
                <c:pt idx="4">
                  <c:v>6.8170246939999997</c:v>
                </c:pt>
                <c:pt idx="5">
                  <c:v>7.0402421479999999</c:v>
                </c:pt>
                <c:pt idx="6">
                  <c:v>7.6787686710000003</c:v>
                </c:pt>
                <c:pt idx="7">
                  <c:v>8.3551339890000005</c:v>
                </c:pt>
                <c:pt idx="8">
                  <c:v>7.0922241020000003</c:v>
                </c:pt>
                <c:pt idx="9">
                  <c:v>8.5090936639999999</c:v>
                </c:pt>
                <c:pt idx="10">
                  <c:v>6.8487858780000002</c:v>
                </c:pt>
                <c:pt idx="11">
                  <c:v>7.2805719949999999</c:v>
                </c:pt>
                <c:pt idx="12">
                  <c:v>6.8101211490000004</c:v>
                </c:pt>
                <c:pt idx="13">
                  <c:v>6.8729026429999998</c:v>
                </c:pt>
                <c:pt idx="14">
                  <c:v>6.9472303789999996</c:v>
                </c:pt>
                <c:pt idx="15">
                  <c:v>6.9346706149999999</c:v>
                </c:pt>
                <c:pt idx="16">
                  <c:v>6.9240499040000003</c:v>
                </c:pt>
                <c:pt idx="17">
                  <c:v>8.6974831310000003</c:v>
                </c:pt>
                <c:pt idx="18">
                  <c:v>7.8791946270000004</c:v>
                </c:pt>
                <c:pt idx="19">
                  <c:v>7.6961381720000004</c:v>
                </c:pt>
                <c:pt idx="20">
                  <c:v>8.4242326050000003</c:v>
                </c:pt>
                <c:pt idx="21">
                  <c:v>8.9475414059999991</c:v>
                </c:pt>
                <c:pt idx="22">
                  <c:v>6.1318284790000002</c:v>
                </c:pt>
                <c:pt idx="23">
                  <c:v>6.1166930150000001</c:v>
                </c:pt>
                <c:pt idx="24">
                  <c:v>6.2040710309999998</c:v>
                </c:pt>
                <c:pt idx="25">
                  <c:v>7.8811112730000001</c:v>
                </c:pt>
                <c:pt idx="26">
                  <c:v>8.3771338340000003</c:v>
                </c:pt>
                <c:pt idx="27">
                  <c:v>8.2594594969999999</c:v>
                </c:pt>
                <c:pt idx="28">
                  <c:v>11.77987319</c:v>
                </c:pt>
                <c:pt idx="29">
                  <c:v>10.78912789</c:v>
                </c:pt>
                <c:pt idx="30">
                  <c:v>9.7094118349999992</c:v>
                </c:pt>
                <c:pt idx="31">
                  <c:v>8.2345712649999996</c:v>
                </c:pt>
                <c:pt idx="32">
                  <c:v>9.6282736920000005</c:v>
                </c:pt>
                <c:pt idx="33">
                  <c:v>8.5955296879999992</c:v>
                </c:pt>
                <c:pt idx="34">
                  <c:v>9.0728210160000007</c:v>
                </c:pt>
                <c:pt idx="35">
                  <c:v>9.0800418290000007</c:v>
                </c:pt>
                <c:pt idx="36">
                  <c:v>8.5363958029999996</c:v>
                </c:pt>
                <c:pt idx="37">
                  <c:v>8.7022732739999995</c:v>
                </c:pt>
                <c:pt idx="38">
                  <c:v>7.1178664679999999</c:v>
                </c:pt>
                <c:pt idx="39">
                  <c:v>9.0110656910000007</c:v>
                </c:pt>
                <c:pt idx="40">
                  <c:v>7.6500469320000004</c:v>
                </c:pt>
                <c:pt idx="41">
                  <c:v>6.5963790329999998</c:v>
                </c:pt>
                <c:pt idx="42">
                  <c:v>6.9364995560000002</c:v>
                </c:pt>
                <c:pt idx="43">
                  <c:v>7.6748389169999998</c:v>
                </c:pt>
                <c:pt idx="44">
                  <c:v>7.0411650520000002</c:v>
                </c:pt>
                <c:pt idx="45">
                  <c:v>7.4163099109999999</c:v>
                </c:pt>
                <c:pt idx="46">
                  <c:v>9.5410028810000007</c:v>
                </c:pt>
                <c:pt idx="47">
                  <c:v>7.1406184660000003</c:v>
                </c:pt>
                <c:pt idx="48">
                  <c:v>8.6460097979999997</c:v>
                </c:pt>
                <c:pt idx="49">
                  <c:v>8.1017390640000002</c:v>
                </c:pt>
                <c:pt idx="50">
                  <c:v>7.1743735080000004</c:v>
                </c:pt>
                <c:pt idx="51">
                  <c:v>7.2860229539999999</c:v>
                </c:pt>
                <c:pt idx="52">
                  <c:v>6.7770463129999996</c:v>
                </c:pt>
                <c:pt idx="53">
                  <c:v>6.9240986739999997</c:v>
                </c:pt>
                <c:pt idx="54">
                  <c:v>8.3699809849999998</c:v>
                </c:pt>
                <c:pt idx="55">
                  <c:v>7.3456383790000004</c:v>
                </c:pt>
                <c:pt idx="56">
                  <c:v>8.1137398780000005</c:v>
                </c:pt>
                <c:pt idx="57">
                  <c:v>7.8855737680000004</c:v>
                </c:pt>
                <c:pt idx="58">
                  <c:v>8.9048397769999994</c:v>
                </c:pt>
                <c:pt idx="59">
                  <c:v>11.34251068</c:v>
                </c:pt>
                <c:pt idx="60">
                  <c:v>7.0224754379999998</c:v>
                </c:pt>
                <c:pt idx="61">
                  <c:v>9.1986160649999995</c:v>
                </c:pt>
                <c:pt idx="62">
                  <c:v>11.35027886</c:v>
                </c:pt>
                <c:pt idx="63">
                  <c:v>7.3220855670000002</c:v>
                </c:pt>
                <c:pt idx="64">
                  <c:v>7.6360981570000002</c:v>
                </c:pt>
                <c:pt idx="65">
                  <c:v>7.8330955040000001</c:v>
                </c:pt>
                <c:pt idx="66">
                  <c:v>8.2487511579999993</c:v>
                </c:pt>
                <c:pt idx="67">
                  <c:v>7.368072658</c:v>
                </c:pt>
                <c:pt idx="68">
                  <c:v>7.9804981130000003</c:v>
                </c:pt>
                <c:pt idx="69">
                  <c:v>7.7504999510000001</c:v>
                </c:pt>
                <c:pt idx="70">
                  <c:v>6.6562436280000004</c:v>
                </c:pt>
                <c:pt idx="71">
                  <c:v>7.6231366999999999</c:v>
                </c:pt>
                <c:pt idx="72">
                  <c:v>7.3084553100000003</c:v>
                </c:pt>
                <c:pt idx="73">
                  <c:v>8.6628341449999997</c:v>
                </c:pt>
                <c:pt idx="74">
                  <c:v>7.4295215749999999</c:v>
                </c:pt>
                <c:pt idx="75">
                  <c:v>8.3160264119999994</c:v>
                </c:pt>
                <c:pt idx="76">
                  <c:v>7.0710813430000004</c:v>
                </c:pt>
                <c:pt idx="77">
                  <c:v>9.4994829759999995</c:v>
                </c:pt>
                <c:pt idx="78">
                  <c:v>6.8855914370000004</c:v>
                </c:pt>
                <c:pt idx="79">
                  <c:v>7.2806670359999996</c:v>
                </c:pt>
                <c:pt idx="80">
                  <c:v>7.2398474330000004</c:v>
                </c:pt>
                <c:pt idx="81">
                  <c:v>6.9465084399999997</c:v>
                </c:pt>
                <c:pt idx="82">
                  <c:v>8.5501105049999993</c:v>
                </c:pt>
                <c:pt idx="83">
                  <c:v>8.2392907389999994</c:v>
                </c:pt>
                <c:pt idx="84">
                  <c:v>7.8780436109999998</c:v>
                </c:pt>
                <c:pt idx="85">
                  <c:v>7.8558063469999997</c:v>
                </c:pt>
                <c:pt idx="86">
                  <c:v>8.5601460169999992</c:v>
                </c:pt>
                <c:pt idx="87">
                  <c:v>9.0603674079999994</c:v>
                </c:pt>
                <c:pt idx="88">
                  <c:v>6.1324568360000002</c:v>
                </c:pt>
                <c:pt idx="89">
                  <c:v>6.1352703560000004</c:v>
                </c:pt>
                <c:pt idx="90">
                  <c:v>6.2113880579999998</c:v>
                </c:pt>
                <c:pt idx="91">
                  <c:v>8.5087918840000007</c:v>
                </c:pt>
                <c:pt idx="92">
                  <c:v>8.6712121450000001</c:v>
                </c:pt>
                <c:pt idx="93">
                  <c:v>8.3984161789999998</c:v>
                </c:pt>
                <c:pt idx="94">
                  <c:v>11.96401713</c:v>
                </c:pt>
                <c:pt idx="95">
                  <c:v>9.6238103840000004</c:v>
                </c:pt>
                <c:pt idx="96">
                  <c:v>9.6189809509999993</c:v>
                </c:pt>
                <c:pt idx="97">
                  <c:v>9.8936357109999999</c:v>
                </c:pt>
                <c:pt idx="98">
                  <c:v>6.7184648539999996</c:v>
                </c:pt>
                <c:pt idx="99">
                  <c:v>8.9995008769999991</c:v>
                </c:pt>
                <c:pt idx="100">
                  <c:v>9.0508137449999992</c:v>
                </c:pt>
                <c:pt idx="101">
                  <c:v>9.3826416909999999</c:v>
                </c:pt>
                <c:pt idx="102">
                  <c:v>11.094075159999999</c:v>
                </c:pt>
                <c:pt idx="103">
                  <c:v>6.9246142510000004</c:v>
                </c:pt>
                <c:pt idx="104">
                  <c:v>9.0120280840000007</c:v>
                </c:pt>
                <c:pt idx="105">
                  <c:v>7.6657780620000002</c:v>
                </c:pt>
                <c:pt idx="106">
                  <c:v>9.2897038950000006</c:v>
                </c:pt>
                <c:pt idx="107">
                  <c:v>6.8846911730000002</c:v>
                </c:pt>
                <c:pt idx="108">
                  <c:v>6.9530316670000003</c:v>
                </c:pt>
                <c:pt idx="109">
                  <c:v>7.0957287139999998</c:v>
                </c:pt>
                <c:pt idx="110">
                  <c:v>7.6625626479999998</c:v>
                </c:pt>
                <c:pt idx="111">
                  <c:v>8.3456842130000002</c:v>
                </c:pt>
                <c:pt idx="112">
                  <c:v>8.6328365389999995</c:v>
                </c:pt>
                <c:pt idx="113">
                  <c:v>7.7647256999999996</c:v>
                </c:pt>
                <c:pt idx="114">
                  <c:v>8.5561981209999995</c:v>
                </c:pt>
                <c:pt idx="115">
                  <c:v>7.1029460560000004</c:v>
                </c:pt>
                <c:pt idx="116">
                  <c:v>7.3475376969999999</c:v>
                </c:pt>
                <c:pt idx="117">
                  <c:v>7.2564723469999999</c:v>
                </c:pt>
                <c:pt idx="118">
                  <c:v>7.1667982730000004</c:v>
                </c:pt>
                <c:pt idx="119">
                  <c:v>8.4047715820000004</c:v>
                </c:pt>
                <c:pt idx="120">
                  <c:v>7.5900182420000002</c:v>
                </c:pt>
                <c:pt idx="121">
                  <c:v>7.4932051990000001</c:v>
                </c:pt>
                <c:pt idx="122">
                  <c:v>9.480086708</c:v>
                </c:pt>
                <c:pt idx="123">
                  <c:v>8.9243373800000008</c:v>
                </c:pt>
                <c:pt idx="124">
                  <c:v>7.4994484950000002</c:v>
                </c:pt>
                <c:pt idx="125">
                  <c:v>8.3907663459999995</c:v>
                </c:pt>
                <c:pt idx="126">
                  <c:v>7.9359126980000001</c:v>
                </c:pt>
                <c:pt idx="127">
                  <c:v>7.146219243</c:v>
                </c:pt>
                <c:pt idx="128">
                  <c:v>7.6485996390000004</c:v>
                </c:pt>
                <c:pt idx="129">
                  <c:v>7.891227743</c:v>
                </c:pt>
                <c:pt idx="130">
                  <c:v>7.0275222240000002</c:v>
                </c:pt>
                <c:pt idx="131">
                  <c:v>7.9408092689999998</c:v>
                </c:pt>
                <c:pt idx="132">
                  <c:v>7.7977200560000002</c:v>
                </c:pt>
                <c:pt idx="133">
                  <c:v>7.3981672500000002</c:v>
                </c:pt>
                <c:pt idx="134">
                  <c:v>9.1043036439999998</c:v>
                </c:pt>
                <c:pt idx="135">
                  <c:v>8.4607352129999995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E-4E8A-98BB-5F5C0CD70D8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Sterimol diazo B5'!$B$2:$B$137</c:f>
              <c:numCache>
                <c:formatCode>General</c:formatCode>
                <c:ptCount val="136"/>
                <c:pt idx="0">
                  <c:v>6.5536188170000003</c:v>
                </c:pt>
                <c:pt idx="1">
                  <c:v>6.4155850550000002</c:v>
                </c:pt>
                <c:pt idx="2">
                  <c:v>7.9138196870000002</c:v>
                </c:pt>
                <c:pt idx="3">
                  <c:v>7.1091680430000004</c:v>
                </c:pt>
                <c:pt idx="4">
                  <c:v>6.8456635180000003</c:v>
                </c:pt>
                <c:pt idx="5">
                  <c:v>7.1861470929999998</c:v>
                </c:pt>
                <c:pt idx="6">
                  <c:v>7.4520760199999998</c:v>
                </c:pt>
                <c:pt idx="7">
                  <c:v>7.2238563009999996</c:v>
                </c:pt>
                <c:pt idx="8">
                  <c:v>7.1985747199999999</c:v>
                </c:pt>
                <c:pt idx="9">
                  <c:v>8.349433908</c:v>
                </c:pt>
                <c:pt idx="10">
                  <c:v>6.8345904700000002</c:v>
                </c:pt>
                <c:pt idx="11">
                  <c:v>7.0054066849999996</c:v>
                </c:pt>
                <c:pt idx="12">
                  <c:v>6.6834024530000002</c:v>
                </c:pt>
                <c:pt idx="13">
                  <c:v>6.8169683120000002</c:v>
                </c:pt>
                <c:pt idx="14">
                  <c:v>6.8627647620000003</c:v>
                </c:pt>
                <c:pt idx="15">
                  <c:v>7.2807971159999996</c:v>
                </c:pt>
                <c:pt idx="16">
                  <c:v>6.7990086769999998</c:v>
                </c:pt>
                <c:pt idx="17">
                  <c:v>8.4732332140000004</c:v>
                </c:pt>
                <c:pt idx="18">
                  <c:v>8.3077782290000002</c:v>
                </c:pt>
                <c:pt idx="19">
                  <c:v>8.4634807129999992</c:v>
                </c:pt>
                <c:pt idx="20">
                  <c:v>8.4540103539999993</c:v>
                </c:pt>
                <c:pt idx="21">
                  <c:v>8.8797852769999999</c:v>
                </c:pt>
                <c:pt idx="22">
                  <c:v>5.8228069959999997</c:v>
                </c:pt>
                <c:pt idx="23">
                  <c:v>5.8662954269999998</c:v>
                </c:pt>
                <c:pt idx="24">
                  <c:v>6.4843307970000001</c:v>
                </c:pt>
                <c:pt idx="25">
                  <c:v>7.695628986</c:v>
                </c:pt>
                <c:pt idx="26">
                  <c:v>8.1809079530000002</c:v>
                </c:pt>
                <c:pt idx="27">
                  <c:v>9.0536818290000003</c:v>
                </c:pt>
                <c:pt idx="28">
                  <c:v>11.911038319999999</c:v>
                </c:pt>
                <c:pt idx="29">
                  <c:v>10.574965219999999</c:v>
                </c:pt>
                <c:pt idx="30">
                  <c:v>10.456304149999999</c:v>
                </c:pt>
                <c:pt idx="31">
                  <c:v>7.9638048850000001</c:v>
                </c:pt>
                <c:pt idx="32">
                  <c:v>8.6414657310000003</c:v>
                </c:pt>
                <c:pt idx="33">
                  <c:v>8.3213122810000009</c:v>
                </c:pt>
                <c:pt idx="34">
                  <c:v>8.9020650529999994</c:v>
                </c:pt>
                <c:pt idx="35">
                  <c:v>8.0867563830000009</c:v>
                </c:pt>
                <c:pt idx="36">
                  <c:v>8.2191297320000007</c:v>
                </c:pt>
                <c:pt idx="37">
                  <c:v>8.3929945650000004</c:v>
                </c:pt>
                <c:pt idx="38">
                  <c:v>6.9372845740000004</c:v>
                </c:pt>
                <c:pt idx="39">
                  <c:v>8.8075263439999993</c:v>
                </c:pt>
                <c:pt idx="40">
                  <c:v>7.5423412760000001</c:v>
                </c:pt>
                <c:pt idx="41">
                  <c:v>6.9554189769999999</c:v>
                </c:pt>
                <c:pt idx="42">
                  <c:v>6.8617756959999996</c:v>
                </c:pt>
                <c:pt idx="43">
                  <c:v>7.850518385</c:v>
                </c:pt>
                <c:pt idx="44">
                  <c:v>6.833138537</c:v>
                </c:pt>
                <c:pt idx="45">
                  <c:v>7.152141576</c:v>
                </c:pt>
                <c:pt idx="46">
                  <c:v>9.6558912130000003</c:v>
                </c:pt>
                <c:pt idx="47">
                  <c:v>7.1393378390000004</c:v>
                </c:pt>
                <c:pt idx="48">
                  <c:v>8.8236780560000003</c:v>
                </c:pt>
                <c:pt idx="49">
                  <c:v>7.8365664050000001</c:v>
                </c:pt>
                <c:pt idx="50">
                  <c:v>7.934220152</c:v>
                </c:pt>
                <c:pt idx="51">
                  <c:v>6.9357153010000001</c:v>
                </c:pt>
                <c:pt idx="52">
                  <c:v>6.7761871410000003</c:v>
                </c:pt>
                <c:pt idx="53">
                  <c:v>7.0213043449999999</c:v>
                </c:pt>
                <c:pt idx="54">
                  <c:v>8.4426630449999998</c:v>
                </c:pt>
                <c:pt idx="55">
                  <c:v>7.6971382960000003</c:v>
                </c:pt>
                <c:pt idx="56">
                  <c:v>8.0784781189999997</c:v>
                </c:pt>
                <c:pt idx="57">
                  <c:v>7.5813391220000002</c:v>
                </c:pt>
                <c:pt idx="58">
                  <c:v>8.3716305250000005</c:v>
                </c:pt>
                <c:pt idx="59">
                  <c:v>10.4809529</c:v>
                </c:pt>
                <c:pt idx="60">
                  <c:v>6.8307855420000001</c:v>
                </c:pt>
                <c:pt idx="61">
                  <c:v>8.9471284610000001</c:v>
                </c:pt>
                <c:pt idx="62">
                  <c:v>10.95523721</c:v>
                </c:pt>
                <c:pt idx="63">
                  <c:v>7.3567297030000001</c:v>
                </c:pt>
                <c:pt idx="64">
                  <c:v>7.6014109190000001</c:v>
                </c:pt>
                <c:pt idx="65">
                  <c:v>8.1889392409999999</c:v>
                </c:pt>
                <c:pt idx="66">
                  <c:v>7.7557359330000004</c:v>
                </c:pt>
                <c:pt idx="67">
                  <c:v>7.2398641179999998</c:v>
                </c:pt>
                <c:pt idx="68">
                  <c:v>7.6256057210000003</c:v>
                </c:pt>
                <c:pt idx="69">
                  <c:v>7.649455025</c:v>
                </c:pt>
                <c:pt idx="70">
                  <c:v>6.6478187850000001</c:v>
                </c:pt>
                <c:pt idx="71">
                  <c:v>7.608658417</c:v>
                </c:pt>
                <c:pt idx="72">
                  <c:v>6.9114836999999998</c:v>
                </c:pt>
                <c:pt idx="73">
                  <c:v>8.4127463290000009</c:v>
                </c:pt>
                <c:pt idx="74">
                  <c:v>7.4536065259999997</c:v>
                </c:pt>
                <c:pt idx="75">
                  <c:v>8.0939283639999999</c:v>
                </c:pt>
                <c:pt idx="76">
                  <c:v>7.1012390590000001</c:v>
                </c:pt>
                <c:pt idx="77">
                  <c:v>9.1091433530000003</c:v>
                </c:pt>
                <c:pt idx="78">
                  <c:v>7.0708611909999997</c:v>
                </c:pt>
                <c:pt idx="79">
                  <c:v>7.0390853690000004</c:v>
                </c:pt>
                <c:pt idx="80">
                  <c:v>7.535967962</c:v>
                </c:pt>
                <c:pt idx="81">
                  <c:v>6.8587769209999996</c:v>
                </c:pt>
                <c:pt idx="82">
                  <c:v>7.8096380410000004</c:v>
                </c:pt>
                <c:pt idx="83">
                  <c:v>8.1305070980000007</c:v>
                </c:pt>
                <c:pt idx="84">
                  <c:v>8.3292454080000002</c:v>
                </c:pt>
                <c:pt idx="85">
                  <c:v>8.398034784</c:v>
                </c:pt>
                <c:pt idx="86">
                  <c:v>8.4411068710000006</c:v>
                </c:pt>
                <c:pt idx="87">
                  <c:v>8.2309935299999992</c:v>
                </c:pt>
                <c:pt idx="88">
                  <c:v>5.7008304159999996</c:v>
                </c:pt>
                <c:pt idx="89">
                  <c:v>6.6998881590000003</c:v>
                </c:pt>
                <c:pt idx="90">
                  <c:v>5.8953866289999999</c:v>
                </c:pt>
                <c:pt idx="91">
                  <c:v>8.0290241570000003</c:v>
                </c:pt>
                <c:pt idx="92">
                  <c:v>8.4452849059999995</c:v>
                </c:pt>
                <c:pt idx="93">
                  <c:v>8.1418813669999999</c:v>
                </c:pt>
                <c:pt idx="94">
                  <c:v>11.815099849999999</c:v>
                </c:pt>
                <c:pt idx="95">
                  <c:v>10.194128299999999</c:v>
                </c:pt>
                <c:pt idx="96">
                  <c:v>9.8813296029999993</c:v>
                </c:pt>
                <c:pt idx="97">
                  <c:v>9.2116496399999992</c:v>
                </c:pt>
                <c:pt idx="98">
                  <c:v>6.6038496719999999</c:v>
                </c:pt>
                <c:pt idx="99">
                  <c:v>8.5229762200000003</c:v>
                </c:pt>
                <c:pt idx="100">
                  <c:v>9.0863739530000007</c:v>
                </c:pt>
                <c:pt idx="101">
                  <c:v>9.6066726599999992</c:v>
                </c:pt>
                <c:pt idx="102">
                  <c:v>12.200198759999999</c:v>
                </c:pt>
                <c:pt idx="103">
                  <c:v>7.1071347429999996</c:v>
                </c:pt>
                <c:pt idx="104">
                  <c:v>8.8081999090000007</c:v>
                </c:pt>
                <c:pt idx="105">
                  <c:v>7.6578616310000003</c:v>
                </c:pt>
                <c:pt idx="106">
                  <c:v>9.1254103069999992</c:v>
                </c:pt>
                <c:pt idx="107">
                  <c:v>6.8079755090000003</c:v>
                </c:pt>
                <c:pt idx="108">
                  <c:v>6.7936868739999996</c:v>
                </c:pt>
                <c:pt idx="109">
                  <c:v>6.94225563</c:v>
                </c:pt>
                <c:pt idx="110">
                  <c:v>7.6447733610000004</c:v>
                </c:pt>
                <c:pt idx="111">
                  <c:v>8.1615744039999996</c:v>
                </c:pt>
                <c:pt idx="112">
                  <c:v>8.8921661699999994</c:v>
                </c:pt>
                <c:pt idx="113">
                  <c:v>7.8400156499999998</c:v>
                </c:pt>
                <c:pt idx="114">
                  <c:v>8.674470114</c:v>
                </c:pt>
                <c:pt idx="115">
                  <c:v>7.0659216269999998</c:v>
                </c:pt>
                <c:pt idx="116">
                  <c:v>7.9662003319999997</c:v>
                </c:pt>
                <c:pt idx="117">
                  <c:v>8.1767987790000003</c:v>
                </c:pt>
                <c:pt idx="118">
                  <c:v>7.9423955770000001</c:v>
                </c:pt>
                <c:pt idx="119">
                  <c:v>8.2397554619999998</c:v>
                </c:pt>
                <c:pt idx="120">
                  <c:v>8.1691120359999996</c:v>
                </c:pt>
                <c:pt idx="121">
                  <c:v>7.1265753729999997</c:v>
                </c:pt>
                <c:pt idx="122">
                  <c:v>9.3348399440000005</c:v>
                </c:pt>
                <c:pt idx="123">
                  <c:v>8.6541243150000007</c:v>
                </c:pt>
                <c:pt idx="124">
                  <c:v>6.723827784</c:v>
                </c:pt>
                <c:pt idx="125">
                  <c:v>8.2930864010000001</c:v>
                </c:pt>
                <c:pt idx="126">
                  <c:v>8.0737637200000005</c:v>
                </c:pt>
                <c:pt idx="127">
                  <c:v>8.4055053789999992</c:v>
                </c:pt>
                <c:pt idx="128">
                  <c:v>7.1099046279999998</c:v>
                </c:pt>
                <c:pt idx="129">
                  <c:v>7.8316110349999999</c:v>
                </c:pt>
                <c:pt idx="130">
                  <c:v>8.0047604559999996</c:v>
                </c:pt>
                <c:pt idx="131">
                  <c:v>8.0079662319999994</c:v>
                </c:pt>
                <c:pt idx="132">
                  <c:v>8.0375312389999998</c:v>
                </c:pt>
                <c:pt idx="133">
                  <c:v>8.5095642009999999</c:v>
                </c:pt>
                <c:pt idx="134">
                  <c:v>8.1934284260000005</c:v>
                </c:pt>
                <c:pt idx="135">
                  <c:v>8.0726542810000002</c:v>
                </c:pt>
              </c:numCache>
            </c:numRef>
          </c:xVal>
          <c:yVal>
            <c:numRef>
              <c:f>'xTB vs DFT Sterimol diazo B5'!$I$2:$I$137</c:f>
              <c:numCache>
                <c:formatCode>General</c:formatCode>
                <c:ptCount val="136"/>
                <c:pt idx="0">
                  <c:v>6.5536188170000003</c:v>
                </c:pt>
                <c:pt idx="1">
                  <c:v>6.4155850550000002</c:v>
                </c:pt>
                <c:pt idx="2">
                  <c:v>7.9138196870000002</c:v>
                </c:pt>
                <c:pt idx="3">
                  <c:v>7.1091680430000004</c:v>
                </c:pt>
                <c:pt idx="4">
                  <c:v>6.8456635180000003</c:v>
                </c:pt>
                <c:pt idx="5">
                  <c:v>7.1861470929999998</c:v>
                </c:pt>
                <c:pt idx="6">
                  <c:v>7.4520760199999998</c:v>
                </c:pt>
                <c:pt idx="7">
                  <c:v>7.2238563009999996</c:v>
                </c:pt>
                <c:pt idx="8">
                  <c:v>7.1985747199999999</c:v>
                </c:pt>
                <c:pt idx="9">
                  <c:v>8.349433908</c:v>
                </c:pt>
                <c:pt idx="10">
                  <c:v>6.8345904700000002</c:v>
                </c:pt>
                <c:pt idx="11">
                  <c:v>7.0054066849999996</c:v>
                </c:pt>
                <c:pt idx="12">
                  <c:v>6.6834024530000002</c:v>
                </c:pt>
                <c:pt idx="13">
                  <c:v>6.8169683120000002</c:v>
                </c:pt>
                <c:pt idx="14">
                  <c:v>6.8627647620000003</c:v>
                </c:pt>
                <c:pt idx="15">
                  <c:v>7.2807971159999996</c:v>
                </c:pt>
                <c:pt idx="16">
                  <c:v>6.7990086769999998</c:v>
                </c:pt>
                <c:pt idx="17">
                  <c:v>8.4732332140000004</c:v>
                </c:pt>
                <c:pt idx="18">
                  <c:v>8.3077782290000002</c:v>
                </c:pt>
                <c:pt idx="19">
                  <c:v>8.4634807129999992</c:v>
                </c:pt>
                <c:pt idx="20">
                  <c:v>8.4540103539999993</c:v>
                </c:pt>
                <c:pt idx="21">
                  <c:v>8.8797852769999999</c:v>
                </c:pt>
                <c:pt idx="22">
                  <c:v>5.8228069959999997</c:v>
                </c:pt>
                <c:pt idx="23">
                  <c:v>5.8662954269999998</c:v>
                </c:pt>
                <c:pt idx="24">
                  <c:v>6.4843307970000001</c:v>
                </c:pt>
                <c:pt idx="25">
                  <c:v>7.695628986</c:v>
                </c:pt>
                <c:pt idx="26">
                  <c:v>8.1809079530000002</c:v>
                </c:pt>
                <c:pt idx="27">
                  <c:v>9.0536818290000003</c:v>
                </c:pt>
                <c:pt idx="28">
                  <c:v>11.911038319999999</c:v>
                </c:pt>
                <c:pt idx="29">
                  <c:v>10.574965219999999</c:v>
                </c:pt>
                <c:pt idx="30">
                  <c:v>10.456304149999999</c:v>
                </c:pt>
                <c:pt idx="31">
                  <c:v>7.9638048850000001</c:v>
                </c:pt>
                <c:pt idx="32">
                  <c:v>8.6414657310000003</c:v>
                </c:pt>
                <c:pt idx="33">
                  <c:v>8.3213122810000009</c:v>
                </c:pt>
                <c:pt idx="34">
                  <c:v>8.9020650529999994</c:v>
                </c:pt>
                <c:pt idx="35">
                  <c:v>8.0867563830000009</c:v>
                </c:pt>
                <c:pt idx="36">
                  <c:v>8.2191297320000007</c:v>
                </c:pt>
                <c:pt idx="37">
                  <c:v>8.3929945650000004</c:v>
                </c:pt>
                <c:pt idx="38">
                  <c:v>6.9372845740000004</c:v>
                </c:pt>
                <c:pt idx="39">
                  <c:v>8.8075263439999993</c:v>
                </c:pt>
                <c:pt idx="40">
                  <c:v>7.5423412760000001</c:v>
                </c:pt>
                <c:pt idx="41">
                  <c:v>6.9554189769999999</c:v>
                </c:pt>
                <c:pt idx="42">
                  <c:v>6.8617756959999996</c:v>
                </c:pt>
                <c:pt idx="43">
                  <c:v>7.850518385</c:v>
                </c:pt>
                <c:pt idx="44">
                  <c:v>6.833138537</c:v>
                </c:pt>
                <c:pt idx="45">
                  <c:v>7.152141576</c:v>
                </c:pt>
                <c:pt idx="46">
                  <c:v>9.6558912130000003</c:v>
                </c:pt>
                <c:pt idx="47">
                  <c:v>7.1393378390000004</c:v>
                </c:pt>
                <c:pt idx="48">
                  <c:v>8.8236780560000003</c:v>
                </c:pt>
                <c:pt idx="49">
                  <c:v>7.8365664050000001</c:v>
                </c:pt>
                <c:pt idx="50">
                  <c:v>7.934220152</c:v>
                </c:pt>
                <c:pt idx="51">
                  <c:v>6.9357153010000001</c:v>
                </c:pt>
                <c:pt idx="52">
                  <c:v>6.7761871410000003</c:v>
                </c:pt>
                <c:pt idx="53">
                  <c:v>7.0213043449999999</c:v>
                </c:pt>
                <c:pt idx="54">
                  <c:v>8.4426630449999998</c:v>
                </c:pt>
                <c:pt idx="55">
                  <c:v>7.6971382960000003</c:v>
                </c:pt>
                <c:pt idx="56">
                  <c:v>8.0784781189999997</c:v>
                </c:pt>
                <c:pt idx="57">
                  <c:v>7.5813391220000002</c:v>
                </c:pt>
                <c:pt idx="58">
                  <c:v>8.3716305250000005</c:v>
                </c:pt>
                <c:pt idx="59">
                  <c:v>10.4809529</c:v>
                </c:pt>
                <c:pt idx="60">
                  <c:v>6.8307855420000001</c:v>
                </c:pt>
                <c:pt idx="61">
                  <c:v>8.9471284610000001</c:v>
                </c:pt>
                <c:pt idx="62">
                  <c:v>10.95523721</c:v>
                </c:pt>
                <c:pt idx="63">
                  <c:v>7.3567297030000001</c:v>
                </c:pt>
                <c:pt idx="64">
                  <c:v>7.6014109190000001</c:v>
                </c:pt>
                <c:pt idx="65">
                  <c:v>8.1889392409999999</c:v>
                </c:pt>
                <c:pt idx="66">
                  <c:v>7.7557359330000004</c:v>
                </c:pt>
                <c:pt idx="67">
                  <c:v>7.2398641179999998</c:v>
                </c:pt>
                <c:pt idx="68">
                  <c:v>7.6256057210000003</c:v>
                </c:pt>
                <c:pt idx="69">
                  <c:v>7.649455025</c:v>
                </c:pt>
                <c:pt idx="70">
                  <c:v>6.6478187850000001</c:v>
                </c:pt>
                <c:pt idx="71">
                  <c:v>7.608658417</c:v>
                </c:pt>
                <c:pt idx="72">
                  <c:v>6.9114836999999998</c:v>
                </c:pt>
                <c:pt idx="73">
                  <c:v>8.4127463290000009</c:v>
                </c:pt>
                <c:pt idx="74">
                  <c:v>7.4536065259999997</c:v>
                </c:pt>
                <c:pt idx="75">
                  <c:v>8.0939283639999999</c:v>
                </c:pt>
                <c:pt idx="76">
                  <c:v>7.1012390590000001</c:v>
                </c:pt>
                <c:pt idx="77">
                  <c:v>9.1091433530000003</c:v>
                </c:pt>
                <c:pt idx="78">
                  <c:v>7.0708611909999997</c:v>
                </c:pt>
                <c:pt idx="79">
                  <c:v>7.0390853690000004</c:v>
                </c:pt>
                <c:pt idx="80">
                  <c:v>7.535967962</c:v>
                </c:pt>
                <c:pt idx="81">
                  <c:v>6.8587769209999996</c:v>
                </c:pt>
                <c:pt idx="82">
                  <c:v>7.8096380410000004</c:v>
                </c:pt>
                <c:pt idx="83">
                  <c:v>8.1305070980000007</c:v>
                </c:pt>
                <c:pt idx="84">
                  <c:v>8.3292454080000002</c:v>
                </c:pt>
                <c:pt idx="85">
                  <c:v>8.398034784</c:v>
                </c:pt>
                <c:pt idx="86">
                  <c:v>8.4411068710000006</c:v>
                </c:pt>
                <c:pt idx="87">
                  <c:v>8.2309935299999992</c:v>
                </c:pt>
                <c:pt idx="88">
                  <c:v>5.7008304159999996</c:v>
                </c:pt>
                <c:pt idx="89">
                  <c:v>6.6998881590000003</c:v>
                </c:pt>
                <c:pt idx="90">
                  <c:v>5.8953866289999999</c:v>
                </c:pt>
                <c:pt idx="91">
                  <c:v>8.0290241570000003</c:v>
                </c:pt>
                <c:pt idx="92">
                  <c:v>8.4452849059999995</c:v>
                </c:pt>
                <c:pt idx="93">
                  <c:v>8.1418813669999999</c:v>
                </c:pt>
                <c:pt idx="94">
                  <c:v>11.815099849999999</c:v>
                </c:pt>
                <c:pt idx="95">
                  <c:v>10.194128299999999</c:v>
                </c:pt>
                <c:pt idx="96">
                  <c:v>9.8813296029999993</c:v>
                </c:pt>
                <c:pt idx="97">
                  <c:v>9.2116496399999992</c:v>
                </c:pt>
                <c:pt idx="98">
                  <c:v>6.6038496719999999</c:v>
                </c:pt>
                <c:pt idx="99">
                  <c:v>8.5229762200000003</c:v>
                </c:pt>
                <c:pt idx="100">
                  <c:v>9.0863739530000007</c:v>
                </c:pt>
                <c:pt idx="101">
                  <c:v>9.6066726599999992</c:v>
                </c:pt>
                <c:pt idx="102">
                  <c:v>12.200198759999999</c:v>
                </c:pt>
                <c:pt idx="103">
                  <c:v>7.1071347429999996</c:v>
                </c:pt>
                <c:pt idx="104">
                  <c:v>8.8081999090000007</c:v>
                </c:pt>
                <c:pt idx="105">
                  <c:v>7.6578616310000003</c:v>
                </c:pt>
                <c:pt idx="106">
                  <c:v>9.1254103069999992</c:v>
                </c:pt>
                <c:pt idx="107">
                  <c:v>6.8079755090000003</c:v>
                </c:pt>
                <c:pt idx="108">
                  <c:v>6.7936868739999996</c:v>
                </c:pt>
                <c:pt idx="109">
                  <c:v>6.94225563</c:v>
                </c:pt>
                <c:pt idx="110">
                  <c:v>7.6447733610000004</c:v>
                </c:pt>
                <c:pt idx="111">
                  <c:v>8.1615744039999996</c:v>
                </c:pt>
                <c:pt idx="112">
                  <c:v>8.8921661699999994</c:v>
                </c:pt>
                <c:pt idx="113">
                  <c:v>7.8400156499999998</c:v>
                </c:pt>
                <c:pt idx="114">
                  <c:v>8.674470114</c:v>
                </c:pt>
                <c:pt idx="115">
                  <c:v>7.0659216269999998</c:v>
                </c:pt>
                <c:pt idx="116">
                  <c:v>7.9662003319999997</c:v>
                </c:pt>
                <c:pt idx="117">
                  <c:v>8.1767987790000003</c:v>
                </c:pt>
                <c:pt idx="118">
                  <c:v>7.9423955770000001</c:v>
                </c:pt>
                <c:pt idx="119">
                  <c:v>8.2397554619999998</c:v>
                </c:pt>
                <c:pt idx="120">
                  <c:v>8.1691120359999996</c:v>
                </c:pt>
                <c:pt idx="121">
                  <c:v>7.1265753729999997</c:v>
                </c:pt>
                <c:pt idx="122">
                  <c:v>9.3348399440000005</c:v>
                </c:pt>
                <c:pt idx="123">
                  <c:v>8.6541243150000007</c:v>
                </c:pt>
                <c:pt idx="124">
                  <c:v>6.723827784</c:v>
                </c:pt>
                <c:pt idx="125">
                  <c:v>8.2930864010000001</c:v>
                </c:pt>
                <c:pt idx="126">
                  <c:v>8.0737637200000005</c:v>
                </c:pt>
                <c:pt idx="127">
                  <c:v>8.4055053789999992</c:v>
                </c:pt>
                <c:pt idx="128">
                  <c:v>7.1099046279999998</c:v>
                </c:pt>
                <c:pt idx="129">
                  <c:v>7.8316110349999999</c:v>
                </c:pt>
                <c:pt idx="130">
                  <c:v>8.0047604559999996</c:v>
                </c:pt>
                <c:pt idx="131">
                  <c:v>8.0079662319999994</c:v>
                </c:pt>
                <c:pt idx="132">
                  <c:v>8.0375312389999998</c:v>
                </c:pt>
                <c:pt idx="133">
                  <c:v>8.5095642009999999</c:v>
                </c:pt>
                <c:pt idx="134">
                  <c:v>8.1934284260000005</c:v>
                </c:pt>
                <c:pt idx="135">
                  <c:v>8.0726542810000002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E-4E8A-98BB-5F5C0CD70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2.2"/>
          <c:min val="5.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B5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2.2"/>
          <c:min val="5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B5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16</xdr:col>
      <xdr:colOff>619125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1FCB8-1C28-4DE6-8BC5-C880BFE9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A3E9F-8869-49F1-A1DC-6AD71EE83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80D79-61DC-4D0E-BDF5-8253C3729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U140"/>
  <sheetViews>
    <sheetView workbookViewId="0">
      <selection activeCell="C1" sqref="C1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278</v>
      </c>
      <c r="C1" s="2" t="s">
        <v>279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8.7312808420000003</v>
      </c>
      <c r="C2">
        <v>8.4744469680000005</v>
      </c>
      <c r="D2">
        <f>(C2-B2)</f>
        <v>-0.2568338739999998</v>
      </c>
      <c r="E2">
        <f>ABS(D2)</f>
        <v>0.2568338739999998</v>
      </c>
      <c r="F2">
        <f>E2^2</f>
        <v>6.5963638833847774E-2</v>
      </c>
      <c r="G2">
        <f>CORREL(B2:B137,C2:C137)</f>
        <v>0.95044072386581113</v>
      </c>
      <c r="H2">
        <f>G2^2</f>
        <v>0.90333756958256706</v>
      </c>
      <c r="I2">
        <v>8.7312808420000003</v>
      </c>
    </row>
    <row r="3" spans="1:47" x14ac:dyDescent="0.45">
      <c r="A3" t="s">
        <v>114</v>
      </c>
      <c r="B3">
        <v>8.5349775389999998</v>
      </c>
      <c r="C3">
        <v>8.5618248779999995</v>
      </c>
      <c r="D3">
        <f t="shared" ref="D3:D62" si="0">(C3-B3)</f>
        <v>2.6847338999999693E-2</v>
      </c>
      <c r="E3">
        <f t="shared" ref="E3:E62" si="1">ABS(D3)</f>
        <v>2.6847338999999693E-2</v>
      </c>
      <c r="F3">
        <f t="shared" ref="F3:F62" si="2">E3^2</f>
        <v>7.2077961138090451E-4</v>
      </c>
      <c r="I3">
        <v>8.5349775389999998</v>
      </c>
    </row>
    <row r="4" spans="1:47" x14ac:dyDescent="0.45">
      <c r="A4" t="s">
        <v>115</v>
      </c>
      <c r="B4">
        <v>7.3600284919999996</v>
      </c>
      <c r="C4">
        <v>7.7508998020000002</v>
      </c>
      <c r="D4">
        <f t="shared" si="0"/>
        <v>0.39087131000000053</v>
      </c>
      <c r="E4">
        <f t="shared" si="1"/>
        <v>0.39087131000000053</v>
      </c>
      <c r="F4">
        <f t="shared" si="2"/>
        <v>0.15278038098111651</v>
      </c>
      <c r="I4">
        <v>7.3600284919999996</v>
      </c>
    </row>
    <row r="5" spans="1:47" x14ac:dyDescent="0.45">
      <c r="A5" t="s">
        <v>116</v>
      </c>
      <c r="B5">
        <v>8.5666370920000006</v>
      </c>
      <c r="C5">
        <v>8.5473860459999997</v>
      </c>
      <c r="D5">
        <f t="shared" si="0"/>
        <v>-1.9251046000000827E-2</v>
      </c>
      <c r="E5">
        <f t="shared" si="1"/>
        <v>1.9251046000000827E-2</v>
      </c>
      <c r="F5">
        <f t="shared" si="2"/>
        <v>3.7060277209414783E-4</v>
      </c>
      <c r="I5">
        <v>8.5666370920000006</v>
      </c>
    </row>
    <row r="6" spans="1:47" x14ac:dyDescent="0.45">
      <c r="A6" t="s">
        <v>117</v>
      </c>
      <c r="B6">
        <v>9.9594856479999994</v>
      </c>
      <c r="C6">
        <v>9.8277461949999996</v>
      </c>
      <c r="D6">
        <f t="shared" si="0"/>
        <v>-0.13173945299999978</v>
      </c>
      <c r="E6">
        <f t="shared" si="1"/>
        <v>0.13173945299999978</v>
      </c>
      <c r="F6">
        <f t="shared" si="2"/>
        <v>1.7355283476739151E-2</v>
      </c>
      <c r="I6">
        <v>9.9594856479999994</v>
      </c>
    </row>
    <row r="7" spans="1:47" x14ac:dyDescent="0.45">
      <c r="A7" t="s">
        <v>118</v>
      </c>
      <c r="B7">
        <v>8.6383033569999998</v>
      </c>
      <c r="C7">
        <v>9.1209127970000008</v>
      </c>
      <c r="D7">
        <f t="shared" si="0"/>
        <v>0.48260944000000094</v>
      </c>
      <c r="E7">
        <f t="shared" si="1"/>
        <v>0.48260944000000094</v>
      </c>
      <c r="F7">
        <f t="shared" si="2"/>
        <v>0.23291187157711452</v>
      </c>
      <c r="I7">
        <v>8.6383033569999998</v>
      </c>
    </row>
    <row r="8" spans="1:47" x14ac:dyDescent="0.45">
      <c r="A8" t="s">
        <v>7</v>
      </c>
      <c r="B8">
        <v>10.374801570000001</v>
      </c>
      <c r="C8">
        <v>9.9628025430000005</v>
      </c>
      <c r="D8">
        <f t="shared" si="0"/>
        <v>-0.41199902700000024</v>
      </c>
      <c r="E8">
        <f t="shared" si="1"/>
        <v>0.41199902700000024</v>
      </c>
      <c r="F8">
        <f t="shared" si="2"/>
        <v>0.16974319824894693</v>
      </c>
      <c r="I8">
        <v>10.374801570000001</v>
      </c>
    </row>
    <row r="9" spans="1:47" x14ac:dyDescent="0.45">
      <c r="A9" t="s">
        <v>8</v>
      </c>
      <c r="B9">
        <v>9.9897706999999993</v>
      </c>
      <c r="C9">
        <v>10.63001961</v>
      </c>
      <c r="D9">
        <f t="shared" si="0"/>
        <v>0.64024891000000039</v>
      </c>
      <c r="E9">
        <f t="shared" si="1"/>
        <v>0.64024891000000039</v>
      </c>
      <c r="F9">
        <f t="shared" si="2"/>
        <v>0.4099186667561886</v>
      </c>
      <c r="I9">
        <v>9.9897706999999993</v>
      </c>
    </row>
    <row r="10" spans="1:47" x14ac:dyDescent="0.45">
      <c r="A10" t="s">
        <v>9</v>
      </c>
      <c r="B10">
        <v>9.6354378740000008</v>
      </c>
      <c r="C10">
        <v>9.736683824</v>
      </c>
      <c r="D10">
        <f t="shared" si="0"/>
        <v>0.10124594999999914</v>
      </c>
      <c r="E10">
        <f t="shared" si="1"/>
        <v>0.10124594999999914</v>
      </c>
      <c r="F10">
        <f t="shared" si="2"/>
        <v>1.0250742391402326E-2</v>
      </c>
      <c r="I10">
        <v>9.6354378740000008</v>
      </c>
    </row>
    <row r="11" spans="1:47" x14ac:dyDescent="0.45">
      <c r="A11" t="s">
        <v>10</v>
      </c>
      <c r="B11">
        <v>10.513373169999999</v>
      </c>
      <c r="C11">
        <v>10.652204380000001</v>
      </c>
      <c r="D11">
        <f t="shared" si="0"/>
        <v>0.13883121000000109</v>
      </c>
      <c r="E11">
        <f t="shared" si="1"/>
        <v>0.13883121000000109</v>
      </c>
      <c r="F11">
        <f t="shared" si="2"/>
        <v>1.9274104870064403E-2</v>
      </c>
      <c r="I11">
        <v>10.513373169999999</v>
      </c>
    </row>
    <row r="12" spans="1:47" x14ac:dyDescent="0.45">
      <c r="A12" t="s">
        <v>11</v>
      </c>
      <c r="B12">
        <v>10.486241420000001</v>
      </c>
      <c r="C12">
        <v>10.646189919999999</v>
      </c>
      <c r="D12">
        <f t="shared" si="0"/>
        <v>0.15994849999999872</v>
      </c>
      <c r="E12">
        <f t="shared" si="1"/>
        <v>0.15994849999999872</v>
      </c>
      <c r="F12">
        <f t="shared" si="2"/>
        <v>2.5583522652249589E-2</v>
      </c>
      <c r="I12">
        <v>10.486241420000001</v>
      </c>
    </row>
    <row r="13" spans="1:47" x14ac:dyDescent="0.45">
      <c r="A13" t="s">
        <v>12</v>
      </c>
      <c r="B13">
        <v>8.9241304140000004</v>
      </c>
      <c r="C13">
        <v>9.6420467639999998</v>
      </c>
      <c r="D13">
        <f t="shared" si="0"/>
        <v>0.71791634999999943</v>
      </c>
      <c r="E13">
        <f t="shared" si="1"/>
        <v>0.71791634999999943</v>
      </c>
      <c r="F13">
        <f t="shared" si="2"/>
        <v>0.51540388559732164</v>
      </c>
      <c r="I13">
        <v>8.9241304140000004</v>
      </c>
    </row>
    <row r="14" spans="1:47" x14ac:dyDescent="0.45">
      <c r="A14" t="s">
        <v>13</v>
      </c>
      <c r="B14">
        <v>10.545820730000001</v>
      </c>
      <c r="C14">
        <v>10.71941189</v>
      </c>
      <c r="D14">
        <f t="shared" si="0"/>
        <v>0.17359115999999908</v>
      </c>
      <c r="E14">
        <f t="shared" si="1"/>
        <v>0.17359115999999908</v>
      </c>
      <c r="F14">
        <f t="shared" si="2"/>
        <v>3.0133890830145279E-2</v>
      </c>
      <c r="I14">
        <v>10.545820730000001</v>
      </c>
    </row>
    <row r="15" spans="1:47" x14ac:dyDescent="0.45">
      <c r="A15" t="s">
        <v>119</v>
      </c>
      <c r="B15">
        <v>7.8082933079999997</v>
      </c>
      <c r="C15">
        <v>8.0873978990000008</v>
      </c>
      <c r="D15">
        <f t="shared" si="0"/>
        <v>0.27910459100000118</v>
      </c>
      <c r="E15">
        <f t="shared" si="1"/>
        <v>0.27910459100000118</v>
      </c>
      <c r="F15">
        <f t="shared" si="2"/>
        <v>7.789937271727794E-2</v>
      </c>
      <c r="I15">
        <v>7.8082933079999997</v>
      </c>
      <c r="AU15" s="1"/>
    </row>
    <row r="16" spans="1:47" x14ac:dyDescent="0.45">
      <c r="A16" t="s">
        <v>14</v>
      </c>
      <c r="B16">
        <v>10.49370203</v>
      </c>
      <c r="C16">
        <v>10.60740084</v>
      </c>
      <c r="D16">
        <f t="shared" si="0"/>
        <v>0.11369881000000071</v>
      </c>
      <c r="E16">
        <f t="shared" si="1"/>
        <v>0.11369881000000071</v>
      </c>
      <c r="F16">
        <f t="shared" si="2"/>
        <v>1.292741939541626E-2</v>
      </c>
      <c r="I16">
        <v>10.49370203</v>
      </c>
      <c r="AU16" s="1"/>
    </row>
    <row r="17" spans="1:47" x14ac:dyDescent="0.45">
      <c r="A17" t="s">
        <v>120</v>
      </c>
      <c r="B17">
        <v>9.0616614729999991</v>
      </c>
      <c r="C17">
        <v>8.5536215000000002</v>
      </c>
      <c r="D17">
        <f t="shared" si="0"/>
        <v>-0.50803997299999892</v>
      </c>
      <c r="E17">
        <f t="shared" si="1"/>
        <v>0.50803997299999892</v>
      </c>
      <c r="F17">
        <f t="shared" si="2"/>
        <v>0.25810461416583963</v>
      </c>
      <c r="I17">
        <v>9.0616614729999991</v>
      </c>
      <c r="AU17" s="1"/>
    </row>
    <row r="18" spans="1:47" x14ac:dyDescent="0.45">
      <c r="A18" t="s">
        <v>121</v>
      </c>
      <c r="B18">
        <v>8.6020828510000005</v>
      </c>
      <c r="C18">
        <v>8.5147383330000004</v>
      </c>
      <c r="D18">
        <f t="shared" si="0"/>
        <v>-8.7344518000000093E-2</v>
      </c>
      <c r="E18">
        <f t="shared" si="1"/>
        <v>8.7344518000000093E-2</v>
      </c>
      <c r="F18">
        <f t="shared" si="2"/>
        <v>7.62906482465234E-3</v>
      </c>
      <c r="I18">
        <v>8.6020828510000005</v>
      </c>
      <c r="AU18" s="1"/>
    </row>
    <row r="19" spans="1:47" x14ac:dyDescent="0.45">
      <c r="A19" t="s">
        <v>122</v>
      </c>
      <c r="B19">
        <v>10.31033293</v>
      </c>
      <c r="C19">
        <v>10.315359819999999</v>
      </c>
      <c r="D19">
        <f t="shared" si="0"/>
        <v>5.0268899999998951E-3</v>
      </c>
      <c r="E19">
        <f t="shared" si="1"/>
        <v>5.0268899999998951E-3</v>
      </c>
      <c r="F19">
        <f t="shared" si="2"/>
        <v>2.5269623072098945E-5</v>
      </c>
      <c r="I19">
        <v>10.31033293</v>
      </c>
      <c r="AU19" s="1"/>
    </row>
    <row r="20" spans="1:47" x14ac:dyDescent="0.45">
      <c r="A20" t="s">
        <v>123</v>
      </c>
      <c r="B20">
        <v>10.94178739</v>
      </c>
      <c r="C20">
        <v>11.751924669999999</v>
      </c>
      <c r="D20">
        <f t="shared" si="0"/>
        <v>0.81013727999999929</v>
      </c>
      <c r="E20">
        <f t="shared" si="1"/>
        <v>0.81013727999999929</v>
      </c>
      <c r="F20">
        <f t="shared" si="2"/>
        <v>0.65632241244579725</v>
      </c>
      <c r="I20">
        <v>10.94178739</v>
      </c>
      <c r="AU20" s="1"/>
    </row>
    <row r="21" spans="1:47" x14ac:dyDescent="0.45">
      <c r="A21" t="s">
        <v>124</v>
      </c>
      <c r="B21">
        <v>10.48045187</v>
      </c>
      <c r="C21">
        <v>11.43732649</v>
      </c>
      <c r="D21">
        <f t="shared" si="0"/>
        <v>0.95687462000000068</v>
      </c>
      <c r="E21">
        <f t="shared" si="1"/>
        <v>0.95687462000000068</v>
      </c>
      <c r="F21">
        <f t="shared" si="2"/>
        <v>0.91560903840014574</v>
      </c>
      <c r="I21">
        <v>10.48045187</v>
      </c>
    </row>
    <row r="22" spans="1:47" x14ac:dyDescent="0.45">
      <c r="A22" t="s">
        <v>125</v>
      </c>
      <c r="B22">
        <v>9.1252669599999994</v>
      </c>
      <c r="C22">
        <v>9.8977748689999991</v>
      </c>
      <c r="D22">
        <f t="shared" si="0"/>
        <v>0.77250790899999977</v>
      </c>
      <c r="E22">
        <f t="shared" si="1"/>
        <v>0.77250790899999977</v>
      </c>
      <c r="F22">
        <f t="shared" si="2"/>
        <v>0.59676846946755191</v>
      </c>
      <c r="I22">
        <v>9.1252669599999994</v>
      </c>
    </row>
    <row r="23" spans="1:47" x14ac:dyDescent="0.45">
      <c r="A23" t="s">
        <v>15</v>
      </c>
      <c r="B23">
        <v>10.63877675</v>
      </c>
      <c r="C23">
        <v>10.887509680000001</v>
      </c>
      <c r="D23">
        <f t="shared" si="0"/>
        <v>0.24873293000000096</v>
      </c>
      <c r="E23">
        <f t="shared" si="1"/>
        <v>0.24873293000000096</v>
      </c>
      <c r="F23">
        <f t="shared" si="2"/>
        <v>6.1868070466385379E-2</v>
      </c>
      <c r="I23">
        <v>10.63877675</v>
      </c>
    </row>
    <row r="24" spans="1:47" x14ac:dyDescent="0.45">
      <c r="A24" t="s">
        <v>16</v>
      </c>
      <c r="B24">
        <v>10.141572419999999</v>
      </c>
      <c r="C24">
        <v>11.42846314</v>
      </c>
      <c r="D24">
        <f t="shared" si="0"/>
        <v>1.2868907200000006</v>
      </c>
      <c r="E24">
        <f t="shared" si="1"/>
        <v>1.2868907200000006</v>
      </c>
      <c r="F24">
        <f t="shared" si="2"/>
        <v>1.65608772522212</v>
      </c>
      <c r="I24">
        <v>10.141572419999999</v>
      </c>
    </row>
    <row r="25" spans="1:47" x14ac:dyDescent="0.45">
      <c r="A25" t="s">
        <v>17</v>
      </c>
      <c r="B25">
        <v>11.594911420000001</v>
      </c>
      <c r="C25">
        <v>11.506507089999999</v>
      </c>
      <c r="D25">
        <f t="shared" si="0"/>
        <v>-8.8404330000001252E-2</v>
      </c>
      <c r="E25">
        <f t="shared" si="1"/>
        <v>8.8404330000001252E-2</v>
      </c>
      <c r="F25">
        <f t="shared" si="2"/>
        <v>7.8153255627491213E-3</v>
      </c>
      <c r="I25">
        <v>11.594911420000001</v>
      </c>
    </row>
    <row r="26" spans="1:47" x14ac:dyDescent="0.45">
      <c r="A26" t="s">
        <v>18</v>
      </c>
      <c r="B26">
        <v>11.31619368</v>
      </c>
      <c r="C26">
        <v>11.680626630000001</v>
      </c>
      <c r="D26">
        <f t="shared" si="0"/>
        <v>0.3644329500000012</v>
      </c>
      <c r="E26">
        <f t="shared" si="1"/>
        <v>0.3644329500000012</v>
      </c>
      <c r="F26">
        <f t="shared" si="2"/>
        <v>0.13281137504570337</v>
      </c>
      <c r="I26">
        <v>11.31619368</v>
      </c>
    </row>
    <row r="27" spans="1:47" x14ac:dyDescent="0.45">
      <c r="A27" t="s">
        <v>19</v>
      </c>
      <c r="B27">
        <v>14.214410060000001</v>
      </c>
      <c r="C27">
        <v>14.77827518</v>
      </c>
      <c r="D27">
        <f t="shared" si="0"/>
        <v>0.56386511999999911</v>
      </c>
      <c r="E27">
        <f t="shared" si="1"/>
        <v>0.56386511999999911</v>
      </c>
      <c r="F27">
        <f t="shared" si="2"/>
        <v>0.31794387355261339</v>
      </c>
      <c r="I27">
        <v>14.214410060000001</v>
      </c>
    </row>
    <row r="28" spans="1:47" x14ac:dyDescent="0.45">
      <c r="A28" t="s">
        <v>20</v>
      </c>
      <c r="B28">
        <v>13.830742770000001</v>
      </c>
      <c r="C28">
        <v>13.836159329999999</v>
      </c>
      <c r="D28">
        <f t="shared" si="0"/>
        <v>5.4165599999986824E-3</v>
      </c>
      <c r="E28">
        <f t="shared" si="1"/>
        <v>5.4165599999986824E-3</v>
      </c>
      <c r="F28">
        <f t="shared" si="2"/>
        <v>2.9339122233585726E-5</v>
      </c>
      <c r="I28">
        <v>13.830742770000001</v>
      </c>
    </row>
    <row r="29" spans="1:47" x14ac:dyDescent="0.45">
      <c r="A29" t="s">
        <v>21</v>
      </c>
      <c r="B29">
        <v>14.8456382</v>
      </c>
      <c r="C29">
        <v>13.35722822</v>
      </c>
      <c r="D29">
        <f t="shared" si="0"/>
        <v>-1.4884099800000001</v>
      </c>
      <c r="E29">
        <f t="shared" si="1"/>
        <v>1.4884099800000001</v>
      </c>
      <c r="F29">
        <f t="shared" si="2"/>
        <v>2.2153642685636008</v>
      </c>
      <c r="I29">
        <v>14.8456382</v>
      </c>
    </row>
    <row r="30" spans="1:47" x14ac:dyDescent="0.45">
      <c r="A30" t="s">
        <v>22</v>
      </c>
      <c r="B30">
        <v>14.339453750000001</v>
      </c>
      <c r="C30">
        <v>14.68490944</v>
      </c>
      <c r="D30">
        <f t="shared" si="0"/>
        <v>0.34545568999999965</v>
      </c>
      <c r="E30">
        <f t="shared" si="1"/>
        <v>0.34545568999999965</v>
      </c>
      <c r="F30">
        <f t="shared" si="2"/>
        <v>0.11933963375337586</v>
      </c>
      <c r="I30">
        <v>14.339453750000001</v>
      </c>
    </row>
    <row r="31" spans="1:47" x14ac:dyDescent="0.45">
      <c r="A31" t="s">
        <v>23</v>
      </c>
      <c r="B31">
        <v>11.83910828</v>
      </c>
      <c r="C31">
        <v>12.71846543</v>
      </c>
      <c r="D31">
        <f t="shared" si="0"/>
        <v>0.87935715000000059</v>
      </c>
      <c r="E31">
        <f t="shared" si="1"/>
        <v>0.87935715000000059</v>
      </c>
      <c r="F31">
        <f t="shared" si="2"/>
        <v>0.77326899725612352</v>
      </c>
      <c r="I31">
        <v>11.83910828</v>
      </c>
    </row>
    <row r="32" spans="1:47" x14ac:dyDescent="0.45">
      <c r="A32" t="s">
        <v>24</v>
      </c>
      <c r="B32">
        <v>14.8843754</v>
      </c>
      <c r="C32">
        <v>13.92199639</v>
      </c>
      <c r="D32">
        <f t="shared" si="0"/>
        <v>-0.96237900999999937</v>
      </c>
      <c r="E32">
        <f t="shared" si="1"/>
        <v>0.96237900999999937</v>
      </c>
      <c r="F32">
        <f t="shared" si="2"/>
        <v>0.92617335888857888</v>
      </c>
      <c r="I32">
        <v>14.8843754</v>
      </c>
    </row>
    <row r="33" spans="1:9" x14ac:dyDescent="0.45">
      <c r="A33" t="s">
        <v>25</v>
      </c>
      <c r="B33">
        <v>11.689432630000001</v>
      </c>
      <c r="C33">
        <v>10.247040289999999</v>
      </c>
      <c r="D33">
        <f t="shared" si="0"/>
        <v>-1.4423923400000014</v>
      </c>
      <c r="E33">
        <f t="shared" si="1"/>
        <v>1.4423923400000014</v>
      </c>
      <c r="F33">
        <f t="shared" si="2"/>
        <v>2.0804956624906796</v>
      </c>
      <c r="I33">
        <v>11.689432630000001</v>
      </c>
    </row>
    <row r="34" spans="1:9" x14ac:dyDescent="0.45">
      <c r="A34" t="s">
        <v>26</v>
      </c>
      <c r="B34">
        <v>11.39035743</v>
      </c>
      <c r="C34">
        <v>11.40570372</v>
      </c>
      <c r="D34">
        <f t="shared" si="0"/>
        <v>1.5346290000000096E-2</v>
      </c>
      <c r="E34">
        <f t="shared" si="1"/>
        <v>1.5346290000000096E-2</v>
      </c>
      <c r="F34">
        <f t="shared" si="2"/>
        <v>2.3550861676410295E-4</v>
      </c>
      <c r="I34">
        <v>11.39035743</v>
      </c>
    </row>
    <row r="35" spans="1:9" x14ac:dyDescent="0.45">
      <c r="A35" t="s">
        <v>27</v>
      </c>
      <c r="B35">
        <v>10.836888119999999</v>
      </c>
      <c r="C35">
        <v>11.33195093</v>
      </c>
      <c r="D35">
        <f t="shared" si="0"/>
        <v>0.4950628100000003</v>
      </c>
      <c r="E35">
        <f t="shared" si="1"/>
        <v>0.4950628100000003</v>
      </c>
      <c r="F35">
        <f t="shared" si="2"/>
        <v>0.24508718584509639</v>
      </c>
      <c r="I35">
        <v>10.836888119999999</v>
      </c>
    </row>
    <row r="36" spans="1:9" x14ac:dyDescent="0.45">
      <c r="A36" t="s">
        <v>28</v>
      </c>
      <c r="B36">
        <v>11.169990970000001</v>
      </c>
      <c r="C36">
        <v>11.44194501</v>
      </c>
      <c r="D36">
        <f t="shared" si="0"/>
        <v>0.2719540399999989</v>
      </c>
      <c r="E36">
        <f t="shared" si="1"/>
        <v>0.2719540399999989</v>
      </c>
      <c r="F36">
        <f t="shared" si="2"/>
        <v>7.3958999872321005E-2</v>
      </c>
      <c r="I36">
        <v>11.169990970000001</v>
      </c>
    </row>
    <row r="37" spans="1:9" x14ac:dyDescent="0.45">
      <c r="A37" t="s">
        <v>126</v>
      </c>
      <c r="B37">
        <v>7.7249528789999999</v>
      </c>
      <c r="C37">
        <v>9.3202265059999991</v>
      </c>
      <c r="D37">
        <f t="shared" si="0"/>
        <v>1.5952736269999992</v>
      </c>
      <c r="E37">
        <f t="shared" si="1"/>
        <v>1.5952736269999992</v>
      </c>
      <c r="F37">
        <f t="shared" si="2"/>
        <v>2.5448979450017326</v>
      </c>
      <c r="I37">
        <v>7.7249528789999999</v>
      </c>
    </row>
    <row r="38" spans="1:9" x14ac:dyDescent="0.45">
      <c r="A38" t="s">
        <v>29</v>
      </c>
      <c r="B38">
        <v>10.817331149999999</v>
      </c>
      <c r="C38">
        <v>10.610127289999999</v>
      </c>
      <c r="D38">
        <f t="shared" si="0"/>
        <v>-0.20720385999999991</v>
      </c>
      <c r="E38">
        <f t="shared" si="1"/>
        <v>0.20720385999999991</v>
      </c>
      <c r="F38">
        <f t="shared" si="2"/>
        <v>4.2933439598899559E-2</v>
      </c>
      <c r="I38">
        <v>10.817331149999999</v>
      </c>
    </row>
    <row r="39" spans="1:9" x14ac:dyDescent="0.45">
      <c r="A39" t="s">
        <v>30</v>
      </c>
      <c r="B39">
        <v>11.35566972</v>
      </c>
      <c r="C39">
        <v>11.577231619999999</v>
      </c>
      <c r="D39">
        <f t="shared" si="0"/>
        <v>0.22156189999999931</v>
      </c>
      <c r="E39">
        <f t="shared" si="1"/>
        <v>0.22156189999999931</v>
      </c>
      <c r="F39">
        <f t="shared" si="2"/>
        <v>4.9089675531609693E-2</v>
      </c>
      <c r="I39">
        <v>11.35566972</v>
      </c>
    </row>
    <row r="40" spans="1:9" x14ac:dyDescent="0.45">
      <c r="A40" t="s">
        <v>31</v>
      </c>
      <c r="B40">
        <v>9.5701185839999994</v>
      </c>
      <c r="C40">
        <v>9.6489159709999992</v>
      </c>
      <c r="D40">
        <f t="shared" si="0"/>
        <v>7.879738699999983E-2</v>
      </c>
      <c r="E40">
        <f t="shared" si="1"/>
        <v>7.879738699999983E-2</v>
      </c>
      <c r="F40">
        <f t="shared" si="2"/>
        <v>6.2090281980277419E-3</v>
      </c>
      <c r="I40">
        <v>9.5701185839999994</v>
      </c>
    </row>
    <row r="41" spans="1:9" x14ac:dyDescent="0.45">
      <c r="A41" t="s">
        <v>127</v>
      </c>
      <c r="B41">
        <v>9.4760960920000006</v>
      </c>
      <c r="C41">
        <v>9.5350515690000002</v>
      </c>
      <c r="D41">
        <f t="shared" si="0"/>
        <v>5.895547699999959E-2</v>
      </c>
      <c r="E41">
        <f t="shared" si="1"/>
        <v>5.895547699999959E-2</v>
      </c>
      <c r="F41">
        <f t="shared" si="2"/>
        <v>3.4757482682974804E-3</v>
      </c>
      <c r="I41">
        <v>9.4760960920000006</v>
      </c>
    </row>
    <row r="42" spans="1:9" x14ac:dyDescent="0.45">
      <c r="A42" t="s">
        <v>128</v>
      </c>
      <c r="B42">
        <v>15.245046670000001</v>
      </c>
      <c r="C42">
        <v>14.099188099999999</v>
      </c>
      <c r="D42">
        <f t="shared" si="0"/>
        <v>-1.1458585700000015</v>
      </c>
      <c r="E42">
        <f t="shared" si="1"/>
        <v>1.1458585700000015</v>
      </c>
      <c r="F42">
        <f t="shared" si="2"/>
        <v>1.3129918624424484</v>
      </c>
      <c r="I42">
        <v>15.245046670000001</v>
      </c>
    </row>
    <row r="43" spans="1:9" x14ac:dyDescent="0.45">
      <c r="A43" t="s">
        <v>32</v>
      </c>
      <c r="B43">
        <v>10.25905595</v>
      </c>
      <c r="C43">
        <v>10.48391876</v>
      </c>
      <c r="D43">
        <f t="shared" si="0"/>
        <v>0.22486280999999941</v>
      </c>
      <c r="E43">
        <f t="shared" si="1"/>
        <v>0.22486280999999941</v>
      </c>
      <c r="F43">
        <f t="shared" si="2"/>
        <v>5.0563283321095838E-2</v>
      </c>
      <c r="I43">
        <v>10.25905595</v>
      </c>
    </row>
    <row r="44" spans="1:9" x14ac:dyDescent="0.45">
      <c r="A44" t="s">
        <v>33</v>
      </c>
      <c r="B44">
        <v>10.008678310000001</v>
      </c>
      <c r="C44">
        <v>10.19519232</v>
      </c>
      <c r="D44">
        <f t="shared" si="0"/>
        <v>0.18651400999999979</v>
      </c>
      <c r="E44">
        <f t="shared" si="1"/>
        <v>0.18651400999999979</v>
      </c>
      <c r="F44">
        <f t="shared" si="2"/>
        <v>3.4787475926280023E-2</v>
      </c>
      <c r="I44">
        <v>10.008678310000001</v>
      </c>
    </row>
    <row r="45" spans="1:9" x14ac:dyDescent="0.45">
      <c r="A45" t="s">
        <v>34</v>
      </c>
      <c r="B45">
        <v>10.06332903</v>
      </c>
      <c r="C45">
        <v>9.6142576940000009</v>
      </c>
      <c r="D45">
        <f t="shared" si="0"/>
        <v>-0.44907133599999938</v>
      </c>
      <c r="E45">
        <f t="shared" si="1"/>
        <v>0.44907133599999938</v>
      </c>
      <c r="F45">
        <f t="shared" si="2"/>
        <v>0.20166506481682434</v>
      </c>
      <c r="I45">
        <v>10.06332903</v>
      </c>
    </row>
    <row r="46" spans="1:9" x14ac:dyDescent="0.45">
      <c r="A46" t="s">
        <v>35</v>
      </c>
      <c r="B46">
        <v>11.281814349999999</v>
      </c>
      <c r="C46">
        <v>12.05152316</v>
      </c>
      <c r="D46">
        <f t="shared" si="0"/>
        <v>0.76970881000000091</v>
      </c>
      <c r="E46">
        <f t="shared" si="1"/>
        <v>0.76970881000000091</v>
      </c>
      <c r="F46">
        <f t="shared" si="2"/>
        <v>0.59245165219161755</v>
      </c>
      <c r="I46">
        <v>11.281814349999999</v>
      </c>
    </row>
    <row r="47" spans="1:9" x14ac:dyDescent="0.45">
      <c r="A47" t="s">
        <v>36</v>
      </c>
      <c r="B47">
        <v>10.917547219999999</v>
      </c>
      <c r="C47">
        <v>10.7587998</v>
      </c>
      <c r="D47">
        <f t="shared" si="0"/>
        <v>-0.1587474199999992</v>
      </c>
      <c r="E47">
        <f t="shared" si="1"/>
        <v>0.1587474199999992</v>
      </c>
      <c r="F47">
        <f t="shared" si="2"/>
        <v>2.5200743356656143E-2</v>
      </c>
      <c r="I47">
        <v>10.917547219999999</v>
      </c>
    </row>
    <row r="48" spans="1:9" x14ac:dyDescent="0.45">
      <c r="A48" t="s">
        <v>37</v>
      </c>
      <c r="B48">
        <v>11.11601945</v>
      </c>
      <c r="C48">
        <v>11.3388442</v>
      </c>
      <c r="D48">
        <f t="shared" si="0"/>
        <v>0.2228247500000009</v>
      </c>
      <c r="E48">
        <f t="shared" si="1"/>
        <v>0.2228247500000009</v>
      </c>
      <c r="F48">
        <f t="shared" si="2"/>
        <v>4.9650869212562905E-2</v>
      </c>
      <c r="I48">
        <v>11.11601945</v>
      </c>
    </row>
    <row r="49" spans="1:9" x14ac:dyDescent="0.45">
      <c r="A49" t="s">
        <v>38</v>
      </c>
      <c r="B49">
        <v>11.39148103</v>
      </c>
      <c r="C49">
        <v>11.4750625</v>
      </c>
      <c r="D49">
        <f t="shared" si="0"/>
        <v>8.358147000000038E-2</v>
      </c>
      <c r="E49">
        <f t="shared" si="1"/>
        <v>8.358147000000038E-2</v>
      </c>
      <c r="F49">
        <f t="shared" si="2"/>
        <v>6.9858621273609636E-3</v>
      </c>
      <c r="I49">
        <v>11.39148103</v>
      </c>
    </row>
    <row r="50" spans="1:9" x14ac:dyDescent="0.45">
      <c r="A50" t="s">
        <v>39</v>
      </c>
      <c r="B50">
        <v>11.29322007</v>
      </c>
      <c r="C50">
        <v>11.27857478</v>
      </c>
      <c r="D50">
        <f t="shared" si="0"/>
        <v>-1.4645290000000699E-2</v>
      </c>
      <c r="E50">
        <f t="shared" si="1"/>
        <v>1.4645290000000699E-2</v>
      </c>
      <c r="F50">
        <f t="shared" si="2"/>
        <v>2.1448451918412047E-4</v>
      </c>
      <c r="I50">
        <v>11.29322007</v>
      </c>
    </row>
    <row r="51" spans="1:9" x14ac:dyDescent="0.45">
      <c r="A51" t="s">
        <v>40</v>
      </c>
      <c r="B51">
        <v>11.42555177</v>
      </c>
      <c r="C51">
        <v>11.487318650000001</v>
      </c>
      <c r="D51">
        <f t="shared" si="0"/>
        <v>6.1766880000000413E-2</v>
      </c>
      <c r="E51">
        <f t="shared" si="1"/>
        <v>6.1766880000000413E-2</v>
      </c>
      <c r="F51">
        <f t="shared" si="2"/>
        <v>3.8151474649344508E-3</v>
      </c>
      <c r="I51">
        <v>11.42555177</v>
      </c>
    </row>
    <row r="52" spans="1:9" x14ac:dyDescent="0.45">
      <c r="A52" t="s">
        <v>41</v>
      </c>
      <c r="B52">
        <v>11.65499157</v>
      </c>
      <c r="C52">
        <v>11.266703659999999</v>
      </c>
      <c r="D52">
        <f t="shared" si="0"/>
        <v>-0.38828791000000074</v>
      </c>
      <c r="E52">
        <f t="shared" si="1"/>
        <v>0.38828791000000074</v>
      </c>
      <c r="F52">
        <f t="shared" si="2"/>
        <v>0.15076750105216868</v>
      </c>
      <c r="I52">
        <v>11.65499157</v>
      </c>
    </row>
    <row r="53" spans="1:9" x14ac:dyDescent="0.45">
      <c r="A53" t="s">
        <v>42</v>
      </c>
      <c r="B53">
        <v>11.02732685</v>
      </c>
      <c r="C53">
        <v>11.281085900000001</v>
      </c>
      <c r="D53">
        <f t="shared" si="0"/>
        <v>0.2537590500000011</v>
      </c>
      <c r="E53">
        <f t="shared" si="1"/>
        <v>0.2537590500000011</v>
      </c>
      <c r="F53">
        <f t="shared" si="2"/>
        <v>6.4393655456903051E-2</v>
      </c>
      <c r="I53">
        <v>11.02732685</v>
      </c>
    </row>
    <row r="54" spans="1:9" x14ac:dyDescent="0.45">
      <c r="A54" t="s">
        <v>43</v>
      </c>
      <c r="B54">
        <v>12.48864968</v>
      </c>
      <c r="C54">
        <v>12.41565106</v>
      </c>
      <c r="D54">
        <f t="shared" si="0"/>
        <v>-7.2998619999999903E-2</v>
      </c>
      <c r="E54">
        <f t="shared" si="1"/>
        <v>7.2998619999999903E-2</v>
      </c>
      <c r="F54">
        <f t="shared" si="2"/>
        <v>5.3287985219043861E-3</v>
      </c>
      <c r="I54">
        <v>12.48864968</v>
      </c>
    </row>
    <row r="55" spans="1:9" x14ac:dyDescent="0.45">
      <c r="A55" t="s">
        <v>44</v>
      </c>
      <c r="B55">
        <v>11.14712177</v>
      </c>
      <c r="C55">
        <v>10.669941229999999</v>
      </c>
      <c r="D55">
        <f t="shared" si="0"/>
        <v>-0.47718054000000087</v>
      </c>
      <c r="E55">
        <f t="shared" si="1"/>
        <v>0.47718054000000087</v>
      </c>
      <c r="F55">
        <f t="shared" si="2"/>
        <v>0.22770126775469243</v>
      </c>
      <c r="I55">
        <v>11.14712177</v>
      </c>
    </row>
    <row r="56" spans="1:9" x14ac:dyDescent="0.45">
      <c r="A56" t="s">
        <v>45</v>
      </c>
      <c r="B56">
        <v>11.18445889</v>
      </c>
      <c r="C56">
        <v>11.15332699</v>
      </c>
      <c r="D56">
        <f t="shared" si="0"/>
        <v>-3.1131900000000101E-2</v>
      </c>
      <c r="E56">
        <f t="shared" si="1"/>
        <v>3.1131900000000101E-2</v>
      </c>
      <c r="F56">
        <f t="shared" si="2"/>
        <v>9.6919519761000633E-4</v>
      </c>
      <c r="I56">
        <v>11.18445889</v>
      </c>
    </row>
    <row r="57" spans="1:9" x14ac:dyDescent="0.45">
      <c r="A57" t="s">
        <v>46</v>
      </c>
      <c r="B57">
        <v>10.882942610000001</v>
      </c>
      <c r="C57">
        <v>10.05505151</v>
      </c>
      <c r="D57">
        <f t="shared" si="0"/>
        <v>-0.82789110000000043</v>
      </c>
      <c r="E57">
        <f t="shared" si="1"/>
        <v>0.82789110000000043</v>
      </c>
      <c r="F57">
        <f t="shared" si="2"/>
        <v>0.68540367345921072</v>
      </c>
      <c r="I57">
        <v>10.882942610000001</v>
      </c>
    </row>
    <row r="58" spans="1:9" x14ac:dyDescent="0.45">
      <c r="A58" t="s">
        <v>47</v>
      </c>
      <c r="B58">
        <v>12.15883324</v>
      </c>
      <c r="C58">
        <v>12.755419570000001</v>
      </c>
      <c r="D58">
        <f t="shared" si="0"/>
        <v>0.59658633000000094</v>
      </c>
      <c r="E58">
        <f t="shared" si="1"/>
        <v>0.59658633000000094</v>
      </c>
      <c r="F58">
        <f t="shared" si="2"/>
        <v>0.35591524914287004</v>
      </c>
      <c r="I58">
        <v>12.15883324</v>
      </c>
    </row>
    <row r="59" spans="1:9" x14ac:dyDescent="0.45">
      <c r="A59" t="s">
        <v>48</v>
      </c>
      <c r="B59">
        <v>14.60922424</v>
      </c>
      <c r="C59">
        <v>14.33926739</v>
      </c>
      <c r="D59">
        <f t="shared" si="0"/>
        <v>-0.2699568499999998</v>
      </c>
      <c r="E59">
        <f t="shared" si="1"/>
        <v>0.2699568499999998</v>
      </c>
      <c r="F59">
        <f t="shared" si="2"/>
        <v>7.2876700861922397E-2</v>
      </c>
      <c r="I59">
        <v>14.60922424</v>
      </c>
    </row>
    <row r="60" spans="1:9" x14ac:dyDescent="0.45">
      <c r="A60" t="s">
        <v>49</v>
      </c>
      <c r="B60">
        <v>9.5603919929999996</v>
      </c>
      <c r="C60">
        <v>9.8239431590000006</v>
      </c>
      <c r="D60">
        <f t="shared" si="0"/>
        <v>0.26355116600000095</v>
      </c>
      <c r="E60">
        <f t="shared" si="1"/>
        <v>0.26355116600000095</v>
      </c>
      <c r="F60">
        <f t="shared" si="2"/>
        <v>6.9459217099960058E-2</v>
      </c>
      <c r="I60">
        <v>9.5603919929999996</v>
      </c>
    </row>
    <row r="61" spans="1:9" x14ac:dyDescent="0.45">
      <c r="A61" t="s">
        <v>50</v>
      </c>
      <c r="B61">
        <v>9.7165541609999995</v>
      </c>
      <c r="C61">
        <v>9.4927368699999999</v>
      </c>
      <c r="D61">
        <f t="shared" si="0"/>
        <v>-0.22381729099999959</v>
      </c>
      <c r="E61">
        <f t="shared" si="1"/>
        <v>0.22381729099999959</v>
      </c>
      <c r="F61">
        <f t="shared" si="2"/>
        <v>5.0094179750578498E-2</v>
      </c>
      <c r="I61">
        <v>9.7165541609999995</v>
      </c>
    </row>
    <row r="62" spans="1:9" x14ac:dyDescent="0.45">
      <c r="A62" t="s">
        <v>51</v>
      </c>
      <c r="B62">
        <v>9.7815708259999994</v>
      </c>
      <c r="C62">
        <v>9.7753822550000002</v>
      </c>
      <c r="D62">
        <f t="shared" si="0"/>
        <v>-6.1885709999991434E-3</v>
      </c>
      <c r="E62">
        <f t="shared" si="1"/>
        <v>6.1885709999991434E-3</v>
      </c>
      <c r="F62">
        <f t="shared" si="2"/>
        <v>3.8298411022030394E-5</v>
      </c>
      <c r="I62">
        <v>9.7815708259999994</v>
      </c>
    </row>
    <row r="63" spans="1:9" x14ac:dyDescent="0.45">
      <c r="A63" t="s">
        <v>52</v>
      </c>
      <c r="B63">
        <v>9.8495405030000001</v>
      </c>
      <c r="C63">
        <v>10.695246750000001</v>
      </c>
      <c r="D63">
        <f t="shared" ref="D63:D126" si="3">(C63-B63)</f>
        <v>0.84570624700000074</v>
      </c>
      <c r="E63">
        <f t="shared" ref="E63:E126" si="4">ABS(D63)</f>
        <v>0.84570624700000074</v>
      </c>
      <c r="F63">
        <f t="shared" ref="F63:F126" si="5">E63^2</f>
        <v>0.71521905621482629</v>
      </c>
      <c r="I63">
        <v>9.8495405030000001</v>
      </c>
    </row>
    <row r="64" spans="1:9" x14ac:dyDescent="0.45">
      <c r="A64" t="s">
        <v>53</v>
      </c>
      <c r="B64">
        <v>11.8487882</v>
      </c>
      <c r="C64">
        <v>13.167299440000001</v>
      </c>
      <c r="D64">
        <f t="shared" si="3"/>
        <v>1.3185112400000012</v>
      </c>
      <c r="E64">
        <f t="shared" si="4"/>
        <v>1.3185112400000012</v>
      </c>
      <c r="F64">
        <f t="shared" si="5"/>
        <v>1.7384718900063407</v>
      </c>
      <c r="I64">
        <v>11.8487882</v>
      </c>
    </row>
    <row r="65" spans="1:9" x14ac:dyDescent="0.45">
      <c r="A65" t="s">
        <v>129</v>
      </c>
      <c r="B65">
        <v>7.5681300460000003</v>
      </c>
      <c r="C65">
        <v>7.6819101859999996</v>
      </c>
      <c r="D65">
        <f t="shared" si="3"/>
        <v>0.11378013999999936</v>
      </c>
      <c r="E65">
        <f t="shared" si="4"/>
        <v>0.11378013999999936</v>
      </c>
      <c r="F65">
        <f t="shared" si="5"/>
        <v>1.2945920258419456E-2</v>
      </c>
      <c r="I65">
        <v>7.5681300460000003</v>
      </c>
    </row>
    <row r="66" spans="1:9" x14ac:dyDescent="0.45">
      <c r="A66" t="s">
        <v>130</v>
      </c>
      <c r="B66">
        <v>8.7169672679999994</v>
      </c>
      <c r="C66">
        <v>8.5566971919999997</v>
      </c>
      <c r="D66">
        <f t="shared" si="3"/>
        <v>-0.16027007599999976</v>
      </c>
      <c r="E66">
        <f t="shared" si="4"/>
        <v>0.16027007599999976</v>
      </c>
      <c r="F66">
        <f t="shared" si="5"/>
        <v>2.5686497261045698E-2</v>
      </c>
      <c r="I66">
        <v>8.7169672679999994</v>
      </c>
    </row>
    <row r="67" spans="1:9" x14ac:dyDescent="0.45">
      <c r="A67" t="s">
        <v>54</v>
      </c>
      <c r="B67">
        <v>9.5549290550000006</v>
      </c>
      <c r="C67">
        <v>9.6631737310000005</v>
      </c>
      <c r="D67">
        <f t="shared" si="3"/>
        <v>0.10824467599999998</v>
      </c>
      <c r="E67">
        <f t="shared" si="4"/>
        <v>0.10824467599999998</v>
      </c>
      <c r="F67">
        <f t="shared" si="5"/>
        <v>1.1716909882344972E-2</v>
      </c>
      <c r="I67">
        <v>9.5549290550000006</v>
      </c>
    </row>
    <row r="68" spans="1:9" x14ac:dyDescent="0.45">
      <c r="A68" t="s">
        <v>55</v>
      </c>
      <c r="B68">
        <v>11.81861866</v>
      </c>
      <c r="C68">
        <v>12.01542676</v>
      </c>
      <c r="D68">
        <f t="shared" si="3"/>
        <v>0.19680810000000015</v>
      </c>
      <c r="E68">
        <f t="shared" si="4"/>
        <v>0.19680810000000015</v>
      </c>
      <c r="F68">
        <f t="shared" si="5"/>
        <v>3.8733428225610059E-2</v>
      </c>
      <c r="I68">
        <v>11.81861866</v>
      </c>
    </row>
    <row r="69" spans="1:9" x14ac:dyDescent="0.45">
      <c r="A69" t="s">
        <v>56</v>
      </c>
      <c r="B69">
        <v>11.77393597</v>
      </c>
      <c r="C69">
        <v>11.940847700000001</v>
      </c>
      <c r="D69">
        <f t="shared" si="3"/>
        <v>0.1669117300000007</v>
      </c>
      <c r="E69">
        <f t="shared" si="4"/>
        <v>0.1669117300000007</v>
      </c>
      <c r="F69">
        <f t="shared" si="5"/>
        <v>2.7859525611593133E-2</v>
      </c>
      <c r="I69">
        <v>11.77393597</v>
      </c>
    </row>
    <row r="70" spans="1:9" x14ac:dyDescent="0.45">
      <c r="A70" t="s">
        <v>57</v>
      </c>
      <c r="B70">
        <v>11.906194060000001</v>
      </c>
      <c r="C70">
        <v>11.99068136</v>
      </c>
      <c r="D70">
        <f t="shared" si="3"/>
        <v>8.4487299999999266E-2</v>
      </c>
      <c r="E70">
        <f t="shared" si="4"/>
        <v>8.4487299999999266E-2</v>
      </c>
      <c r="F70">
        <f t="shared" si="5"/>
        <v>7.138103861289876E-3</v>
      </c>
      <c r="I70">
        <v>11.906194060000001</v>
      </c>
    </row>
    <row r="71" spans="1:9" x14ac:dyDescent="0.45">
      <c r="A71" t="s">
        <v>58</v>
      </c>
      <c r="B71">
        <v>14.40081313</v>
      </c>
      <c r="C71">
        <v>14.381981079999999</v>
      </c>
      <c r="D71">
        <f t="shared" si="3"/>
        <v>-1.8832050000000322E-2</v>
      </c>
      <c r="E71">
        <f t="shared" si="4"/>
        <v>1.8832050000000322E-2</v>
      </c>
      <c r="F71">
        <f t="shared" si="5"/>
        <v>3.5464610720251213E-4</v>
      </c>
      <c r="I71">
        <v>14.40081313</v>
      </c>
    </row>
    <row r="72" spans="1:9" x14ac:dyDescent="0.45">
      <c r="A72" t="s">
        <v>131</v>
      </c>
      <c r="B72">
        <v>8.6923597790000002</v>
      </c>
      <c r="C72">
        <v>8.5638287710000007</v>
      </c>
      <c r="D72">
        <f t="shared" si="3"/>
        <v>-0.1285310079999995</v>
      </c>
      <c r="E72">
        <f t="shared" si="4"/>
        <v>0.1285310079999995</v>
      </c>
      <c r="F72">
        <f t="shared" si="5"/>
        <v>1.6520220017495937E-2</v>
      </c>
      <c r="I72">
        <v>8.6923597790000002</v>
      </c>
    </row>
    <row r="73" spans="1:9" x14ac:dyDescent="0.45">
      <c r="A73" t="s">
        <v>132</v>
      </c>
      <c r="B73">
        <v>7.6142357479999996</v>
      </c>
      <c r="C73">
        <v>7.6682920230000002</v>
      </c>
      <c r="D73">
        <f t="shared" si="3"/>
        <v>5.4056275000000653E-2</v>
      </c>
      <c r="E73">
        <f t="shared" si="4"/>
        <v>5.4056275000000653E-2</v>
      </c>
      <c r="F73">
        <f t="shared" si="5"/>
        <v>2.9220808668756954E-3</v>
      </c>
      <c r="I73">
        <v>7.6142357479999996</v>
      </c>
    </row>
    <row r="74" spans="1:9" x14ac:dyDescent="0.45">
      <c r="A74" t="s">
        <v>133</v>
      </c>
      <c r="B74">
        <v>9.8968779330000007</v>
      </c>
      <c r="C74">
        <v>9.7258005890000003</v>
      </c>
      <c r="D74">
        <f t="shared" si="3"/>
        <v>-0.17107734400000041</v>
      </c>
      <c r="E74">
        <f t="shared" si="4"/>
        <v>0.17107734400000041</v>
      </c>
      <c r="F74">
        <f t="shared" si="5"/>
        <v>2.9267457630094477E-2</v>
      </c>
      <c r="I74">
        <v>9.8968779330000007</v>
      </c>
    </row>
    <row r="75" spans="1:9" x14ac:dyDescent="0.45">
      <c r="A75" t="s">
        <v>59</v>
      </c>
      <c r="B75">
        <v>12.05156641</v>
      </c>
      <c r="C75">
        <v>12.138308930000001</v>
      </c>
      <c r="D75">
        <f t="shared" si="3"/>
        <v>8.6742520000001377E-2</v>
      </c>
      <c r="E75">
        <f t="shared" si="4"/>
        <v>8.6742520000001377E-2</v>
      </c>
      <c r="F75">
        <f t="shared" si="5"/>
        <v>7.5242647759506389E-3</v>
      </c>
      <c r="I75">
        <v>12.05156641</v>
      </c>
    </row>
    <row r="76" spans="1:9" x14ac:dyDescent="0.45">
      <c r="A76" t="s">
        <v>60</v>
      </c>
      <c r="B76">
        <v>10.075203009999999</v>
      </c>
      <c r="C76">
        <v>10.26962728</v>
      </c>
      <c r="D76">
        <f t="shared" si="3"/>
        <v>0.19442427000000073</v>
      </c>
      <c r="E76">
        <f t="shared" si="4"/>
        <v>0.19442427000000073</v>
      </c>
      <c r="F76">
        <f t="shared" si="5"/>
        <v>3.7800796765033187E-2</v>
      </c>
      <c r="I76">
        <v>10.075203009999999</v>
      </c>
    </row>
    <row r="77" spans="1:9" x14ac:dyDescent="0.45">
      <c r="A77" t="s">
        <v>61</v>
      </c>
      <c r="B77">
        <v>10.734209</v>
      </c>
      <c r="C77">
        <v>10.93448521</v>
      </c>
      <c r="D77">
        <f t="shared" si="3"/>
        <v>0.20027621000000018</v>
      </c>
      <c r="E77">
        <f t="shared" si="4"/>
        <v>0.20027621000000018</v>
      </c>
      <c r="F77">
        <f t="shared" si="5"/>
        <v>4.0110560291964172E-2</v>
      </c>
      <c r="I77">
        <v>10.734209</v>
      </c>
    </row>
    <row r="78" spans="1:9" x14ac:dyDescent="0.45">
      <c r="A78" t="s">
        <v>62</v>
      </c>
      <c r="B78">
        <v>9.5687336149999993</v>
      </c>
      <c r="C78">
        <v>10.39363425</v>
      </c>
      <c r="D78">
        <f t="shared" si="3"/>
        <v>0.82490063500000055</v>
      </c>
      <c r="E78">
        <f t="shared" si="4"/>
        <v>0.82490063500000055</v>
      </c>
      <c r="F78">
        <f t="shared" si="5"/>
        <v>0.68046105762340414</v>
      </c>
      <c r="I78">
        <v>9.5687336149999993</v>
      </c>
    </row>
    <row r="79" spans="1:9" x14ac:dyDescent="0.45">
      <c r="A79" t="s">
        <v>63</v>
      </c>
      <c r="B79">
        <v>10.59138098</v>
      </c>
      <c r="C79">
        <v>10.6827843</v>
      </c>
      <c r="D79">
        <f t="shared" si="3"/>
        <v>9.1403319999999511E-2</v>
      </c>
      <c r="E79">
        <f t="shared" si="4"/>
        <v>9.1403319999999511E-2</v>
      </c>
      <c r="F79">
        <f t="shared" si="5"/>
        <v>8.3545669070223105E-3</v>
      </c>
      <c r="I79">
        <v>10.59138098</v>
      </c>
    </row>
    <row r="80" spans="1:9" x14ac:dyDescent="0.45">
      <c r="A80" t="s">
        <v>64</v>
      </c>
      <c r="B80">
        <v>9.6122680999999996</v>
      </c>
      <c r="C80">
        <v>9.7578279200000004</v>
      </c>
      <c r="D80">
        <f t="shared" si="3"/>
        <v>0.14555982000000078</v>
      </c>
      <c r="E80">
        <f t="shared" si="4"/>
        <v>0.14555982000000078</v>
      </c>
      <c r="F80">
        <f t="shared" si="5"/>
        <v>2.1187661198432628E-2</v>
      </c>
      <c r="I80">
        <v>9.6122680999999996</v>
      </c>
    </row>
    <row r="81" spans="1:9" x14ac:dyDescent="0.45">
      <c r="A81" t="s">
        <v>65</v>
      </c>
      <c r="B81">
        <v>9.2224230360000004</v>
      </c>
      <c r="C81">
        <v>9.642513911</v>
      </c>
      <c r="D81">
        <f t="shared" si="3"/>
        <v>0.42009087499999964</v>
      </c>
      <c r="E81">
        <f t="shared" si="4"/>
        <v>0.42009087499999964</v>
      </c>
      <c r="F81">
        <f t="shared" si="5"/>
        <v>0.17647634325826533</v>
      </c>
      <c r="I81">
        <v>9.2224230360000004</v>
      </c>
    </row>
    <row r="82" spans="1:9" x14ac:dyDescent="0.45">
      <c r="A82" t="s">
        <v>66</v>
      </c>
      <c r="B82">
        <v>10.32359656</v>
      </c>
      <c r="C82">
        <v>10.65996065</v>
      </c>
      <c r="D82">
        <f t="shared" si="3"/>
        <v>0.33636409</v>
      </c>
      <c r="E82">
        <f t="shared" si="4"/>
        <v>0.33636409</v>
      </c>
      <c r="F82">
        <f t="shared" si="5"/>
        <v>0.1131408010415281</v>
      </c>
      <c r="I82">
        <v>10.32359656</v>
      </c>
    </row>
    <row r="83" spans="1:9" x14ac:dyDescent="0.45">
      <c r="A83" t="s">
        <v>67</v>
      </c>
      <c r="B83">
        <v>10.49054604</v>
      </c>
      <c r="C83">
        <v>10.60711219</v>
      </c>
      <c r="D83">
        <f t="shared" si="3"/>
        <v>0.11656615000000059</v>
      </c>
      <c r="E83">
        <f t="shared" si="4"/>
        <v>0.11656615000000059</v>
      </c>
      <c r="F83">
        <f t="shared" si="5"/>
        <v>1.3587667325822637E-2</v>
      </c>
      <c r="I83">
        <v>10.49054604</v>
      </c>
    </row>
    <row r="84" spans="1:9" x14ac:dyDescent="0.45">
      <c r="A84" t="s">
        <v>134</v>
      </c>
      <c r="B84">
        <v>8.9467944970000008</v>
      </c>
      <c r="C84">
        <v>8.6760612469999998</v>
      </c>
      <c r="D84">
        <f t="shared" si="3"/>
        <v>-0.27073325000000104</v>
      </c>
      <c r="E84">
        <f t="shared" si="4"/>
        <v>0.27073325000000104</v>
      </c>
      <c r="F84">
        <f t="shared" si="5"/>
        <v>7.3296492655563067E-2</v>
      </c>
      <c r="I84">
        <v>8.9467944970000008</v>
      </c>
    </row>
    <row r="85" spans="1:9" x14ac:dyDescent="0.45">
      <c r="A85" t="s">
        <v>135</v>
      </c>
      <c r="B85">
        <v>9.3323874989999993</v>
      </c>
      <c r="C85">
        <v>9.5752185950000008</v>
      </c>
      <c r="D85">
        <f t="shared" si="3"/>
        <v>0.24283109600000152</v>
      </c>
      <c r="E85">
        <f t="shared" si="4"/>
        <v>0.24283109600000152</v>
      </c>
      <c r="F85">
        <f t="shared" si="5"/>
        <v>5.8966941184561958E-2</v>
      </c>
      <c r="I85">
        <v>9.3323874989999993</v>
      </c>
    </row>
    <row r="86" spans="1:9" x14ac:dyDescent="0.45">
      <c r="A86" t="s">
        <v>136</v>
      </c>
      <c r="B86">
        <v>10.29238784</v>
      </c>
      <c r="C86">
        <v>11.751835939999999</v>
      </c>
      <c r="D86">
        <f t="shared" si="3"/>
        <v>1.4594480999999995</v>
      </c>
      <c r="E86">
        <f t="shared" si="4"/>
        <v>1.4594480999999995</v>
      </c>
      <c r="F86">
        <f t="shared" si="5"/>
        <v>2.1299887565936086</v>
      </c>
      <c r="I86">
        <v>10.29238784</v>
      </c>
    </row>
    <row r="87" spans="1:9" x14ac:dyDescent="0.45">
      <c r="A87" t="s">
        <v>137</v>
      </c>
      <c r="B87">
        <v>11.88221566</v>
      </c>
      <c r="C87">
        <v>12.006280329999999</v>
      </c>
      <c r="D87">
        <f t="shared" si="3"/>
        <v>0.12406466999999921</v>
      </c>
      <c r="E87">
        <f t="shared" si="4"/>
        <v>0.12406466999999921</v>
      </c>
      <c r="F87">
        <f t="shared" si="5"/>
        <v>1.5392042342208704E-2</v>
      </c>
      <c r="I87">
        <v>11.88221566</v>
      </c>
    </row>
    <row r="88" spans="1:9" x14ac:dyDescent="0.45">
      <c r="A88" t="s">
        <v>138</v>
      </c>
      <c r="B88">
        <v>9.9154979480000005</v>
      </c>
      <c r="C88">
        <v>10.59718986</v>
      </c>
      <c r="D88">
        <f t="shared" si="3"/>
        <v>0.68169191199999979</v>
      </c>
      <c r="E88">
        <f t="shared" si="4"/>
        <v>0.68169191199999979</v>
      </c>
      <c r="F88">
        <f t="shared" si="5"/>
        <v>0.46470386288621546</v>
      </c>
      <c r="I88">
        <v>9.9154979480000005</v>
      </c>
    </row>
    <row r="89" spans="1:9" ht="13.9" customHeight="1" x14ac:dyDescent="0.45">
      <c r="A89" t="s">
        <v>68</v>
      </c>
      <c r="B89">
        <v>10.87083331</v>
      </c>
      <c r="C89">
        <v>9.2571052970000007</v>
      </c>
      <c r="D89">
        <f t="shared" si="3"/>
        <v>-1.6137280129999994</v>
      </c>
      <c r="E89">
        <f t="shared" si="4"/>
        <v>1.6137280129999994</v>
      </c>
      <c r="F89">
        <f t="shared" si="5"/>
        <v>2.6041180999409259</v>
      </c>
      <c r="I89">
        <v>10.87083331</v>
      </c>
    </row>
    <row r="90" spans="1:9" x14ac:dyDescent="0.45">
      <c r="A90" t="s">
        <v>69</v>
      </c>
      <c r="B90">
        <v>10.17747331</v>
      </c>
      <c r="C90">
        <v>11.172099559999999</v>
      </c>
      <c r="D90">
        <f t="shared" si="3"/>
        <v>0.9946262499999996</v>
      </c>
      <c r="E90">
        <f t="shared" si="4"/>
        <v>0.9946262499999996</v>
      </c>
      <c r="F90">
        <f t="shared" si="5"/>
        <v>0.98928137718906173</v>
      </c>
      <c r="I90">
        <v>10.17747331</v>
      </c>
    </row>
    <row r="91" spans="1:9" x14ac:dyDescent="0.45">
      <c r="A91" t="s">
        <v>70</v>
      </c>
      <c r="B91">
        <v>10.78403698</v>
      </c>
      <c r="C91">
        <v>11.35456707</v>
      </c>
      <c r="D91">
        <f t="shared" si="3"/>
        <v>0.5705300900000001</v>
      </c>
      <c r="E91">
        <f t="shared" si="4"/>
        <v>0.5705300900000001</v>
      </c>
      <c r="F91">
        <f t="shared" si="5"/>
        <v>0.32550458359540824</v>
      </c>
      <c r="I91">
        <v>10.78403698</v>
      </c>
    </row>
    <row r="92" spans="1:9" x14ac:dyDescent="0.45">
      <c r="A92" t="s">
        <v>71</v>
      </c>
      <c r="B92">
        <v>11.31888395</v>
      </c>
      <c r="C92">
        <v>11.423296089999999</v>
      </c>
      <c r="D92">
        <f t="shared" si="3"/>
        <v>0.1044121399999991</v>
      </c>
      <c r="E92">
        <f t="shared" si="4"/>
        <v>0.1044121399999991</v>
      </c>
      <c r="F92">
        <f t="shared" si="5"/>
        <v>1.0901894979379411E-2</v>
      </c>
      <c r="I92">
        <v>11.31888395</v>
      </c>
    </row>
    <row r="93" spans="1:9" x14ac:dyDescent="0.45">
      <c r="A93" t="s">
        <v>72</v>
      </c>
      <c r="B93">
        <v>13.80962012</v>
      </c>
      <c r="C93">
        <v>13.357025699999999</v>
      </c>
      <c r="D93">
        <f t="shared" si="3"/>
        <v>-0.4525944200000005</v>
      </c>
      <c r="E93">
        <f t="shared" si="4"/>
        <v>0.4525944200000005</v>
      </c>
      <c r="F93">
        <f t="shared" si="5"/>
        <v>0.20484170901513685</v>
      </c>
      <c r="I93">
        <v>13.80962012</v>
      </c>
    </row>
    <row r="94" spans="1:9" x14ac:dyDescent="0.45">
      <c r="A94" t="s">
        <v>73</v>
      </c>
      <c r="B94">
        <v>13.501471710000001</v>
      </c>
      <c r="C94">
        <v>13.30501085</v>
      </c>
      <c r="D94">
        <f t="shared" si="3"/>
        <v>-0.19646086000000018</v>
      </c>
      <c r="E94">
        <f t="shared" si="4"/>
        <v>0.19646086000000018</v>
      </c>
      <c r="F94">
        <f t="shared" si="5"/>
        <v>3.859686951193967E-2</v>
      </c>
      <c r="I94">
        <v>13.501471710000001</v>
      </c>
    </row>
    <row r="95" spans="1:9" x14ac:dyDescent="0.45">
      <c r="A95" t="s">
        <v>74</v>
      </c>
      <c r="B95">
        <v>14.4565912</v>
      </c>
      <c r="C95">
        <v>13.87155287</v>
      </c>
      <c r="D95">
        <f t="shared" si="3"/>
        <v>-0.58503832999999972</v>
      </c>
      <c r="E95">
        <f t="shared" si="4"/>
        <v>0.58503832999999972</v>
      </c>
      <c r="F95">
        <f t="shared" si="5"/>
        <v>0.34226984756918855</v>
      </c>
      <c r="I95">
        <v>14.4565912</v>
      </c>
    </row>
    <row r="96" spans="1:9" x14ac:dyDescent="0.45">
      <c r="A96" t="s">
        <v>75</v>
      </c>
      <c r="B96">
        <v>16.970617180000001</v>
      </c>
      <c r="C96">
        <v>17.230802879999999</v>
      </c>
      <c r="D96">
        <f t="shared" si="3"/>
        <v>0.26018569999999741</v>
      </c>
      <c r="E96">
        <f t="shared" si="4"/>
        <v>0.26018569999999741</v>
      </c>
      <c r="F96">
        <f t="shared" si="5"/>
        <v>6.7696598484488654E-2</v>
      </c>
      <c r="I96">
        <v>16.970617180000001</v>
      </c>
    </row>
    <row r="97" spans="1:9" x14ac:dyDescent="0.45">
      <c r="A97" t="s">
        <v>76</v>
      </c>
      <c r="B97">
        <v>14.31899774</v>
      </c>
      <c r="C97">
        <v>13.56357023</v>
      </c>
      <c r="D97">
        <f t="shared" si="3"/>
        <v>-0.75542751000000052</v>
      </c>
      <c r="E97">
        <f t="shared" si="4"/>
        <v>0.75542751000000052</v>
      </c>
      <c r="F97">
        <f t="shared" si="5"/>
        <v>0.57067072286480092</v>
      </c>
      <c r="I97">
        <v>14.31899774</v>
      </c>
    </row>
    <row r="98" spans="1:9" x14ac:dyDescent="0.45">
      <c r="A98" t="s">
        <v>77</v>
      </c>
      <c r="B98">
        <v>14.44552661</v>
      </c>
      <c r="C98">
        <v>14.094397750000001</v>
      </c>
      <c r="D98">
        <f t="shared" si="3"/>
        <v>-0.35112885999999932</v>
      </c>
      <c r="E98">
        <f t="shared" si="4"/>
        <v>0.35112885999999932</v>
      </c>
      <c r="F98">
        <f t="shared" si="5"/>
        <v>0.12329147632489912</v>
      </c>
      <c r="I98">
        <v>14.44552661</v>
      </c>
    </row>
    <row r="99" spans="1:9" x14ac:dyDescent="0.45">
      <c r="A99" t="s">
        <v>78</v>
      </c>
      <c r="B99">
        <v>11.144486840000001</v>
      </c>
      <c r="C99">
        <v>11.65996161</v>
      </c>
      <c r="D99">
        <f t="shared" si="3"/>
        <v>0.51547476999999908</v>
      </c>
      <c r="E99">
        <f t="shared" si="4"/>
        <v>0.51547476999999908</v>
      </c>
      <c r="F99">
        <f t="shared" si="5"/>
        <v>0.26571423850655196</v>
      </c>
      <c r="I99">
        <v>11.144486840000001</v>
      </c>
    </row>
    <row r="100" spans="1:9" x14ac:dyDescent="0.45">
      <c r="A100" t="s">
        <v>79</v>
      </c>
      <c r="B100">
        <v>11.19447791</v>
      </c>
      <c r="C100">
        <v>11.03566004</v>
      </c>
      <c r="D100">
        <f t="shared" si="3"/>
        <v>-0.15881787000000003</v>
      </c>
      <c r="E100">
        <f t="shared" si="4"/>
        <v>0.15881787000000003</v>
      </c>
      <c r="F100">
        <f t="shared" si="5"/>
        <v>2.522311583133691E-2</v>
      </c>
      <c r="I100">
        <v>11.19447791</v>
      </c>
    </row>
    <row r="101" spans="1:9" x14ac:dyDescent="0.45">
      <c r="A101" t="s">
        <v>80</v>
      </c>
      <c r="B101">
        <v>10.85029857</v>
      </c>
      <c r="C101">
        <v>11.525604899999999</v>
      </c>
      <c r="D101">
        <f t="shared" si="3"/>
        <v>0.67530632999999973</v>
      </c>
      <c r="E101">
        <f t="shared" si="4"/>
        <v>0.67530632999999973</v>
      </c>
      <c r="F101">
        <f t="shared" si="5"/>
        <v>0.45603863933806854</v>
      </c>
      <c r="I101">
        <v>10.85029857</v>
      </c>
    </row>
    <row r="102" spans="1:9" x14ac:dyDescent="0.45">
      <c r="A102" t="s">
        <v>81</v>
      </c>
      <c r="B102">
        <v>10.902365120000001</v>
      </c>
      <c r="C102">
        <v>10.445100610000001</v>
      </c>
      <c r="D102">
        <f t="shared" si="3"/>
        <v>-0.4572645099999999</v>
      </c>
      <c r="E102">
        <f t="shared" si="4"/>
        <v>0.4572645099999999</v>
      </c>
      <c r="F102">
        <f t="shared" si="5"/>
        <v>0.20909083210554</v>
      </c>
      <c r="I102">
        <v>10.902365120000001</v>
      </c>
    </row>
    <row r="103" spans="1:9" x14ac:dyDescent="0.45">
      <c r="A103" t="s">
        <v>82</v>
      </c>
      <c r="B103">
        <v>10.291123779999999</v>
      </c>
      <c r="C103">
        <v>8.4351270930000002</v>
      </c>
      <c r="D103">
        <f t="shared" si="3"/>
        <v>-1.8559966869999993</v>
      </c>
      <c r="E103">
        <f t="shared" si="4"/>
        <v>1.8559966869999993</v>
      </c>
      <c r="F103">
        <f t="shared" si="5"/>
        <v>3.4447237021549735</v>
      </c>
      <c r="I103">
        <v>10.291123779999999</v>
      </c>
    </row>
    <row r="104" spans="1:9" x14ac:dyDescent="0.45">
      <c r="A104" t="s">
        <v>83</v>
      </c>
      <c r="B104">
        <v>11.702778690000001</v>
      </c>
      <c r="C104">
        <v>11.11348491</v>
      </c>
      <c r="D104">
        <f t="shared" si="3"/>
        <v>-0.58929378000000021</v>
      </c>
      <c r="E104">
        <f t="shared" si="4"/>
        <v>0.58929378000000021</v>
      </c>
      <c r="F104">
        <f t="shared" si="5"/>
        <v>0.34726715914668865</v>
      </c>
      <c r="I104">
        <v>11.702778690000001</v>
      </c>
    </row>
    <row r="105" spans="1:9" x14ac:dyDescent="0.45">
      <c r="A105" t="s">
        <v>84</v>
      </c>
      <c r="B105">
        <v>9.5592503799999999</v>
      </c>
      <c r="C105">
        <v>9.5877403969999992</v>
      </c>
      <c r="D105">
        <f t="shared" si="3"/>
        <v>2.8490016999999312E-2</v>
      </c>
      <c r="E105">
        <f t="shared" si="4"/>
        <v>2.8490016999999312E-2</v>
      </c>
      <c r="F105">
        <f t="shared" si="5"/>
        <v>8.1168106866024987E-4</v>
      </c>
      <c r="I105">
        <v>9.5592503799999999</v>
      </c>
    </row>
    <row r="106" spans="1:9" x14ac:dyDescent="0.45">
      <c r="A106" t="s">
        <v>139</v>
      </c>
      <c r="B106">
        <v>9.4997240460000008</v>
      </c>
      <c r="C106">
        <v>9.5372414079999999</v>
      </c>
      <c r="D106">
        <f t="shared" si="3"/>
        <v>3.751736199999911E-2</v>
      </c>
      <c r="E106">
        <f t="shared" si="4"/>
        <v>3.751736199999911E-2</v>
      </c>
      <c r="F106">
        <f t="shared" si="5"/>
        <v>1.4075524514389772E-3</v>
      </c>
      <c r="I106">
        <v>9.4997240460000008</v>
      </c>
    </row>
    <row r="107" spans="1:9" x14ac:dyDescent="0.45">
      <c r="A107" t="s">
        <v>140</v>
      </c>
      <c r="B107">
        <v>15.277976880000001</v>
      </c>
      <c r="C107">
        <v>14.079866640000001</v>
      </c>
      <c r="D107">
        <f t="shared" si="3"/>
        <v>-1.1981102400000001</v>
      </c>
      <c r="E107">
        <f t="shared" si="4"/>
        <v>1.1981102400000001</v>
      </c>
      <c r="F107">
        <f t="shared" si="5"/>
        <v>1.4354681471928579</v>
      </c>
      <c r="I107">
        <v>15.277976880000001</v>
      </c>
    </row>
    <row r="108" spans="1:9" x14ac:dyDescent="0.45">
      <c r="A108" t="s">
        <v>85</v>
      </c>
      <c r="B108">
        <v>10.08763774</v>
      </c>
      <c r="C108">
        <v>10.31811931</v>
      </c>
      <c r="D108">
        <f t="shared" si="3"/>
        <v>0.23048157000000025</v>
      </c>
      <c r="E108">
        <f t="shared" si="4"/>
        <v>0.23048157000000025</v>
      </c>
      <c r="F108">
        <f t="shared" si="5"/>
        <v>5.3121754109665013E-2</v>
      </c>
      <c r="I108">
        <v>10.08763774</v>
      </c>
    </row>
    <row r="109" spans="1:9" x14ac:dyDescent="0.45">
      <c r="A109" t="s">
        <v>86</v>
      </c>
      <c r="B109">
        <v>9.9767216380000008</v>
      </c>
      <c r="C109">
        <v>10.27291041</v>
      </c>
      <c r="D109">
        <f t="shared" si="3"/>
        <v>0.29618877199999893</v>
      </c>
      <c r="E109">
        <f t="shared" si="4"/>
        <v>0.29618877199999893</v>
      </c>
      <c r="F109">
        <f t="shared" si="5"/>
        <v>8.7727788658867351E-2</v>
      </c>
      <c r="I109">
        <v>9.9767216380000008</v>
      </c>
    </row>
    <row r="110" spans="1:9" x14ac:dyDescent="0.45">
      <c r="A110" t="s">
        <v>87</v>
      </c>
      <c r="B110">
        <v>9.3606717160000006</v>
      </c>
      <c r="C110">
        <v>9.8452701339999997</v>
      </c>
      <c r="D110">
        <f t="shared" si="3"/>
        <v>0.48459841799999914</v>
      </c>
      <c r="E110">
        <f t="shared" si="4"/>
        <v>0.48459841799999914</v>
      </c>
      <c r="F110">
        <f t="shared" si="5"/>
        <v>0.2348356267281019</v>
      </c>
      <c r="I110">
        <v>9.3606717160000006</v>
      </c>
    </row>
    <row r="111" spans="1:9" x14ac:dyDescent="0.45">
      <c r="A111" t="s">
        <v>88</v>
      </c>
      <c r="B111">
        <v>11.745093969999999</v>
      </c>
      <c r="C111">
        <v>11.567584</v>
      </c>
      <c r="D111">
        <f t="shared" si="3"/>
        <v>-0.17750996999999913</v>
      </c>
      <c r="E111">
        <f t="shared" si="4"/>
        <v>0.17750996999999913</v>
      </c>
      <c r="F111">
        <f t="shared" si="5"/>
        <v>3.150978944940059E-2</v>
      </c>
      <c r="I111">
        <v>11.745093969999999</v>
      </c>
    </row>
    <row r="112" spans="1:9" x14ac:dyDescent="0.45">
      <c r="A112" t="s">
        <v>89</v>
      </c>
      <c r="B112">
        <v>10.235797760000001</v>
      </c>
      <c r="C112">
        <v>10.006142929999999</v>
      </c>
      <c r="D112">
        <f t="shared" si="3"/>
        <v>-0.2296548300000012</v>
      </c>
      <c r="E112">
        <f t="shared" si="4"/>
        <v>0.2296548300000012</v>
      </c>
      <c r="F112">
        <f t="shared" si="5"/>
        <v>5.2741340942329448E-2</v>
      </c>
      <c r="I112">
        <v>10.235797760000001</v>
      </c>
    </row>
    <row r="113" spans="1:9" x14ac:dyDescent="0.45">
      <c r="A113" t="s">
        <v>90</v>
      </c>
      <c r="B113">
        <v>10.75783474</v>
      </c>
      <c r="C113">
        <v>11.402608669999999</v>
      </c>
      <c r="D113">
        <f t="shared" si="3"/>
        <v>0.6447739299999995</v>
      </c>
      <c r="E113">
        <f t="shared" si="4"/>
        <v>0.6447739299999995</v>
      </c>
      <c r="F113">
        <f t="shared" si="5"/>
        <v>0.41573342080764425</v>
      </c>
      <c r="I113">
        <v>10.75783474</v>
      </c>
    </row>
    <row r="114" spans="1:9" x14ac:dyDescent="0.45">
      <c r="A114" t="s">
        <v>91</v>
      </c>
      <c r="B114">
        <v>11.597635110000001</v>
      </c>
      <c r="C114">
        <v>11.27269978</v>
      </c>
      <c r="D114">
        <f t="shared" si="3"/>
        <v>-0.32493533000000063</v>
      </c>
      <c r="E114">
        <f t="shared" si="4"/>
        <v>0.32493533000000063</v>
      </c>
      <c r="F114">
        <f t="shared" si="5"/>
        <v>0.10558296868220932</v>
      </c>
      <c r="I114">
        <v>11.597635110000001</v>
      </c>
    </row>
    <row r="115" spans="1:9" x14ac:dyDescent="0.45">
      <c r="A115" t="s">
        <v>92</v>
      </c>
      <c r="B115">
        <v>11.34213373</v>
      </c>
      <c r="C115">
        <v>11.097883400000001</v>
      </c>
      <c r="D115">
        <f t="shared" si="3"/>
        <v>-0.24425032999999985</v>
      </c>
      <c r="E115">
        <f t="shared" si="4"/>
        <v>0.24425032999999985</v>
      </c>
      <c r="F115">
        <f t="shared" si="5"/>
        <v>5.9658223705108829E-2</v>
      </c>
      <c r="I115">
        <v>11.34213373</v>
      </c>
    </row>
    <row r="116" spans="1:9" x14ac:dyDescent="0.45">
      <c r="A116" t="s">
        <v>93</v>
      </c>
      <c r="B116">
        <v>11.13026226</v>
      </c>
      <c r="C116">
        <v>11.066173340000001</v>
      </c>
      <c r="D116">
        <f t="shared" si="3"/>
        <v>-6.4088919999999661E-2</v>
      </c>
      <c r="E116">
        <f t="shared" si="4"/>
        <v>6.4088919999999661E-2</v>
      </c>
      <c r="F116">
        <f t="shared" si="5"/>
        <v>4.1073896667663569E-3</v>
      </c>
      <c r="I116">
        <v>11.13026226</v>
      </c>
    </row>
    <row r="117" spans="1:9" x14ac:dyDescent="0.45">
      <c r="A117" t="s">
        <v>94</v>
      </c>
      <c r="B117">
        <v>11.027919089999999</v>
      </c>
      <c r="C117">
        <v>11.06720288</v>
      </c>
      <c r="D117">
        <f t="shared" si="3"/>
        <v>3.9283790000000707E-2</v>
      </c>
      <c r="E117">
        <f t="shared" si="4"/>
        <v>3.9283790000000707E-2</v>
      </c>
      <c r="F117">
        <f t="shared" si="5"/>
        <v>1.5432161567641555E-3</v>
      </c>
      <c r="I117">
        <v>11.027919089999999</v>
      </c>
    </row>
    <row r="118" spans="1:9" x14ac:dyDescent="0.45">
      <c r="A118" t="s">
        <v>95</v>
      </c>
      <c r="B118">
        <v>11.539940420000001</v>
      </c>
      <c r="C118">
        <v>11.40078651</v>
      </c>
      <c r="D118">
        <f t="shared" si="3"/>
        <v>-0.13915391000000099</v>
      </c>
      <c r="E118">
        <f t="shared" si="4"/>
        <v>0.13915391000000099</v>
      </c>
      <c r="F118">
        <f t="shared" si="5"/>
        <v>1.9363810668288375E-2</v>
      </c>
      <c r="I118">
        <v>11.539940420000001</v>
      </c>
    </row>
    <row r="119" spans="1:9" x14ac:dyDescent="0.45">
      <c r="A119" t="s">
        <v>96</v>
      </c>
      <c r="B119">
        <v>11.46003645</v>
      </c>
      <c r="C119">
        <v>11.24875724</v>
      </c>
      <c r="D119">
        <f t="shared" si="3"/>
        <v>-0.21127921000000072</v>
      </c>
      <c r="E119">
        <f t="shared" si="4"/>
        <v>0.21127921000000072</v>
      </c>
      <c r="F119">
        <f t="shared" si="5"/>
        <v>4.4638904578224406E-2</v>
      </c>
      <c r="I119">
        <v>11.46003645</v>
      </c>
    </row>
    <row r="120" spans="1:9" x14ac:dyDescent="0.45">
      <c r="A120" t="s">
        <v>97</v>
      </c>
      <c r="B120">
        <v>12.60720049</v>
      </c>
      <c r="C120">
        <v>12.432476339999999</v>
      </c>
      <c r="D120">
        <f t="shared" si="3"/>
        <v>-0.17472415000000119</v>
      </c>
      <c r="E120">
        <f t="shared" si="4"/>
        <v>0.17472415000000119</v>
      </c>
      <c r="F120">
        <f t="shared" si="5"/>
        <v>3.0528528593222914E-2</v>
      </c>
      <c r="I120">
        <v>12.60720049</v>
      </c>
    </row>
    <row r="121" spans="1:9" x14ac:dyDescent="0.45">
      <c r="A121" t="s">
        <v>98</v>
      </c>
      <c r="B121">
        <v>11.29615287</v>
      </c>
      <c r="C121">
        <v>11.33767226</v>
      </c>
      <c r="D121">
        <f t="shared" si="3"/>
        <v>4.151938999999949E-2</v>
      </c>
      <c r="E121">
        <f t="shared" si="4"/>
        <v>4.151938999999949E-2</v>
      </c>
      <c r="F121">
        <f t="shared" si="5"/>
        <v>1.7238597459720577E-3</v>
      </c>
      <c r="I121">
        <v>11.29615287</v>
      </c>
    </row>
    <row r="122" spans="1:9" x14ac:dyDescent="0.45">
      <c r="A122" t="s">
        <v>99</v>
      </c>
      <c r="B122">
        <v>11.60373901</v>
      </c>
      <c r="C122">
        <v>11.40932963</v>
      </c>
      <c r="D122">
        <f t="shared" si="3"/>
        <v>-0.19440937999999974</v>
      </c>
      <c r="E122">
        <f t="shared" si="4"/>
        <v>0.19440937999999974</v>
      </c>
      <c r="F122">
        <f t="shared" si="5"/>
        <v>3.7795007031984303E-2</v>
      </c>
      <c r="I122">
        <v>11.60373901</v>
      </c>
    </row>
    <row r="123" spans="1:9" x14ac:dyDescent="0.45">
      <c r="A123" t="s">
        <v>100</v>
      </c>
      <c r="B123">
        <v>10.546326179999999</v>
      </c>
      <c r="C123">
        <v>10.25822833</v>
      </c>
      <c r="D123">
        <f t="shared" si="3"/>
        <v>-0.28809784999999977</v>
      </c>
      <c r="E123">
        <f t="shared" si="4"/>
        <v>0.28809784999999977</v>
      </c>
      <c r="F123">
        <f t="shared" si="5"/>
        <v>8.3000371174622362E-2</v>
      </c>
      <c r="I123">
        <v>10.546326179999999</v>
      </c>
    </row>
    <row r="124" spans="1:9" x14ac:dyDescent="0.45">
      <c r="A124" t="s">
        <v>101</v>
      </c>
      <c r="B124">
        <v>11.388413659999999</v>
      </c>
      <c r="C124">
        <v>11.82276924</v>
      </c>
      <c r="D124">
        <f t="shared" si="3"/>
        <v>0.43435558000000007</v>
      </c>
      <c r="E124">
        <f t="shared" si="4"/>
        <v>0.43435558000000007</v>
      </c>
      <c r="F124">
        <f t="shared" si="5"/>
        <v>0.18866476987713646</v>
      </c>
      <c r="I124">
        <v>11.388413659999999</v>
      </c>
    </row>
    <row r="125" spans="1:9" x14ac:dyDescent="0.45">
      <c r="A125" t="s">
        <v>102</v>
      </c>
      <c r="B125">
        <v>9.2662518259999995</v>
      </c>
      <c r="C125">
        <v>9.8222593669999991</v>
      </c>
      <c r="D125">
        <f t="shared" si="3"/>
        <v>0.55600754099999961</v>
      </c>
      <c r="E125">
        <f t="shared" si="4"/>
        <v>0.55600754099999961</v>
      </c>
      <c r="F125">
        <f t="shared" si="5"/>
        <v>0.30914438564886626</v>
      </c>
      <c r="I125">
        <v>9.2662518259999995</v>
      </c>
    </row>
    <row r="126" spans="1:9" x14ac:dyDescent="0.45">
      <c r="A126" t="s">
        <v>103</v>
      </c>
      <c r="B126">
        <v>11.087545029999999</v>
      </c>
      <c r="C126">
        <v>11.373493030000001</v>
      </c>
      <c r="D126">
        <f t="shared" si="3"/>
        <v>0.2859480000000012</v>
      </c>
      <c r="E126">
        <f t="shared" si="4"/>
        <v>0.2859480000000012</v>
      </c>
      <c r="F126">
        <f t="shared" si="5"/>
        <v>8.1766258704000686E-2</v>
      </c>
      <c r="I126">
        <v>11.087545029999999</v>
      </c>
    </row>
    <row r="127" spans="1:9" x14ac:dyDescent="0.45">
      <c r="A127" t="s">
        <v>104</v>
      </c>
      <c r="B127">
        <v>9.8985363159999995</v>
      </c>
      <c r="C127">
        <v>9.9827814010000004</v>
      </c>
      <c r="D127">
        <f t="shared" ref="D127:D137" si="6">(C127-B127)</f>
        <v>8.4245085000000941E-2</v>
      </c>
      <c r="E127">
        <f t="shared" ref="E127:E137" si="7">ABS(D127)</f>
        <v>8.4245085000000941E-2</v>
      </c>
      <c r="F127">
        <f t="shared" ref="F127:F137" si="8">E127^2</f>
        <v>7.0972343466573834E-3</v>
      </c>
      <c r="I127">
        <v>9.8985363159999995</v>
      </c>
    </row>
    <row r="128" spans="1:9" x14ac:dyDescent="0.45">
      <c r="A128" t="s">
        <v>105</v>
      </c>
      <c r="B128">
        <v>9.4921846750000007</v>
      </c>
      <c r="C128">
        <v>9.5242654449999993</v>
      </c>
      <c r="D128">
        <f t="shared" si="6"/>
        <v>3.2080769999998537E-2</v>
      </c>
      <c r="E128">
        <f t="shared" si="7"/>
        <v>3.2080769999998537E-2</v>
      </c>
      <c r="F128">
        <f t="shared" si="8"/>
        <v>1.0291758037928062E-3</v>
      </c>
      <c r="I128">
        <v>9.4921846750000007</v>
      </c>
    </row>
    <row r="129" spans="1:9" x14ac:dyDescent="0.45">
      <c r="A129" t="s">
        <v>106</v>
      </c>
      <c r="B129">
        <v>11.43484773</v>
      </c>
      <c r="C129">
        <v>12.25445996</v>
      </c>
      <c r="D129">
        <f t="shared" si="6"/>
        <v>0.81961223000000061</v>
      </c>
      <c r="E129">
        <f t="shared" si="7"/>
        <v>0.81961223000000061</v>
      </c>
      <c r="F129">
        <f t="shared" si="8"/>
        <v>0.67176420756557387</v>
      </c>
      <c r="I129">
        <v>11.43484773</v>
      </c>
    </row>
    <row r="130" spans="1:9" x14ac:dyDescent="0.45">
      <c r="A130" t="s">
        <v>141</v>
      </c>
      <c r="B130">
        <v>7.5813795370000001</v>
      </c>
      <c r="C130">
        <v>7.6747845149999998</v>
      </c>
      <c r="D130">
        <f t="shared" si="6"/>
        <v>9.3404977999999694E-2</v>
      </c>
      <c r="E130">
        <f t="shared" si="7"/>
        <v>9.3404977999999694E-2</v>
      </c>
      <c r="F130">
        <f t="shared" si="8"/>
        <v>8.7244899151804264E-3</v>
      </c>
      <c r="I130">
        <v>7.5813795370000001</v>
      </c>
    </row>
    <row r="131" spans="1:9" x14ac:dyDescent="0.45">
      <c r="A131" t="s">
        <v>142</v>
      </c>
      <c r="B131">
        <v>8.7086628590000004</v>
      </c>
      <c r="C131">
        <v>8.7644139849999991</v>
      </c>
      <c r="D131">
        <f t="shared" si="6"/>
        <v>5.5751125999998763E-2</v>
      </c>
      <c r="E131">
        <f t="shared" si="7"/>
        <v>5.5751125999998763E-2</v>
      </c>
      <c r="F131">
        <f t="shared" si="8"/>
        <v>3.1081880502677379E-3</v>
      </c>
      <c r="I131">
        <v>8.7086628590000004</v>
      </c>
    </row>
    <row r="132" spans="1:9" x14ac:dyDescent="0.45">
      <c r="A132" t="s">
        <v>107</v>
      </c>
      <c r="B132">
        <v>11.08962537</v>
      </c>
      <c r="C132">
        <v>11.945681820000001</v>
      </c>
      <c r="D132">
        <f t="shared" si="6"/>
        <v>0.85605645000000052</v>
      </c>
      <c r="E132">
        <f t="shared" si="7"/>
        <v>0.85605645000000052</v>
      </c>
      <c r="F132">
        <f t="shared" si="8"/>
        <v>0.73283264558660344</v>
      </c>
      <c r="I132">
        <v>11.08962537</v>
      </c>
    </row>
    <row r="133" spans="1:9" x14ac:dyDescent="0.45">
      <c r="A133" t="s">
        <v>108</v>
      </c>
      <c r="B133">
        <v>9.7583233079999996</v>
      </c>
      <c r="C133">
        <v>9.6849137479999996</v>
      </c>
      <c r="D133">
        <f t="shared" si="6"/>
        <v>-7.3409559999999985E-2</v>
      </c>
      <c r="E133">
        <f t="shared" si="7"/>
        <v>7.3409559999999985E-2</v>
      </c>
      <c r="F133">
        <f t="shared" si="8"/>
        <v>5.3889634993935977E-3</v>
      </c>
      <c r="I133">
        <v>9.7583233079999996</v>
      </c>
    </row>
    <row r="134" spans="1:9" x14ac:dyDescent="0.45">
      <c r="A134" t="s">
        <v>109</v>
      </c>
      <c r="B134">
        <v>9.596367785</v>
      </c>
      <c r="C134">
        <v>9.6815223150000005</v>
      </c>
      <c r="D134">
        <f t="shared" si="6"/>
        <v>8.5154530000000506E-2</v>
      </c>
      <c r="E134">
        <f t="shared" si="7"/>
        <v>8.5154530000000506E-2</v>
      </c>
      <c r="F134">
        <f t="shared" si="8"/>
        <v>7.2512939795209858E-3</v>
      </c>
      <c r="I134">
        <v>9.596367785</v>
      </c>
    </row>
    <row r="135" spans="1:9" x14ac:dyDescent="0.45">
      <c r="A135" t="s">
        <v>110</v>
      </c>
      <c r="B135">
        <v>10.99572014</v>
      </c>
      <c r="C135">
        <v>12.02282653</v>
      </c>
      <c r="D135">
        <f t="shared" si="6"/>
        <v>1.0271063900000001</v>
      </c>
      <c r="E135">
        <f t="shared" si="7"/>
        <v>1.0271063900000001</v>
      </c>
      <c r="F135">
        <f t="shared" si="8"/>
        <v>1.0549475363788323</v>
      </c>
      <c r="I135">
        <v>10.99572014</v>
      </c>
    </row>
    <row r="136" spans="1:9" x14ac:dyDescent="0.45">
      <c r="A136" t="s">
        <v>111</v>
      </c>
      <c r="B136">
        <v>14.28800719</v>
      </c>
      <c r="C136">
        <v>13.70625179</v>
      </c>
      <c r="D136">
        <f t="shared" si="6"/>
        <v>-0.58175540000000048</v>
      </c>
      <c r="E136">
        <f t="shared" si="7"/>
        <v>0.58175540000000048</v>
      </c>
      <c r="F136">
        <f t="shared" si="8"/>
        <v>0.33843934542916054</v>
      </c>
      <c r="I136">
        <v>14.28800719</v>
      </c>
    </row>
    <row r="137" spans="1:9" x14ac:dyDescent="0.45">
      <c r="A137" t="s">
        <v>112</v>
      </c>
      <c r="B137">
        <v>14.09125905</v>
      </c>
      <c r="C137">
        <v>13.748822820000001</v>
      </c>
      <c r="D137">
        <f t="shared" si="6"/>
        <v>-0.34243622999999879</v>
      </c>
      <c r="E137">
        <f t="shared" si="7"/>
        <v>0.34243622999999879</v>
      </c>
      <c r="F137">
        <f t="shared" si="8"/>
        <v>0.11726257161661206</v>
      </c>
      <c r="I137">
        <v>14.09125905</v>
      </c>
    </row>
    <row r="138" spans="1:9" x14ac:dyDescent="0.45">
      <c r="D138">
        <f>AVERAGE(D2:D137)</f>
        <v>7.5374383044117629E-2</v>
      </c>
      <c r="E138">
        <f>AVERAGE(E2:E137)</f>
        <v>0.39418001079411769</v>
      </c>
      <c r="F138">
        <f>SQRT(AVERAGE(F2:F137))</f>
        <v>0.55648472864826626</v>
      </c>
    </row>
    <row r="139" spans="1:9" x14ac:dyDescent="0.45">
      <c r="B139">
        <f>MIN(B2:B137)</f>
        <v>7.3600284919999996</v>
      </c>
      <c r="C139">
        <f>MIN(C2:C137)</f>
        <v>7.6682920230000002</v>
      </c>
    </row>
    <row r="140" spans="1:9" x14ac:dyDescent="0.45">
      <c r="B140">
        <f>MAX(B2:B137)</f>
        <v>16.970617180000001</v>
      </c>
      <c r="C140">
        <f>MAX(C2:C137)</f>
        <v>17.230802879999999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0E07-139B-4133-80DB-318F646AE62C}">
  <dimension ref="A1:AU140"/>
  <sheetViews>
    <sheetView workbookViewId="0">
      <selection activeCell="C1" sqref="C1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280</v>
      </c>
      <c r="C1" s="2" t="s">
        <v>281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282</v>
      </c>
    </row>
    <row r="2" spans="1:47" x14ac:dyDescent="0.45">
      <c r="A2" t="s">
        <v>113</v>
      </c>
      <c r="B2">
        <v>4.1046356360000003</v>
      </c>
      <c r="C2">
        <v>3.9100993829999999</v>
      </c>
      <c r="D2">
        <f>(C2-B2)</f>
        <v>-0.19453625300000033</v>
      </c>
      <c r="E2">
        <f>ABS(D2)</f>
        <v>0.19453625300000033</v>
      </c>
      <c r="F2">
        <f>E2^2</f>
        <v>3.7844353731280138E-2</v>
      </c>
      <c r="G2">
        <f>CORREL(B2:B137,C2:C137)</f>
        <v>0.81202076749675833</v>
      </c>
      <c r="H2">
        <f>G2^2</f>
        <v>0.65937772684602447</v>
      </c>
      <c r="I2">
        <v>4.1046356360000003</v>
      </c>
    </row>
    <row r="3" spans="1:47" x14ac:dyDescent="0.45">
      <c r="A3" t="s">
        <v>114</v>
      </c>
      <c r="B3">
        <v>4.1338032189999998</v>
      </c>
      <c r="C3">
        <v>4.2139742230000001</v>
      </c>
      <c r="D3">
        <f t="shared" ref="D3:D66" si="0">(C3-B3)</f>
        <v>8.0171004000000323E-2</v>
      </c>
      <c r="E3">
        <f t="shared" ref="E3:E66" si="1">ABS(D3)</f>
        <v>8.0171004000000323E-2</v>
      </c>
      <c r="F3">
        <f t="shared" ref="F3:F66" si="2">E3^2</f>
        <v>6.4273898823680679E-3</v>
      </c>
      <c r="I3">
        <v>4.1338032189999998</v>
      </c>
    </row>
    <row r="4" spans="1:47" x14ac:dyDescent="0.45">
      <c r="A4" t="s">
        <v>115</v>
      </c>
      <c r="B4">
        <v>4.2024156049999997</v>
      </c>
      <c r="C4">
        <v>4.3370989839999998</v>
      </c>
      <c r="D4">
        <f t="shared" si="0"/>
        <v>0.13468337900000016</v>
      </c>
      <c r="E4">
        <f t="shared" si="1"/>
        <v>0.13468337900000016</v>
      </c>
      <c r="F4">
        <f t="shared" si="2"/>
        <v>1.8139612578857683E-2</v>
      </c>
      <c r="I4">
        <v>4.2024156049999997</v>
      </c>
    </row>
    <row r="5" spans="1:47" x14ac:dyDescent="0.45">
      <c r="A5" t="s">
        <v>116</v>
      </c>
      <c r="B5">
        <v>4.2671460760000004</v>
      </c>
      <c r="C5">
        <v>4.1706110470000004</v>
      </c>
      <c r="D5">
        <f t="shared" si="0"/>
        <v>-9.6535028999999994E-2</v>
      </c>
      <c r="E5">
        <f t="shared" si="1"/>
        <v>9.6535028999999994E-2</v>
      </c>
      <c r="F5">
        <f t="shared" si="2"/>
        <v>9.3190118240308404E-3</v>
      </c>
      <c r="I5">
        <v>4.2671460760000004</v>
      </c>
    </row>
    <row r="6" spans="1:47" x14ac:dyDescent="0.45">
      <c r="A6" t="s">
        <v>117</v>
      </c>
      <c r="B6">
        <v>5.1080377590000001</v>
      </c>
      <c r="C6">
        <v>5.4000388130000001</v>
      </c>
      <c r="D6">
        <f t="shared" si="0"/>
        <v>0.29200105399999998</v>
      </c>
      <c r="E6">
        <f t="shared" si="1"/>
        <v>0.29200105399999998</v>
      </c>
      <c r="F6">
        <f t="shared" si="2"/>
        <v>8.5264615537110899E-2</v>
      </c>
      <c r="I6">
        <v>5.1080377590000001</v>
      </c>
    </row>
    <row r="7" spans="1:47" x14ac:dyDescent="0.45">
      <c r="A7" t="s">
        <v>118</v>
      </c>
      <c r="B7">
        <v>4.1729566279999997</v>
      </c>
      <c r="C7">
        <v>4.5993711350000002</v>
      </c>
      <c r="D7">
        <f t="shared" si="0"/>
        <v>0.4264145070000005</v>
      </c>
      <c r="E7">
        <f t="shared" si="1"/>
        <v>0.4264145070000005</v>
      </c>
      <c r="F7">
        <f t="shared" si="2"/>
        <v>0.18182933178005348</v>
      </c>
      <c r="I7">
        <v>4.1729566279999997</v>
      </c>
    </row>
    <row r="8" spans="1:47" x14ac:dyDescent="0.45">
      <c r="A8" t="s">
        <v>7</v>
      </c>
      <c r="B8">
        <v>4.6298005240000002</v>
      </c>
      <c r="C8">
        <v>4.6413142389999997</v>
      </c>
      <c r="D8">
        <f t="shared" si="0"/>
        <v>1.1513714999999536E-2</v>
      </c>
      <c r="E8">
        <f t="shared" si="1"/>
        <v>1.1513714999999536E-2</v>
      </c>
      <c r="F8">
        <f t="shared" si="2"/>
        <v>1.3256563310121432E-4</v>
      </c>
      <c r="I8">
        <v>4.6298005240000002</v>
      </c>
    </row>
    <row r="9" spans="1:47" x14ac:dyDescent="0.45">
      <c r="A9" t="s">
        <v>8</v>
      </c>
      <c r="B9">
        <v>5.0197913569999999</v>
      </c>
      <c r="C9">
        <v>5.5460946829999997</v>
      </c>
      <c r="D9">
        <f t="shared" si="0"/>
        <v>0.52630332599999985</v>
      </c>
      <c r="E9">
        <f t="shared" si="1"/>
        <v>0.52630332599999985</v>
      </c>
      <c r="F9">
        <f t="shared" si="2"/>
        <v>0.2769951909586621</v>
      </c>
      <c r="I9">
        <v>5.0197913569999999</v>
      </c>
    </row>
    <row r="10" spans="1:47" x14ac:dyDescent="0.45">
      <c r="A10" t="s">
        <v>9</v>
      </c>
      <c r="B10">
        <v>4.6912529489999999</v>
      </c>
      <c r="C10">
        <v>4.724023313</v>
      </c>
      <c r="D10">
        <f t="shared" si="0"/>
        <v>3.2770364000000107E-2</v>
      </c>
      <c r="E10">
        <f t="shared" si="1"/>
        <v>3.2770364000000107E-2</v>
      </c>
      <c r="F10">
        <f t="shared" si="2"/>
        <v>1.0738967566925031E-3</v>
      </c>
      <c r="I10">
        <v>4.6912529489999999</v>
      </c>
    </row>
    <row r="11" spans="1:47" x14ac:dyDescent="0.45">
      <c r="A11" t="s">
        <v>10</v>
      </c>
      <c r="B11">
        <v>4.5073560170000002</v>
      </c>
      <c r="C11">
        <v>4.7685673890000002</v>
      </c>
      <c r="D11">
        <f t="shared" si="0"/>
        <v>0.261211372</v>
      </c>
      <c r="E11">
        <f t="shared" si="1"/>
        <v>0.261211372</v>
      </c>
      <c r="F11">
        <f t="shared" si="2"/>
        <v>6.8231380862122382E-2</v>
      </c>
      <c r="I11">
        <v>4.5073560170000002</v>
      </c>
    </row>
    <row r="12" spans="1:47" x14ac:dyDescent="0.45">
      <c r="A12" t="s">
        <v>11</v>
      </c>
      <c r="B12">
        <v>4.9210873749999999</v>
      </c>
      <c r="C12">
        <v>4.814757255</v>
      </c>
      <c r="D12">
        <f t="shared" si="0"/>
        <v>-0.10633011999999997</v>
      </c>
      <c r="E12">
        <f t="shared" si="1"/>
        <v>0.10633011999999997</v>
      </c>
      <c r="F12">
        <f t="shared" si="2"/>
        <v>1.1306094419214393E-2</v>
      </c>
      <c r="I12">
        <v>4.9210873749999999</v>
      </c>
    </row>
    <row r="13" spans="1:47" x14ac:dyDescent="0.45">
      <c r="A13" t="s">
        <v>12</v>
      </c>
      <c r="B13">
        <v>4.4459397840000001</v>
      </c>
      <c r="C13">
        <v>4.5571669899999998</v>
      </c>
      <c r="D13">
        <f t="shared" si="0"/>
        <v>0.11122720599999969</v>
      </c>
      <c r="E13">
        <f t="shared" si="1"/>
        <v>0.11122720599999969</v>
      </c>
      <c r="F13">
        <f t="shared" si="2"/>
        <v>1.2371491354566368E-2</v>
      </c>
      <c r="I13">
        <v>4.4459397840000001</v>
      </c>
    </row>
    <row r="14" spans="1:47" x14ac:dyDescent="0.45">
      <c r="A14" t="s">
        <v>13</v>
      </c>
      <c r="B14">
        <v>4.3125312520000003</v>
      </c>
      <c r="C14">
        <v>4.2700554659999996</v>
      </c>
      <c r="D14">
        <f t="shared" si="0"/>
        <v>-4.2475786000000681E-2</v>
      </c>
      <c r="E14">
        <f t="shared" si="1"/>
        <v>4.2475786000000681E-2</v>
      </c>
      <c r="F14">
        <f t="shared" si="2"/>
        <v>1.8041923963178538E-3</v>
      </c>
      <c r="I14">
        <v>4.3125312520000003</v>
      </c>
    </row>
    <row r="15" spans="1:47" x14ac:dyDescent="0.45">
      <c r="A15" t="s">
        <v>119</v>
      </c>
      <c r="B15">
        <v>4.8902917959999996</v>
      </c>
      <c r="C15">
        <v>4.7640919249999998</v>
      </c>
      <c r="D15">
        <f t="shared" si="0"/>
        <v>-0.12619987099999985</v>
      </c>
      <c r="E15">
        <f t="shared" si="1"/>
        <v>0.12619987099999985</v>
      </c>
      <c r="F15">
        <f t="shared" si="2"/>
        <v>1.5926407440416603E-2</v>
      </c>
      <c r="I15">
        <v>4.8902917959999996</v>
      </c>
      <c r="AU15" s="1"/>
    </row>
    <row r="16" spans="1:47" x14ac:dyDescent="0.45">
      <c r="A16" t="s">
        <v>14</v>
      </c>
      <c r="B16">
        <v>3.961197963</v>
      </c>
      <c r="C16">
        <v>3.9555904979999998</v>
      </c>
      <c r="D16">
        <f t="shared" si="0"/>
        <v>-5.6074650000002002E-3</v>
      </c>
      <c r="E16">
        <f t="shared" si="1"/>
        <v>5.6074650000002002E-3</v>
      </c>
      <c r="F16">
        <f t="shared" si="2"/>
        <v>3.1443663726227242E-5</v>
      </c>
      <c r="I16">
        <v>3.961197963</v>
      </c>
      <c r="AU16" s="1"/>
    </row>
    <row r="17" spans="1:47" x14ac:dyDescent="0.45">
      <c r="A17" t="s">
        <v>120</v>
      </c>
      <c r="B17">
        <v>4.3874110039999996</v>
      </c>
      <c r="C17">
        <v>3.8835787150000001</v>
      </c>
      <c r="D17">
        <f t="shared" si="0"/>
        <v>-0.50383228899999954</v>
      </c>
      <c r="E17">
        <f t="shared" si="1"/>
        <v>0.50383228899999954</v>
      </c>
      <c r="F17">
        <f t="shared" si="2"/>
        <v>0.25384697543897905</v>
      </c>
      <c r="I17">
        <v>4.3874110039999996</v>
      </c>
      <c r="AU17" s="1"/>
    </row>
    <row r="18" spans="1:47" x14ac:dyDescent="0.45">
      <c r="A18" t="s">
        <v>121</v>
      </c>
      <c r="B18">
        <v>4.7121986490000003</v>
      </c>
      <c r="C18">
        <v>4.736562535</v>
      </c>
      <c r="D18">
        <f t="shared" si="0"/>
        <v>2.4363885999999724E-2</v>
      </c>
      <c r="E18">
        <f t="shared" si="1"/>
        <v>2.4363885999999724E-2</v>
      </c>
      <c r="F18">
        <f t="shared" si="2"/>
        <v>5.9359894102098258E-4</v>
      </c>
      <c r="I18">
        <v>4.7121986490000003</v>
      </c>
      <c r="AU18" s="1"/>
    </row>
    <row r="19" spans="1:47" x14ac:dyDescent="0.45">
      <c r="A19" t="s">
        <v>122</v>
      </c>
      <c r="B19">
        <v>5.0521733580000001</v>
      </c>
      <c r="C19">
        <v>5.0540008140000001</v>
      </c>
      <c r="D19">
        <f t="shared" si="0"/>
        <v>1.8274560000000051E-3</v>
      </c>
      <c r="E19">
        <f t="shared" si="1"/>
        <v>1.8274560000000051E-3</v>
      </c>
      <c r="F19">
        <f t="shared" si="2"/>
        <v>3.3395954319360186E-6</v>
      </c>
      <c r="I19">
        <v>5.0521733580000001</v>
      </c>
      <c r="AU19" s="1"/>
    </row>
    <row r="20" spans="1:47" x14ac:dyDescent="0.45">
      <c r="A20" t="s">
        <v>123</v>
      </c>
      <c r="B20">
        <v>5.0272684239999998</v>
      </c>
      <c r="C20">
        <v>5.3370888089999999</v>
      </c>
      <c r="D20">
        <f t="shared" si="0"/>
        <v>0.30982038500000009</v>
      </c>
      <c r="E20">
        <f t="shared" si="1"/>
        <v>0.30982038500000009</v>
      </c>
      <c r="F20">
        <f t="shared" si="2"/>
        <v>9.5988670961548284E-2</v>
      </c>
      <c r="I20">
        <v>5.0272684239999998</v>
      </c>
      <c r="AU20" s="1"/>
    </row>
    <row r="21" spans="1:47" x14ac:dyDescent="0.45">
      <c r="A21" t="s">
        <v>124</v>
      </c>
      <c r="B21">
        <v>5.3424637160000001</v>
      </c>
      <c r="C21">
        <v>5.0477720919999998</v>
      </c>
      <c r="D21">
        <f t="shared" si="0"/>
        <v>-0.29469162400000037</v>
      </c>
      <c r="E21">
        <f t="shared" si="1"/>
        <v>0.29469162400000037</v>
      </c>
      <c r="F21">
        <f t="shared" si="2"/>
        <v>8.6843153255757602E-2</v>
      </c>
      <c r="I21">
        <v>5.3424637160000001</v>
      </c>
    </row>
    <row r="22" spans="1:47" x14ac:dyDescent="0.45">
      <c r="A22" t="s">
        <v>125</v>
      </c>
      <c r="B22">
        <v>5.1214329999999997</v>
      </c>
      <c r="C22">
        <v>5.1769756239999998</v>
      </c>
      <c r="D22">
        <f t="shared" si="0"/>
        <v>5.5542624000000096E-2</v>
      </c>
      <c r="E22">
        <f t="shared" si="1"/>
        <v>5.5542624000000096E-2</v>
      </c>
      <c r="F22">
        <f t="shared" si="2"/>
        <v>3.0849830808053866E-3</v>
      </c>
      <c r="I22">
        <v>5.1214329999999997</v>
      </c>
    </row>
    <row r="23" spans="1:47" x14ac:dyDescent="0.45">
      <c r="A23" t="s">
        <v>15</v>
      </c>
      <c r="B23">
        <v>4.9108617419999998</v>
      </c>
      <c r="C23">
        <v>4.806990903</v>
      </c>
      <c r="D23">
        <f t="shared" si="0"/>
        <v>-0.10387083899999983</v>
      </c>
      <c r="E23">
        <f t="shared" si="1"/>
        <v>0.10387083899999983</v>
      </c>
      <c r="F23">
        <f t="shared" si="2"/>
        <v>1.0789151194563884E-2</v>
      </c>
      <c r="I23">
        <v>4.9108617419999998</v>
      </c>
    </row>
    <row r="24" spans="1:47" x14ac:dyDescent="0.45">
      <c r="A24" t="s">
        <v>16</v>
      </c>
      <c r="B24">
        <v>4.1452788119999999</v>
      </c>
      <c r="C24">
        <v>4.1906699139999999</v>
      </c>
      <c r="D24">
        <f t="shared" si="0"/>
        <v>4.5391101999999961E-2</v>
      </c>
      <c r="E24">
        <f t="shared" si="1"/>
        <v>4.5391101999999961E-2</v>
      </c>
      <c r="F24">
        <f t="shared" si="2"/>
        <v>2.0603521407744005E-3</v>
      </c>
      <c r="I24">
        <v>4.1452788119999999</v>
      </c>
    </row>
    <row r="25" spans="1:47" x14ac:dyDescent="0.45">
      <c r="A25" t="s">
        <v>17</v>
      </c>
      <c r="B25">
        <v>3.7584774009999999</v>
      </c>
      <c r="C25">
        <v>3.665157572</v>
      </c>
      <c r="D25">
        <f t="shared" si="0"/>
        <v>-9.331982899999991E-2</v>
      </c>
      <c r="E25">
        <f t="shared" si="1"/>
        <v>9.331982899999991E-2</v>
      </c>
      <c r="F25">
        <f t="shared" si="2"/>
        <v>8.7085904845892233E-3</v>
      </c>
      <c r="I25">
        <v>3.7584774009999999</v>
      </c>
    </row>
    <row r="26" spans="1:47" x14ac:dyDescent="0.45">
      <c r="A26" t="s">
        <v>18</v>
      </c>
      <c r="B26">
        <v>2.9982437590000002</v>
      </c>
      <c r="C26">
        <v>4.0411421409999999</v>
      </c>
      <c r="D26">
        <f t="shared" si="0"/>
        <v>1.0428983819999997</v>
      </c>
      <c r="E26">
        <f t="shared" si="1"/>
        <v>1.0428983819999997</v>
      </c>
      <c r="F26">
        <f t="shared" si="2"/>
        <v>1.0876370351782174</v>
      </c>
      <c r="I26">
        <v>2.9982437590000002</v>
      </c>
    </row>
    <row r="27" spans="1:47" x14ac:dyDescent="0.45">
      <c r="A27" t="s">
        <v>19</v>
      </c>
      <c r="B27">
        <v>4.0585362250000001</v>
      </c>
      <c r="C27">
        <v>3.7594935</v>
      </c>
      <c r="D27">
        <f t="shared" si="0"/>
        <v>-0.29904272500000006</v>
      </c>
      <c r="E27">
        <f t="shared" si="1"/>
        <v>0.29904272500000006</v>
      </c>
      <c r="F27">
        <f t="shared" si="2"/>
        <v>8.942655137542567E-2</v>
      </c>
      <c r="I27">
        <v>4.0585362250000001</v>
      </c>
    </row>
    <row r="28" spans="1:47" x14ac:dyDescent="0.45">
      <c r="A28" t="s">
        <v>20</v>
      </c>
      <c r="B28">
        <v>3.9989503320000002</v>
      </c>
      <c r="C28">
        <v>3.93442705</v>
      </c>
      <c r="D28">
        <f t="shared" si="0"/>
        <v>-6.4523282000000126E-2</v>
      </c>
      <c r="E28">
        <f t="shared" si="1"/>
        <v>6.4523282000000126E-2</v>
      </c>
      <c r="F28">
        <f t="shared" si="2"/>
        <v>4.1632539200515406E-3</v>
      </c>
      <c r="I28">
        <v>3.9989503320000002</v>
      </c>
    </row>
    <row r="29" spans="1:47" x14ac:dyDescent="0.45">
      <c r="A29" t="s">
        <v>21</v>
      </c>
      <c r="B29">
        <v>4.4923626680000002</v>
      </c>
      <c r="C29">
        <v>3.1147160710000001</v>
      </c>
      <c r="D29">
        <f t="shared" si="0"/>
        <v>-1.377646597</v>
      </c>
      <c r="E29">
        <f t="shared" si="1"/>
        <v>1.377646597</v>
      </c>
      <c r="F29">
        <f t="shared" si="2"/>
        <v>1.8979101462256804</v>
      </c>
      <c r="I29">
        <v>4.4923626680000002</v>
      </c>
    </row>
    <row r="30" spans="1:47" x14ac:dyDescent="0.45">
      <c r="A30" t="s">
        <v>22</v>
      </c>
      <c r="B30">
        <v>6.4664675919999999</v>
      </c>
      <c r="C30">
        <v>6.9430960749999997</v>
      </c>
      <c r="D30">
        <f t="shared" si="0"/>
        <v>0.47662848299999983</v>
      </c>
      <c r="E30">
        <f t="shared" si="1"/>
        <v>0.47662848299999983</v>
      </c>
      <c r="F30">
        <f t="shared" si="2"/>
        <v>0.22717471080688112</v>
      </c>
      <c r="I30">
        <v>6.4664675919999999</v>
      </c>
    </row>
    <row r="31" spans="1:47" x14ac:dyDescent="0.45">
      <c r="A31" t="s">
        <v>23</v>
      </c>
      <c r="B31">
        <v>3.7625226559999998</v>
      </c>
      <c r="C31">
        <v>3.0554877120000001</v>
      </c>
      <c r="D31">
        <f t="shared" si="0"/>
        <v>-0.70703494399999967</v>
      </c>
      <c r="E31">
        <f t="shared" si="1"/>
        <v>0.70703494399999967</v>
      </c>
      <c r="F31">
        <f t="shared" si="2"/>
        <v>0.49989841203708268</v>
      </c>
      <c r="I31">
        <v>3.7625226559999998</v>
      </c>
    </row>
    <row r="32" spans="1:47" x14ac:dyDescent="0.45">
      <c r="A32" t="s">
        <v>24</v>
      </c>
      <c r="B32">
        <v>4.9323029109999998</v>
      </c>
      <c r="C32">
        <v>4.7034177740000001</v>
      </c>
      <c r="D32">
        <f t="shared" si="0"/>
        <v>-0.22888513699999979</v>
      </c>
      <c r="E32">
        <f t="shared" si="1"/>
        <v>0.22888513699999979</v>
      </c>
      <c r="F32">
        <f t="shared" si="2"/>
        <v>5.2388405939508678E-2</v>
      </c>
      <c r="I32">
        <v>4.9323029109999998</v>
      </c>
    </row>
    <row r="33" spans="1:9" x14ac:dyDescent="0.45">
      <c r="A33" t="s">
        <v>25</v>
      </c>
      <c r="B33">
        <v>4.8753934409999999</v>
      </c>
      <c r="C33">
        <v>4.9480089329999997</v>
      </c>
      <c r="D33">
        <f t="shared" si="0"/>
        <v>7.2615491999999726E-2</v>
      </c>
      <c r="E33">
        <f t="shared" si="1"/>
        <v>7.2615491999999726E-2</v>
      </c>
      <c r="F33">
        <f t="shared" si="2"/>
        <v>5.2730096784020242E-3</v>
      </c>
      <c r="I33">
        <v>4.8753934409999999</v>
      </c>
    </row>
    <row r="34" spans="1:9" x14ac:dyDescent="0.45">
      <c r="A34" t="s">
        <v>26</v>
      </c>
      <c r="B34">
        <v>4.7614069079999997</v>
      </c>
      <c r="C34">
        <v>5.1507484049999999</v>
      </c>
      <c r="D34">
        <f t="shared" si="0"/>
        <v>0.3893414970000002</v>
      </c>
      <c r="E34">
        <f t="shared" si="1"/>
        <v>0.3893414970000002</v>
      </c>
      <c r="F34">
        <f t="shared" si="2"/>
        <v>0.15158680128620117</v>
      </c>
      <c r="I34">
        <v>4.7614069079999997</v>
      </c>
    </row>
    <row r="35" spans="1:9" x14ac:dyDescent="0.45">
      <c r="A35" t="s">
        <v>27</v>
      </c>
      <c r="B35">
        <v>5.0558766300000002</v>
      </c>
      <c r="C35">
        <v>4.5992526260000002</v>
      </c>
      <c r="D35">
        <f t="shared" si="0"/>
        <v>-0.45662400400000003</v>
      </c>
      <c r="E35">
        <f t="shared" si="1"/>
        <v>0.45662400400000003</v>
      </c>
      <c r="F35">
        <f t="shared" si="2"/>
        <v>0.20850548102899205</v>
      </c>
      <c r="I35">
        <v>5.0558766300000002</v>
      </c>
    </row>
    <row r="36" spans="1:9" x14ac:dyDescent="0.45">
      <c r="A36" t="s">
        <v>28</v>
      </c>
      <c r="B36">
        <v>4.784650149</v>
      </c>
      <c r="C36">
        <v>4.1970368049999998</v>
      </c>
      <c r="D36">
        <f t="shared" si="0"/>
        <v>-0.5876133440000002</v>
      </c>
      <c r="E36">
        <f t="shared" si="1"/>
        <v>0.5876133440000002</v>
      </c>
      <c r="F36">
        <f t="shared" si="2"/>
        <v>0.34528944204686257</v>
      </c>
      <c r="I36">
        <v>4.784650149</v>
      </c>
    </row>
    <row r="37" spans="1:9" x14ac:dyDescent="0.45">
      <c r="A37" t="s">
        <v>126</v>
      </c>
      <c r="B37">
        <v>4.2225992339999996</v>
      </c>
      <c r="C37">
        <v>2.510178647</v>
      </c>
      <c r="D37">
        <f t="shared" si="0"/>
        <v>-1.7124205869999995</v>
      </c>
      <c r="E37">
        <f t="shared" si="1"/>
        <v>1.7124205869999995</v>
      </c>
      <c r="F37">
        <f t="shared" si="2"/>
        <v>2.9323842667814231</v>
      </c>
      <c r="I37">
        <v>4.2225992339999996</v>
      </c>
    </row>
    <row r="38" spans="1:9" x14ac:dyDescent="0.45">
      <c r="A38" t="s">
        <v>29</v>
      </c>
      <c r="B38">
        <v>5.2228149339999996</v>
      </c>
      <c r="C38">
        <v>5.4266717150000003</v>
      </c>
      <c r="D38">
        <f t="shared" si="0"/>
        <v>0.20385678100000071</v>
      </c>
      <c r="E38">
        <f t="shared" si="1"/>
        <v>0.20385678100000071</v>
      </c>
      <c r="F38">
        <f t="shared" si="2"/>
        <v>4.1557587159682247E-2</v>
      </c>
      <c r="I38">
        <v>5.2228149339999996</v>
      </c>
    </row>
    <row r="39" spans="1:9" x14ac:dyDescent="0.45">
      <c r="A39" t="s">
        <v>30</v>
      </c>
      <c r="B39">
        <v>4.3170530380000001</v>
      </c>
      <c r="C39">
        <v>5.009474655</v>
      </c>
      <c r="D39">
        <f t="shared" si="0"/>
        <v>0.69242161699999993</v>
      </c>
      <c r="E39">
        <f t="shared" si="1"/>
        <v>0.69242161699999993</v>
      </c>
      <c r="F39">
        <f t="shared" si="2"/>
        <v>0.47944769568889462</v>
      </c>
      <c r="I39">
        <v>4.3170530380000001</v>
      </c>
    </row>
    <row r="40" spans="1:9" x14ac:dyDescent="0.45">
      <c r="A40" t="s">
        <v>31</v>
      </c>
      <c r="B40">
        <v>5.1375184850000002</v>
      </c>
      <c r="C40">
        <v>5.2292445809999997</v>
      </c>
      <c r="D40">
        <f t="shared" si="0"/>
        <v>9.172609599999948E-2</v>
      </c>
      <c r="E40">
        <f t="shared" si="1"/>
        <v>9.172609599999948E-2</v>
      </c>
      <c r="F40">
        <f t="shared" si="2"/>
        <v>8.4136766874011205E-3</v>
      </c>
      <c r="I40">
        <v>5.1375184850000002</v>
      </c>
    </row>
    <row r="41" spans="1:9" x14ac:dyDescent="0.45">
      <c r="A41" t="s">
        <v>127</v>
      </c>
      <c r="B41">
        <v>4.8967100830000003</v>
      </c>
      <c r="C41">
        <v>4.9967927269999999</v>
      </c>
      <c r="D41">
        <f t="shared" si="0"/>
        <v>0.10008264399999955</v>
      </c>
      <c r="E41">
        <f t="shared" si="1"/>
        <v>0.10008264399999955</v>
      </c>
      <c r="F41">
        <f t="shared" si="2"/>
        <v>1.0016535630030647E-2</v>
      </c>
      <c r="I41">
        <v>4.8967100830000003</v>
      </c>
    </row>
    <row r="42" spans="1:9" x14ac:dyDescent="0.45">
      <c r="A42" t="s">
        <v>128</v>
      </c>
      <c r="B42">
        <v>3.7714800319999999</v>
      </c>
      <c r="C42">
        <v>4.3600273710000002</v>
      </c>
      <c r="D42">
        <f t="shared" si="0"/>
        <v>0.58854733900000022</v>
      </c>
      <c r="E42">
        <f t="shared" si="1"/>
        <v>0.58854733900000022</v>
      </c>
      <c r="F42">
        <f t="shared" si="2"/>
        <v>0.34638797024398116</v>
      </c>
      <c r="I42">
        <v>3.7714800319999999</v>
      </c>
    </row>
    <row r="43" spans="1:9" x14ac:dyDescent="0.45">
      <c r="A43" t="s">
        <v>32</v>
      </c>
      <c r="B43">
        <v>4.6592011299999996</v>
      </c>
      <c r="C43">
        <v>4.0122449939999996</v>
      </c>
      <c r="D43">
        <f t="shared" si="0"/>
        <v>-0.64695613600000001</v>
      </c>
      <c r="E43">
        <f t="shared" si="1"/>
        <v>0.64695613600000001</v>
      </c>
      <c r="F43">
        <f t="shared" si="2"/>
        <v>0.41855224190805052</v>
      </c>
      <c r="I43">
        <v>4.6592011299999996</v>
      </c>
    </row>
    <row r="44" spans="1:9" x14ac:dyDescent="0.45">
      <c r="A44" t="s">
        <v>33</v>
      </c>
      <c r="B44">
        <v>5.0390061509999997</v>
      </c>
      <c r="C44">
        <v>5.057282077</v>
      </c>
      <c r="D44">
        <f t="shared" si="0"/>
        <v>1.8275926000000275E-2</v>
      </c>
      <c r="E44">
        <f t="shared" si="1"/>
        <v>1.8275926000000275E-2</v>
      </c>
      <c r="F44">
        <f t="shared" si="2"/>
        <v>3.3400947115748609E-4</v>
      </c>
      <c r="I44">
        <v>5.0390061509999997</v>
      </c>
    </row>
    <row r="45" spans="1:9" x14ac:dyDescent="0.45">
      <c r="A45" t="s">
        <v>34</v>
      </c>
      <c r="B45">
        <v>5.1103873569999996</v>
      </c>
      <c r="C45">
        <v>5.205137626</v>
      </c>
      <c r="D45">
        <f t="shared" si="0"/>
        <v>9.4750269000000387E-2</v>
      </c>
      <c r="E45">
        <f t="shared" si="1"/>
        <v>9.4750269000000387E-2</v>
      </c>
      <c r="F45">
        <f t="shared" si="2"/>
        <v>8.9776134755724345E-3</v>
      </c>
      <c r="I45">
        <v>5.1103873569999996</v>
      </c>
    </row>
    <row r="46" spans="1:9" x14ac:dyDescent="0.45">
      <c r="A46" t="s">
        <v>35</v>
      </c>
      <c r="B46">
        <v>3.9509329019999999</v>
      </c>
      <c r="C46">
        <v>4.0285461380000003</v>
      </c>
      <c r="D46">
        <f t="shared" si="0"/>
        <v>7.7613236000000363E-2</v>
      </c>
      <c r="E46">
        <f t="shared" si="1"/>
        <v>7.7613236000000363E-2</v>
      </c>
      <c r="F46">
        <f t="shared" si="2"/>
        <v>6.0238144023917525E-3</v>
      </c>
      <c r="I46">
        <v>3.9509329019999999</v>
      </c>
    </row>
    <row r="47" spans="1:9" x14ac:dyDescent="0.45">
      <c r="A47" t="s">
        <v>36</v>
      </c>
      <c r="B47">
        <v>4.7849300990000003</v>
      </c>
      <c r="C47">
        <v>4.827844078</v>
      </c>
      <c r="D47">
        <f t="shared" si="0"/>
        <v>4.2913978999999713E-2</v>
      </c>
      <c r="E47">
        <f t="shared" si="1"/>
        <v>4.2913978999999713E-2</v>
      </c>
      <c r="F47">
        <f t="shared" si="2"/>
        <v>1.8416095936124165E-3</v>
      </c>
      <c r="I47">
        <v>4.7849300990000003</v>
      </c>
    </row>
    <row r="48" spans="1:9" x14ac:dyDescent="0.45">
      <c r="A48" t="s">
        <v>37</v>
      </c>
      <c r="B48">
        <v>5.5699098200000003</v>
      </c>
      <c r="C48">
        <v>5.6926764209999998</v>
      </c>
      <c r="D48">
        <f t="shared" si="0"/>
        <v>0.12276660099999948</v>
      </c>
      <c r="E48">
        <f t="shared" si="1"/>
        <v>0.12276660099999948</v>
      </c>
      <c r="F48">
        <f t="shared" si="2"/>
        <v>1.5071638321093072E-2</v>
      </c>
      <c r="I48">
        <v>5.5699098200000003</v>
      </c>
    </row>
    <row r="49" spans="1:9" x14ac:dyDescent="0.45">
      <c r="A49" t="s">
        <v>38</v>
      </c>
      <c r="B49">
        <v>4.5719705900000003</v>
      </c>
      <c r="C49">
        <v>4.9059311189999999</v>
      </c>
      <c r="D49">
        <f t="shared" si="0"/>
        <v>0.33396052899999962</v>
      </c>
      <c r="E49">
        <f t="shared" si="1"/>
        <v>0.33396052899999962</v>
      </c>
      <c r="F49">
        <f t="shared" si="2"/>
        <v>0.11152963492995958</v>
      </c>
      <c r="I49">
        <v>4.5719705900000003</v>
      </c>
    </row>
    <row r="50" spans="1:9" x14ac:dyDescent="0.45">
      <c r="A50" t="s">
        <v>39</v>
      </c>
      <c r="B50">
        <v>4.761424495</v>
      </c>
      <c r="C50">
        <v>5.0047507019999999</v>
      </c>
      <c r="D50">
        <f t="shared" si="0"/>
        <v>0.24332620699999996</v>
      </c>
      <c r="E50">
        <f t="shared" si="1"/>
        <v>0.24332620699999996</v>
      </c>
      <c r="F50">
        <f t="shared" si="2"/>
        <v>5.9207643013006829E-2</v>
      </c>
      <c r="I50">
        <v>4.761424495</v>
      </c>
    </row>
    <row r="51" spans="1:9" x14ac:dyDescent="0.45">
      <c r="A51" t="s">
        <v>40</v>
      </c>
      <c r="B51">
        <v>4.966414597</v>
      </c>
      <c r="C51">
        <v>4.9252362119999997</v>
      </c>
      <c r="D51">
        <f t="shared" si="0"/>
        <v>-4.1178385000000262E-2</v>
      </c>
      <c r="E51">
        <f t="shared" si="1"/>
        <v>4.1178385000000262E-2</v>
      </c>
      <c r="F51">
        <f t="shared" si="2"/>
        <v>1.6956593912082465E-3</v>
      </c>
      <c r="I51">
        <v>4.966414597</v>
      </c>
    </row>
    <row r="52" spans="1:9" x14ac:dyDescent="0.45">
      <c r="A52" t="s">
        <v>41</v>
      </c>
      <c r="B52">
        <v>4.3100535789999999</v>
      </c>
      <c r="C52">
        <v>4.2359116989999999</v>
      </c>
      <c r="D52">
        <f t="shared" si="0"/>
        <v>-7.4141879999999993E-2</v>
      </c>
      <c r="E52">
        <f t="shared" si="1"/>
        <v>7.4141879999999993E-2</v>
      </c>
      <c r="F52">
        <f t="shared" si="2"/>
        <v>5.4970183699343993E-3</v>
      </c>
      <c r="I52">
        <v>4.3100535789999999</v>
      </c>
    </row>
    <row r="53" spans="1:9" x14ac:dyDescent="0.45">
      <c r="A53" t="s">
        <v>42</v>
      </c>
      <c r="B53">
        <v>4.8226806120000001</v>
      </c>
      <c r="C53">
        <v>5.0358327190000001</v>
      </c>
      <c r="D53">
        <f t="shared" si="0"/>
        <v>0.21315210699999998</v>
      </c>
      <c r="E53">
        <f t="shared" si="1"/>
        <v>0.21315210699999998</v>
      </c>
      <c r="F53">
        <f t="shared" si="2"/>
        <v>4.5433820718539443E-2</v>
      </c>
      <c r="I53">
        <v>4.8226806120000001</v>
      </c>
    </row>
    <row r="54" spans="1:9" x14ac:dyDescent="0.45">
      <c r="A54" t="s">
        <v>43</v>
      </c>
      <c r="B54">
        <v>4.3562610709999996</v>
      </c>
      <c r="C54">
        <v>4.2494097589999997</v>
      </c>
      <c r="D54">
        <f t="shared" si="0"/>
        <v>-0.10685131199999987</v>
      </c>
      <c r="E54">
        <f t="shared" si="1"/>
        <v>0.10685131199999987</v>
      </c>
      <c r="F54">
        <f t="shared" si="2"/>
        <v>1.1417202876121316E-2</v>
      </c>
      <c r="I54">
        <v>4.3562610709999996</v>
      </c>
    </row>
    <row r="55" spans="1:9" x14ac:dyDescent="0.45">
      <c r="A55" t="s">
        <v>44</v>
      </c>
      <c r="B55">
        <v>4.6281124499999997</v>
      </c>
      <c r="C55">
        <v>4.5918439480000002</v>
      </c>
      <c r="D55">
        <f t="shared" si="0"/>
        <v>-3.6268501999999536E-2</v>
      </c>
      <c r="E55">
        <f t="shared" si="1"/>
        <v>3.6268501999999536E-2</v>
      </c>
      <c r="F55">
        <f t="shared" si="2"/>
        <v>1.3154042373239704E-3</v>
      </c>
      <c r="I55">
        <v>4.6281124499999997</v>
      </c>
    </row>
    <row r="56" spans="1:9" x14ac:dyDescent="0.45">
      <c r="A56" t="s">
        <v>45</v>
      </c>
      <c r="B56">
        <v>4.9299248809999998</v>
      </c>
      <c r="C56">
        <v>4.9930379</v>
      </c>
      <c r="D56">
        <f t="shared" si="0"/>
        <v>6.3113019000000214E-2</v>
      </c>
      <c r="E56">
        <f t="shared" si="1"/>
        <v>6.3113019000000214E-2</v>
      </c>
      <c r="F56">
        <f t="shared" si="2"/>
        <v>3.9832531672943884E-3</v>
      </c>
      <c r="I56">
        <v>4.9299248809999998</v>
      </c>
    </row>
    <row r="57" spans="1:9" x14ac:dyDescent="0.45">
      <c r="A57" t="s">
        <v>46</v>
      </c>
      <c r="B57">
        <v>3.0843514980000002</v>
      </c>
      <c r="C57">
        <v>2.305637156</v>
      </c>
      <c r="D57">
        <f t="shared" si="0"/>
        <v>-0.77871434200000023</v>
      </c>
      <c r="E57">
        <f t="shared" si="1"/>
        <v>0.77871434200000023</v>
      </c>
      <c r="F57">
        <f t="shared" si="2"/>
        <v>0.60639602643649326</v>
      </c>
      <c r="I57">
        <v>3.0843514980000002</v>
      </c>
    </row>
    <row r="58" spans="1:9" x14ac:dyDescent="0.45">
      <c r="A58" t="s">
        <v>47</v>
      </c>
      <c r="B58">
        <v>4.861220554</v>
      </c>
      <c r="C58">
        <v>5.4674280409999998</v>
      </c>
      <c r="D58">
        <f t="shared" si="0"/>
        <v>0.60620748699999982</v>
      </c>
      <c r="E58">
        <f t="shared" si="1"/>
        <v>0.60620748699999982</v>
      </c>
      <c r="F58">
        <f t="shared" si="2"/>
        <v>0.36748751729485496</v>
      </c>
      <c r="I58">
        <v>4.861220554</v>
      </c>
    </row>
    <row r="59" spans="1:9" x14ac:dyDescent="0.45">
      <c r="A59" t="s">
        <v>48</v>
      </c>
      <c r="B59">
        <v>4.3373273350000003</v>
      </c>
      <c r="C59">
        <v>4.8398923790000001</v>
      </c>
      <c r="D59">
        <f t="shared" si="0"/>
        <v>0.50256504399999979</v>
      </c>
      <c r="E59">
        <f t="shared" si="1"/>
        <v>0.50256504399999979</v>
      </c>
      <c r="F59">
        <f t="shared" si="2"/>
        <v>0.25257162345072171</v>
      </c>
      <c r="I59">
        <v>4.3373273350000003</v>
      </c>
    </row>
    <row r="60" spans="1:9" x14ac:dyDescent="0.45">
      <c r="A60" t="s">
        <v>49</v>
      </c>
      <c r="B60">
        <v>5.0746934289999999</v>
      </c>
      <c r="C60">
        <v>4.9916704860000003</v>
      </c>
      <c r="D60">
        <f t="shared" si="0"/>
        <v>-8.3022942999999572E-2</v>
      </c>
      <c r="E60">
        <f t="shared" si="1"/>
        <v>8.3022942999999572E-2</v>
      </c>
      <c r="F60">
        <f t="shared" si="2"/>
        <v>6.8928090643811781E-3</v>
      </c>
      <c r="I60">
        <v>5.0746934289999999</v>
      </c>
    </row>
    <row r="61" spans="1:9" x14ac:dyDescent="0.45">
      <c r="A61" t="s">
        <v>50</v>
      </c>
      <c r="B61">
        <v>3.879530339</v>
      </c>
      <c r="C61">
        <v>3.6364403250000001</v>
      </c>
      <c r="D61">
        <f t="shared" si="0"/>
        <v>-0.24309001399999985</v>
      </c>
      <c r="E61">
        <f t="shared" si="1"/>
        <v>0.24309001399999985</v>
      </c>
      <c r="F61">
        <f t="shared" si="2"/>
        <v>5.9092754906520127E-2</v>
      </c>
      <c r="I61">
        <v>3.879530339</v>
      </c>
    </row>
    <row r="62" spans="1:9" x14ac:dyDescent="0.45">
      <c r="A62" t="s">
        <v>51</v>
      </c>
      <c r="B62">
        <v>4.667664984</v>
      </c>
      <c r="C62">
        <v>4.8162324310000004</v>
      </c>
      <c r="D62">
        <f t="shared" si="0"/>
        <v>0.14856744700000046</v>
      </c>
      <c r="E62">
        <f t="shared" si="1"/>
        <v>0.14856744700000046</v>
      </c>
      <c r="F62">
        <f t="shared" si="2"/>
        <v>2.2072286308097946E-2</v>
      </c>
      <c r="I62">
        <v>4.667664984</v>
      </c>
    </row>
    <row r="63" spans="1:9" x14ac:dyDescent="0.45">
      <c r="A63" t="s">
        <v>52</v>
      </c>
      <c r="B63">
        <v>4.6579644480000004</v>
      </c>
      <c r="C63">
        <v>4.8738932259999999</v>
      </c>
      <c r="D63">
        <f t="shared" si="0"/>
        <v>0.21592877799999943</v>
      </c>
      <c r="E63">
        <f t="shared" si="1"/>
        <v>0.21592877799999943</v>
      </c>
      <c r="F63">
        <f t="shared" si="2"/>
        <v>4.6625237168573037E-2</v>
      </c>
      <c r="I63">
        <v>4.6579644480000004</v>
      </c>
    </row>
    <row r="64" spans="1:9" x14ac:dyDescent="0.45">
      <c r="A64" t="s">
        <v>53</v>
      </c>
      <c r="B64">
        <v>4.6471966729999998</v>
      </c>
      <c r="C64">
        <v>4.5551238959999996</v>
      </c>
      <c r="D64">
        <f t="shared" si="0"/>
        <v>-9.2072777000000272E-2</v>
      </c>
      <c r="E64">
        <f t="shared" si="1"/>
        <v>9.2072777000000272E-2</v>
      </c>
      <c r="F64">
        <f t="shared" si="2"/>
        <v>8.4773962644917791E-3</v>
      </c>
      <c r="I64">
        <v>4.6471966729999998</v>
      </c>
    </row>
    <row r="65" spans="1:9" x14ac:dyDescent="0.45">
      <c r="A65" t="s">
        <v>129</v>
      </c>
      <c r="B65">
        <v>3.5076686929999998</v>
      </c>
      <c r="C65">
        <v>3.5816911230000001</v>
      </c>
      <c r="D65">
        <f t="shared" si="0"/>
        <v>7.4022430000000305E-2</v>
      </c>
      <c r="E65">
        <f t="shared" si="1"/>
        <v>7.4022430000000305E-2</v>
      </c>
      <c r="F65">
        <f t="shared" si="2"/>
        <v>5.4793201431049456E-3</v>
      </c>
      <c r="I65">
        <v>3.5076686929999998</v>
      </c>
    </row>
    <row r="66" spans="1:9" x14ac:dyDescent="0.45">
      <c r="A66" t="s">
        <v>130</v>
      </c>
      <c r="B66">
        <v>4.4344929750000004</v>
      </c>
      <c r="C66">
        <v>4.1018711000000003</v>
      </c>
      <c r="D66">
        <f t="shared" si="0"/>
        <v>-0.33262187500000007</v>
      </c>
      <c r="E66">
        <f t="shared" si="1"/>
        <v>0.33262187500000007</v>
      </c>
      <c r="F66">
        <f t="shared" si="2"/>
        <v>0.11063731172851567</v>
      </c>
      <c r="I66">
        <v>4.4344929750000004</v>
      </c>
    </row>
    <row r="67" spans="1:9" x14ac:dyDescent="0.45">
      <c r="A67" t="s">
        <v>54</v>
      </c>
      <c r="B67">
        <v>5.0591430549999998</v>
      </c>
      <c r="C67">
        <v>5.1283395430000001</v>
      </c>
      <c r="D67">
        <f t="shared" ref="D67:D130" si="3">(C67-B67)</f>
        <v>6.9196488000000222E-2</v>
      </c>
      <c r="E67">
        <f t="shared" ref="E67:E130" si="4">ABS(D67)</f>
        <v>6.9196488000000222E-2</v>
      </c>
      <c r="F67">
        <f t="shared" ref="F67:F130" si="5">E67^2</f>
        <v>4.7881539515341751E-3</v>
      </c>
      <c r="I67">
        <v>5.0591430549999998</v>
      </c>
    </row>
    <row r="68" spans="1:9" x14ac:dyDescent="0.45">
      <c r="A68" t="s">
        <v>55</v>
      </c>
      <c r="B68">
        <v>4.4355785570000004</v>
      </c>
      <c r="C68">
        <v>4.6622419129999999</v>
      </c>
      <c r="D68">
        <f t="shared" si="3"/>
        <v>0.22666335599999954</v>
      </c>
      <c r="E68">
        <f t="shared" si="4"/>
        <v>0.22666335599999954</v>
      </c>
      <c r="F68">
        <f t="shared" si="5"/>
        <v>5.1376276953182524E-2</v>
      </c>
      <c r="I68">
        <v>4.4355785570000004</v>
      </c>
    </row>
    <row r="69" spans="1:9" x14ac:dyDescent="0.45">
      <c r="A69" t="s">
        <v>56</v>
      </c>
      <c r="B69">
        <v>3.8407557259999998</v>
      </c>
      <c r="C69">
        <v>3.808802832</v>
      </c>
      <c r="D69">
        <f t="shared" si="3"/>
        <v>-3.1952893999999787E-2</v>
      </c>
      <c r="E69">
        <f t="shared" si="4"/>
        <v>3.1952893999999787E-2</v>
      </c>
      <c r="F69">
        <f t="shared" si="5"/>
        <v>1.0209874349752224E-3</v>
      </c>
      <c r="I69">
        <v>3.8407557259999998</v>
      </c>
    </row>
    <row r="70" spans="1:9" x14ac:dyDescent="0.45">
      <c r="A70" t="s">
        <v>57</v>
      </c>
      <c r="B70">
        <v>4.9428456619999999</v>
      </c>
      <c r="C70">
        <v>4.9782776530000001</v>
      </c>
      <c r="D70">
        <f t="shared" si="3"/>
        <v>3.5431991000000274E-2</v>
      </c>
      <c r="E70">
        <f t="shared" si="4"/>
        <v>3.5431991000000274E-2</v>
      </c>
      <c r="F70">
        <f t="shared" si="5"/>
        <v>1.2554259862241003E-3</v>
      </c>
      <c r="I70">
        <v>4.9428456619999999</v>
      </c>
    </row>
    <row r="71" spans="1:9" x14ac:dyDescent="0.45">
      <c r="A71" t="s">
        <v>58</v>
      </c>
      <c r="B71">
        <v>4.6153652019999996</v>
      </c>
      <c r="C71">
        <v>4.68751564</v>
      </c>
      <c r="D71">
        <f t="shared" si="3"/>
        <v>7.2150438000000428E-2</v>
      </c>
      <c r="E71">
        <f t="shared" si="4"/>
        <v>7.2150438000000428E-2</v>
      </c>
      <c r="F71">
        <f t="shared" si="5"/>
        <v>5.2056857035919059E-3</v>
      </c>
      <c r="I71">
        <v>4.6153652019999996</v>
      </c>
    </row>
    <row r="72" spans="1:9" x14ac:dyDescent="0.45">
      <c r="A72" t="s">
        <v>131</v>
      </c>
      <c r="B72">
        <v>3.8796642910000001</v>
      </c>
      <c r="C72">
        <v>4.2139358060000003</v>
      </c>
      <c r="D72">
        <f t="shared" si="3"/>
        <v>0.33427151500000019</v>
      </c>
      <c r="E72">
        <f t="shared" si="4"/>
        <v>0.33427151500000019</v>
      </c>
      <c r="F72">
        <f t="shared" si="5"/>
        <v>0.11173744574039535</v>
      </c>
      <c r="I72">
        <v>3.8796642910000001</v>
      </c>
    </row>
    <row r="73" spans="1:9" x14ac:dyDescent="0.45">
      <c r="A73" t="s">
        <v>132</v>
      </c>
      <c r="B73">
        <v>4.408113546</v>
      </c>
      <c r="C73">
        <v>4.1320684029999999</v>
      </c>
      <c r="D73">
        <f t="shared" si="3"/>
        <v>-0.27604514300000016</v>
      </c>
      <c r="E73">
        <f t="shared" si="4"/>
        <v>0.27604514300000016</v>
      </c>
      <c r="F73">
        <f t="shared" si="5"/>
        <v>7.6200920973890543E-2</v>
      </c>
      <c r="I73">
        <v>4.408113546</v>
      </c>
    </row>
    <row r="74" spans="1:9" x14ac:dyDescent="0.45">
      <c r="A74" t="s">
        <v>133</v>
      </c>
      <c r="B74">
        <v>5.2195622339999996</v>
      </c>
      <c r="C74">
        <v>5.3304793720000001</v>
      </c>
      <c r="D74">
        <f t="shared" si="3"/>
        <v>0.11091713800000047</v>
      </c>
      <c r="E74">
        <f t="shared" si="4"/>
        <v>0.11091713800000047</v>
      </c>
      <c r="F74">
        <f t="shared" si="5"/>
        <v>1.2302611502111148E-2</v>
      </c>
      <c r="I74">
        <v>5.2195622339999996</v>
      </c>
    </row>
    <row r="75" spans="1:9" x14ac:dyDescent="0.45">
      <c r="A75" t="s">
        <v>59</v>
      </c>
      <c r="B75">
        <v>4.3580875079999997</v>
      </c>
      <c r="C75">
        <v>4.5703702320000001</v>
      </c>
      <c r="D75">
        <f t="shared" si="3"/>
        <v>0.21228272400000048</v>
      </c>
      <c r="E75">
        <f t="shared" si="4"/>
        <v>0.21228272400000048</v>
      </c>
      <c r="F75">
        <f t="shared" si="5"/>
        <v>4.5063954908860379E-2</v>
      </c>
      <c r="I75">
        <v>4.3580875079999997</v>
      </c>
    </row>
    <row r="76" spans="1:9" x14ac:dyDescent="0.45">
      <c r="A76" t="s">
        <v>60</v>
      </c>
      <c r="B76">
        <v>4.2695934910000002</v>
      </c>
      <c r="C76">
        <v>4.3650567320000002</v>
      </c>
      <c r="D76">
        <f t="shared" si="3"/>
        <v>9.5463241000000032E-2</v>
      </c>
      <c r="E76">
        <f t="shared" si="4"/>
        <v>9.5463241000000032E-2</v>
      </c>
      <c r="F76">
        <f t="shared" si="5"/>
        <v>9.1132303822240874E-3</v>
      </c>
      <c r="I76">
        <v>4.2695934910000002</v>
      </c>
    </row>
    <row r="77" spans="1:9" x14ac:dyDescent="0.45">
      <c r="A77" t="s">
        <v>61</v>
      </c>
      <c r="B77">
        <v>5.2000572370000002</v>
      </c>
      <c r="C77">
        <v>5.3296180609999997</v>
      </c>
      <c r="D77">
        <f t="shared" si="3"/>
        <v>0.12956082399999946</v>
      </c>
      <c r="E77">
        <f t="shared" si="4"/>
        <v>0.12956082399999946</v>
      </c>
      <c r="F77">
        <f t="shared" si="5"/>
        <v>1.6786007115558835E-2</v>
      </c>
      <c r="I77">
        <v>5.2000572370000002</v>
      </c>
    </row>
    <row r="78" spans="1:9" x14ac:dyDescent="0.45">
      <c r="A78" t="s">
        <v>62</v>
      </c>
      <c r="B78">
        <v>4.8257734660000002</v>
      </c>
      <c r="C78">
        <v>4.5559651170000004</v>
      </c>
      <c r="D78">
        <f t="shared" si="3"/>
        <v>-0.26980834899999984</v>
      </c>
      <c r="E78">
        <f t="shared" si="4"/>
        <v>0.26980834899999984</v>
      </c>
      <c r="F78">
        <f t="shared" si="5"/>
        <v>7.2796545190105713E-2</v>
      </c>
      <c r="I78">
        <v>4.8257734660000002</v>
      </c>
    </row>
    <row r="79" spans="1:9" x14ac:dyDescent="0.45">
      <c r="A79" t="s">
        <v>63</v>
      </c>
      <c r="B79">
        <v>4.0533167880000001</v>
      </c>
      <c r="C79">
        <v>4.2288482619999996</v>
      </c>
      <c r="D79">
        <f t="shared" si="3"/>
        <v>0.17553147399999958</v>
      </c>
      <c r="E79">
        <f t="shared" si="4"/>
        <v>0.17553147399999958</v>
      </c>
      <c r="F79">
        <f t="shared" si="5"/>
        <v>3.0811298364612529E-2</v>
      </c>
      <c r="I79">
        <v>4.0533167880000001</v>
      </c>
    </row>
    <row r="80" spans="1:9" x14ac:dyDescent="0.45">
      <c r="A80" t="s">
        <v>64</v>
      </c>
      <c r="B80">
        <v>4.6364723359999997</v>
      </c>
      <c r="C80">
        <v>4.7985820070000003</v>
      </c>
      <c r="D80">
        <f t="shared" si="3"/>
        <v>0.16210967100000051</v>
      </c>
      <c r="E80">
        <f t="shared" si="4"/>
        <v>0.16210967100000051</v>
      </c>
      <c r="F80">
        <f t="shared" si="5"/>
        <v>2.6279545431728408E-2</v>
      </c>
      <c r="I80">
        <v>4.6364723359999997</v>
      </c>
    </row>
    <row r="81" spans="1:9" x14ac:dyDescent="0.45">
      <c r="A81" t="s">
        <v>65</v>
      </c>
      <c r="B81">
        <v>4.7266649300000001</v>
      </c>
      <c r="C81">
        <v>4.5589710620000004</v>
      </c>
      <c r="D81">
        <f t="shared" si="3"/>
        <v>-0.16769386799999975</v>
      </c>
      <c r="E81">
        <f t="shared" si="4"/>
        <v>0.16769386799999975</v>
      </c>
      <c r="F81">
        <f t="shared" si="5"/>
        <v>2.8121233364801337E-2</v>
      </c>
      <c r="I81">
        <v>4.7266649300000001</v>
      </c>
    </row>
    <row r="82" spans="1:9" x14ac:dyDescent="0.45">
      <c r="A82" t="s">
        <v>66</v>
      </c>
      <c r="B82">
        <v>4.360307776</v>
      </c>
      <c r="C82">
        <v>4.06350839</v>
      </c>
      <c r="D82">
        <f t="shared" si="3"/>
        <v>-0.296799386</v>
      </c>
      <c r="E82">
        <f t="shared" si="4"/>
        <v>0.296799386</v>
      </c>
      <c r="F82">
        <f t="shared" si="5"/>
        <v>8.8089875529976991E-2</v>
      </c>
      <c r="I82">
        <v>4.360307776</v>
      </c>
    </row>
    <row r="83" spans="1:9" x14ac:dyDescent="0.45">
      <c r="A83" t="s">
        <v>67</v>
      </c>
      <c r="B83">
        <v>3.9246314500000001</v>
      </c>
      <c r="C83">
        <v>3.9556965499999999</v>
      </c>
      <c r="D83">
        <f t="shared" si="3"/>
        <v>3.1065099999999735E-2</v>
      </c>
      <c r="E83">
        <f t="shared" si="4"/>
        <v>3.1065099999999735E-2</v>
      </c>
      <c r="F83">
        <f t="shared" si="5"/>
        <v>9.6504043800998355E-4</v>
      </c>
      <c r="I83">
        <v>3.9246314500000001</v>
      </c>
    </row>
    <row r="84" spans="1:9" x14ac:dyDescent="0.45">
      <c r="A84" t="s">
        <v>134</v>
      </c>
      <c r="B84">
        <v>4.2746575379999996</v>
      </c>
      <c r="C84">
        <v>3.942591803</v>
      </c>
      <c r="D84">
        <f t="shared" si="3"/>
        <v>-0.33206573499999958</v>
      </c>
      <c r="E84">
        <f t="shared" si="4"/>
        <v>0.33206573499999958</v>
      </c>
      <c r="F84">
        <f t="shared" si="5"/>
        <v>0.11026765236108994</v>
      </c>
      <c r="I84">
        <v>4.2746575379999996</v>
      </c>
    </row>
    <row r="85" spans="1:9" x14ac:dyDescent="0.45">
      <c r="A85" t="s">
        <v>135</v>
      </c>
      <c r="B85">
        <v>4.2493775280000001</v>
      </c>
      <c r="C85">
        <v>3.9456727919999999</v>
      </c>
      <c r="D85">
        <f t="shared" si="3"/>
        <v>-0.30370473600000025</v>
      </c>
      <c r="E85">
        <f t="shared" si="4"/>
        <v>0.30370473600000025</v>
      </c>
      <c r="F85">
        <f t="shared" si="5"/>
        <v>9.2236566668829845E-2</v>
      </c>
      <c r="I85">
        <v>4.2493775280000001</v>
      </c>
    </row>
    <row r="86" spans="1:9" x14ac:dyDescent="0.45">
      <c r="A86" t="s">
        <v>136</v>
      </c>
      <c r="B86">
        <v>4.8656836459999999</v>
      </c>
      <c r="C86">
        <v>5.3358619940000001</v>
      </c>
      <c r="D86">
        <f t="shared" si="3"/>
        <v>0.47017834800000013</v>
      </c>
      <c r="E86">
        <f t="shared" si="4"/>
        <v>0.47017834800000013</v>
      </c>
      <c r="F86">
        <f t="shared" si="5"/>
        <v>0.22106767892800924</v>
      </c>
      <c r="I86">
        <v>4.8656836459999999</v>
      </c>
    </row>
    <row r="87" spans="1:9" x14ac:dyDescent="0.45">
      <c r="A87" t="s">
        <v>137</v>
      </c>
      <c r="B87">
        <v>5.0214387609999998</v>
      </c>
      <c r="C87">
        <v>4.7594360560000002</v>
      </c>
      <c r="D87">
        <f t="shared" si="3"/>
        <v>-0.26200270499999956</v>
      </c>
      <c r="E87">
        <f t="shared" si="4"/>
        <v>0.26200270499999956</v>
      </c>
      <c r="F87">
        <f t="shared" si="5"/>
        <v>6.8645417427316793E-2</v>
      </c>
      <c r="I87">
        <v>5.0214387609999998</v>
      </c>
    </row>
    <row r="88" spans="1:9" x14ac:dyDescent="0.45">
      <c r="A88" t="s">
        <v>138</v>
      </c>
      <c r="B88">
        <v>5.1282379520000001</v>
      </c>
      <c r="C88">
        <v>4.9790503230000001</v>
      </c>
      <c r="D88">
        <f t="shared" si="3"/>
        <v>-0.14918762900000004</v>
      </c>
      <c r="E88">
        <f t="shared" si="4"/>
        <v>0.14918762900000004</v>
      </c>
      <c r="F88">
        <f t="shared" si="5"/>
        <v>2.2256948646641656E-2</v>
      </c>
      <c r="I88">
        <v>5.1282379520000001</v>
      </c>
    </row>
    <row r="89" spans="1:9" x14ac:dyDescent="0.45">
      <c r="A89" t="s">
        <v>68</v>
      </c>
      <c r="B89">
        <v>4.8616604289999996</v>
      </c>
      <c r="C89">
        <v>5.2054423109999997</v>
      </c>
      <c r="D89">
        <f t="shared" si="3"/>
        <v>0.34378188200000004</v>
      </c>
      <c r="E89">
        <f t="shared" si="4"/>
        <v>0.34378188200000004</v>
      </c>
      <c r="F89">
        <f t="shared" si="5"/>
        <v>0.11818598239146196</v>
      </c>
      <c r="I89">
        <v>4.8616604289999996</v>
      </c>
    </row>
    <row r="90" spans="1:9" x14ac:dyDescent="0.45">
      <c r="A90" t="s">
        <v>69</v>
      </c>
      <c r="B90">
        <v>3.9469536380000001</v>
      </c>
      <c r="C90">
        <v>4.0284604660000003</v>
      </c>
      <c r="D90">
        <f t="shared" si="3"/>
        <v>8.1506828000000198E-2</v>
      </c>
      <c r="E90">
        <f t="shared" si="4"/>
        <v>8.1506828000000198E-2</v>
      </c>
      <c r="F90">
        <f t="shared" si="5"/>
        <v>6.6433630106216167E-3</v>
      </c>
      <c r="I90">
        <v>3.9469536380000001</v>
      </c>
    </row>
    <row r="91" spans="1:9" x14ac:dyDescent="0.45">
      <c r="A91" t="s">
        <v>70</v>
      </c>
      <c r="B91">
        <v>3.6165923019999999</v>
      </c>
      <c r="C91">
        <v>3.578585559</v>
      </c>
      <c r="D91">
        <f t="shared" si="3"/>
        <v>-3.8006742999999954E-2</v>
      </c>
      <c r="E91">
        <f t="shared" si="4"/>
        <v>3.8006742999999954E-2</v>
      </c>
      <c r="F91">
        <f t="shared" si="5"/>
        <v>1.4445125134680454E-3</v>
      </c>
      <c r="I91">
        <v>3.6165923019999999</v>
      </c>
    </row>
    <row r="92" spans="1:9" x14ac:dyDescent="0.45">
      <c r="A92" t="s">
        <v>71</v>
      </c>
      <c r="B92">
        <v>4.1690108429999997</v>
      </c>
      <c r="C92">
        <v>4.0854602470000003</v>
      </c>
      <c r="D92">
        <f t="shared" si="3"/>
        <v>-8.3550595999999366E-2</v>
      </c>
      <c r="E92">
        <f t="shared" si="4"/>
        <v>8.3550595999999366E-2</v>
      </c>
      <c r="F92">
        <f t="shared" si="5"/>
        <v>6.9807020919551103E-3</v>
      </c>
      <c r="I92">
        <v>4.1690108429999997</v>
      </c>
    </row>
    <row r="93" spans="1:9" x14ac:dyDescent="0.45">
      <c r="A93" t="s">
        <v>72</v>
      </c>
      <c r="B93">
        <v>4.4782994120000001</v>
      </c>
      <c r="C93">
        <v>4.1358459160000001</v>
      </c>
      <c r="D93">
        <f t="shared" si="3"/>
        <v>-0.34245349600000008</v>
      </c>
      <c r="E93">
        <f t="shared" si="4"/>
        <v>0.34245349600000008</v>
      </c>
      <c r="F93">
        <f t="shared" si="5"/>
        <v>0.11727439692262207</v>
      </c>
      <c r="I93">
        <v>4.4782994120000001</v>
      </c>
    </row>
    <row r="94" spans="1:9" x14ac:dyDescent="0.45">
      <c r="A94" t="s">
        <v>73</v>
      </c>
      <c r="B94">
        <v>3.413704697</v>
      </c>
      <c r="C94">
        <v>3.6774273750000002</v>
      </c>
      <c r="D94">
        <f t="shared" si="3"/>
        <v>0.26372267800000015</v>
      </c>
      <c r="E94">
        <f t="shared" si="4"/>
        <v>0.26372267800000015</v>
      </c>
      <c r="F94">
        <f t="shared" si="5"/>
        <v>6.954965089149176E-2</v>
      </c>
      <c r="I94">
        <v>3.413704697</v>
      </c>
    </row>
    <row r="95" spans="1:9" x14ac:dyDescent="0.45">
      <c r="A95" t="s">
        <v>74</v>
      </c>
      <c r="B95">
        <v>4.2403387209999996</v>
      </c>
      <c r="C95">
        <v>3.703743459</v>
      </c>
      <c r="D95">
        <f t="shared" si="3"/>
        <v>-0.53659526199999963</v>
      </c>
      <c r="E95">
        <f t="shared" si="4"/>
        <v>0.53659526199999963</v>
      </c>
      <c r="F95">
        <f t="shared" si="5"/>
        <v>0.28793447520084825</v>
      </c>
      <c r="I95">
        <v>4.2403387209999996</v>
      </c>
    </row>
    <row r="96" spans="1:9" x14ac:dyDescent="0.45">
      <c r="A96" t="s">
        <v>75</v>
      </c>
      <c r="B96">
        <v>4.7659373860000001</v>
      </c>
      <c r="C96">
        <v>5.0517477309999999</v>
      </c>
      <c r="D96">
        <f t="shared" si="3"/>
        <v>0.2858103449999998</v>
      </c>
      <c r="E96">
        <f t="shared" si="4"/>
        <v>0.2858103449999998</v>
      </c>
      <c r="F96">
        <f t="shared" si="5"/>
        <v>8.1687553309018904E-2</v>
      </c>
      <c r="I96">
        <v>4.7659373860000001</v>
      </c>
    </row>
    <row r="97" spans="1:9" x14ac:dyDescent="0.45">
      <c r="A97" t="s">
        <v>76</v>
      </c>
      <c r="B97">
        <v>3.9595645369999999</v>
      </c>
      <c r="C97">
        <v>3.4609964209999999</v>
      </c>
      <c r="D97">
        <f t="shared" si="3"/>
        <v>-0.49856811599999995</v>
      </c>
      <c r="E97">
        <f t="shared" si="4"/>
        <v>0.49856811599999995</v>
      </c>
      <c r="F97">
        <f t="shared" si="5"/>
        <v>0.24857016629178941</v>
      </c>
      <c r="I97">
        <v>3.9595645369999999</v>
      </c>
    </row>
    <row r="98" spans="1:9" x14ac:dyDescent="0.45">
      <c r="A98" t="s">
        <v>77</v>
      </c>
      <c r="B98">
        <v>5.5345242749999999</v>
      </c>
      <c r="C98">
        <v>4.6533459109999997</v>
      </c>
      <c r="D98">
        <f t="shared" si="3"/>
        <v>-0.88117836400000016</v>
      </c>
      <c r="E98">
        <f t="shared" si="4"/>
        <v>0.88117836400000016</v>
      </c>
      <c r="F98">
        <f t="shared" si="5"/>
        <v>0.77647530918171681</v>
      </c>
      <c r="I98">
        <v>5.5345242749999999</v>
      </c>
    </row>
    <row r="99" spans="1:9" x14ac:dyDescent="0.45">
      <c r="A99" t="s">
        <v>78</v>
      </c>
      <c r="B99">
        <v>3.3100607790000001</v>
      </c>
      <c r="C99">
        <v>3.759342658</v>
      </c>
      <c r="D99">
        <f t="shared" si="3"/>
        <v>0.44928187899999994</v>
      </c>
      <c r="E99">
        <f t="shared" si="4"/>
        <v>0.44928187899999994</v>
      </c>
      <c r="F99">
        <f t="shared" si="5"/>
        <v>0.20185420679777058</v>
      </c>
      <c r="I99">
        <v>3.3100607790000001</v>
      </c>
    </row>
    <row r="100" spans="1:9" x14ac:dyDescent="0.45">
      <c r="A100" t="s">
        <v>79</v>
      </c>
      <c r="B100">
        <v>5.1098767269999996</v>
      </c>
      <c r="C100">
        <v>5.0613372940000003</v>
      </c>
      <c r="D100">
        <f t="shared" si="3"/>
        <v>-4.8539432999999299E-2</v>
      </c>
      <c r="E100">
        <f t="shared" si="4"/>
        <v>4.8539432999999299E-2</v>
      </c>
      <c r="F100">
        <f t="shared" si="5"/>
        <v>2.3560765559614209E-3</v>
      </c>
      <c r="I100">
        <v>5.1098767269999996</v>
      </c>
    </row>
    <row r="101" spans="1:9" x14ac:dyDescent="0.45">
      <c r="A101" t="s">
        <v>80</v>
      </c>
      <c r="B101">
        <v>5.2539679760000002</v>
      </c>
      <c r="C101">
        <v>4.268052451</v>
      </c>
      <c r="D101">
        <f t="shared" si="3"/>
        <v>-0.98591552500000024</v>
      </c>
      <c r="E101">
        <f t="shared" si="4"/>
        <v>0.98591552500000024</v>
      </c>
      <c r="F101">
        <f t="shared" si="5"/>
        <v>0.97202942243602608</v>
      </c>
      <c r="I101">
        <v>5.2539679760000002</v>
      </c>
    </row>
    <row r="102" spans="1:9" x14ac:dyDescent="0.45">
      <c r="A102" t="s">
        <v>81</v>
      </c>
      <c r="B102">
        <v>3.5873138839999998</v>
      </c>
      <c r="C102">
        <v>3.691296007</v>
      </c>
      <c r="D102">
        <f t="shared" si="3"/>
        <v>0.1039821230000002</v>
      </c>
      <c r="E102">
        <f t="shared" si="4"/>
        <v>0.1039821230000002</v>
      </c>
      <c r="F102">
        <f t="shared" si="5"/>
        <v>1.0812281903587172E-2</v>
      </c>
      <c r="I102">
        <v>3.5873138839999998</v>
      </c>
    </row>
    <row r="103" spans="1:9" x14ac:dyDescent="0.45">
      <c r="A103" t="s">
        <v>82</v>
      </c>
      <c r="B103">
        <v>4.4388783419999998</v>
      </c>
      <c r="C103">
        <v>3.0338578150000002</v>
      </c>
      <c r="D103">
        <f t="shared" si="3"/>
        <v>-1.4050205269999996</v>
      </c>
      <c r="E103">
        <f t="shared" si="4"/>
        <v>1.4050205269999996</v>
      </c>
      <c r="F103">
        <f t="shared" si="5"/>
        <v>1.9740826812913566</v>
      </c>
      <c r="I103">
        <v>4.4388783419999998</v>
      </c>
    </row>
    <row r="104" spans="1:9" x14ac:dyDescent="0.45">
      <c r="A104" t="s">
        <v>83</v>
      </c>
      <c r="B104">
        <v>4.2618378410000002</v>
      </c>
      <c r="C104">
        <v>4.5820743840000002</v>
      </c>
      <c r="D104">
        <f t="shared" si="3"/>
        <v>0.32023654300000004</v>
      </c>
      <c r="E104">
        <f t="shared" si="4"/>
        <v>0.32023654300000004</v>
      </c>
      <c r="F104">
        <f t="shared" si="5"/>
        <v>0.10255144347259088</v>
      </c>
      <c r="I104">
        <v>4.2618378410000002</v>
      </c>
    </row>
    <row r="105" spans="1:9" x14ac:dyDescent="0.45">
      <c r="A105" t="s">
        <v>84</v>
      </c>
      <c r="B105">
        <v>5.1340377029999997</v>
      </c>
      <c r="C105">
        <v>5.3092220220000002</v>
      </c>
      <c r="D105">
        <f t="shared" si="3"/>
        <v>0.17518431900000042</v>
      </c>
      <c r="E105">
        <f t="shared" si="4"/>
        <v>0.17518431900000042</v>
      </c>
      <c r="F105">
        <f t="shared" si="5"/>
        <v>3.0689545623493908E-2</v>
      </c>
      <c r="I105">
        <v>5.1340377029999997</v>
      </c>
    </row>
    <row r="106" spans="1:9" x14ac:dyDescent="0.45">
      <c r="A106" t="s">
        <v>139</v>
      </c>
      <c r="B106">
        <v>4.9624524470000004</v>
      </c>
      <c r="C106">
        <v>4.9967437400000003</v>
      </c>
      <c r="D106">
        <f t="shared" si="3"/>
        <v>3.4291292999999889E-2</v>
      </c>
      <c r="E106">
        <f t="shared" si="4"/>
        <v>3.4291292999999889E-2</v>
      </c>
      <c r="F106">
        <f t="shared" si="5"/>
        <v>1.1758927756118415E-3</v>
      </c>
      <c r="I106">
        <v>4.9624524470000004</v>
      </c>
    </row>
    <row r="107" spans="1:9" x14ac:dyDescent="0.45">
      <c r="A107" t="s">
        <v>140</v>
      </c>
      <c r="B107">
        <v>4.5645120800000001</v>
      </c>
      <c r="C107">
        <v>4.2283168870000001</v>
      </c>
      <c r="D107">
        <f t="shared" si="3"/>
        <v>-0.336195193</v>
      </c>
      <c r="E107">
        <f t="shared" si="4"/>
        <v>0.336195193</v>
      </c>
      <c r="F107">
        <f t="shared" si="5"/>
        <v>0.11302720779630725</v>
      </c>
      <c r="I107">
        <v>4.5645120800000001</v>
      </c>
    </row>
    <row r="108" spans="1:9" x14ac:dyDescent="0.45">
      <c r="A108" t="s">
        <v>85</v>
      </c>
      <c r="B108">
        <v>4.78789642</v>
      </c>
      <c r="C108">
        <v>4.7962491500000004</v>
      </c>
      <c r="D108">
        <f t="shared" si="3"/>
        <v>8.3527300000003635E-3</v>
      </c>
      <c r="E108">
        <f t="shared" si="4"/>
        <v>8.3527300000003635E-3</v>
      </c>
      <c r="F108">
        <f t="shared" si="5"/>
        <v>6.9768098452906065E-5</v>
      </c>
      <c r="I108">
        <v>4.78789642</v>
      </c>
    </row>
    <row r="109" spans="1:9" x14ac:dyDescent="0.45">
      <c r="A109" t="s">
        <v>86</v>
      </c>
      <c r="B109">
        <v>4.7713507420000001</v>
      </c>
      <c r="C109">
        <v>4.7537160949999997</v>
      </c>
      <c r="D109">
        <f t="shared" si="3"/>
        <v>-1.7634647000000392E-2</v>
      </c>
      <c r="E109">
        <f t="shared" si="4"/>
        <v>1.7634647000000392E-2</v>
      </c>
      <c r="F109">
        <f t="shared" si="5"/>
        <v>3.1098077481462282E-4</v>
      </c>
      <c r="I109">
        <v>4.7713507420000001</v>
      </c>
    </row>
    <row r="110" spans="1:9" x14ac:dyDescent="0.45">
      <c r="A110" t="s">
        <v>87</v>
      </c>
      <c r="B110">
        <v>4.3502923300000003</v>
      </c>
      <c r="C110">
        <v>4.860797893</v>
      </c>
      <c r="D110">
        <f t="shared" si="3"/>
        <v>0.51050556299999972</v>
      </c>
      <c r="E110">
        <f t="shared" si="4"/>
        <v>0.51050556299999972</v>
      </c>
      <c r="F110">
        <f t="shared" si="5"/>
        <v>0.26061592985394666</v>
      </c>
      <c r="I110">
        <v>4.3502923300000003</v>
      </c>
    </row>
    <row r="111" spans="1:9" x14ac:dyDescent="0.45">
      <c r="A111" t="s">
        <v>88</v>
      </c>
      <c r="B111">
        <v>4.6440856500000001</v>
      </c>
      <c r="C111">
        <v>4.3351766659999997</v>
      </c>
      <c r="D111">
        <f t="shared" si="3"/>
        <v>-0.30890898400000033</v>
      </c>
      <c r="E111">
        <f t="shared" si="4"/>
        <v>0.30890898400000033</v>
      </c>
      <c r="F111">
        <f t="shared" si="5"/>
        <v>9.5424760395912467E-2</v>
      </c>
      <c r="I111">
        <v>4.6440856500000001</v>
      </c>
    </row>
    <row r="112" spans="1:9" x14ac:dyDescent="0.45">
      <c r="A112" t="s">
        <v>89</v>
      </c>
      <c r="B112">
        <v>4.6018393169999996</v>
      </c>
      <c r="C112">
        <v>4.5679649219999998</v>
      </c>
      <c r="D112">
        <f t="shared" si="3"/>
        <v>-3.387439499999978E-2</v>
      </c>
      <c r="E112">
        <f t="shared" si="4"/>
        <v>3.387439499999978E-2</v>
      </c>
      <c r="F112">
        <f t="shared" si="5"/>
        <v>1.14747463661601E-3</v>
      </c>
      <c r="I112">
        <v>4.6018393169999996</v>
      </c>
    </row>
    <row r="113" spans="1:9" x14ac:dyDescent="0.45">
      <c r="A113" t="s">
        <v>90</v>
      </c>
      <c r="B113">
        <v>4.3839594689999997</v>
      </c>
      <c r="C113">
        <v>4.7699558809999996</v>
      </c>
      <c r="D113">
        <f t="shared" si="3"/>
        <v>0.3859964119999999</v>
      </c>
      <c r="E113">
        <f t="shared" si="4"/>
        <v>0.3859964119999999</v>
      </c>
      <c r="F113">
        <f t="shared" si="5"/>
        <v>0.14899323007687368</v>
      </c>
      <c r="I113">
        <v>4.3839594689999997</v>
      </c>
    </row>
    <row r="114" spans="1:9" x14ac:dyDescent="0.45">
      <c r="A114" t="s">
        <v>91</v>
      </c>
      <c r="B114">
        <v>5.4128319100000004</v>
      </c>
      <c r="C114">
        <v>5.1268671640000001</v>
      </c>
      <c r="D114">
        <f t="shared" si="3"/>
        <v>-0.28596474600000032</v>
      </c>
      <c r="E114">
        <f t="shared" si="4"/>
        <v>0.28596474600000032</v>
      </c>
      <c r="F114">
        <f t="shared" si="5"/>
        <v>8.1775835954844708E-2</v>
      </c>
      <c r="I114">
        <v>5.4128319100000004</v>
      </c>
    </row>
    <row r="115" spans="1:9" x14ac:dyDescent="0.45">
      <c r="A115" t="s">
        <v>92</v>
      </c>
      <c r="B115">
        <v>4.9621090969999999</v>
      </c>
      <c r="C115">
        <v>4.7258995710000002</v>
      </c>
      <c r="D115">
        <f t="shared" si="3"/>
        <v>-0.23620952599999967</v>
      </c>
      <c r="E115">
        <f t="shared" si="4"/>
        <v>0.23620952599999967</v>
      </c>
      <c r="F115">
        <f t="shared" si="5"/>
        <v>5.5794940173144521E-2</v>
      </c>
      <c r="I115">
        <v>4.9621090969999999</v>
      </c>
    </row>
    <row r="116" spans="1:9" x14ac:dyDescent="0.45">
      <c r="A116" t="s">
        <v>93</v>
      </c>
      <c r="B116">
        <v>5.0051933059999998</v>
      </c>
      <c r="C116">
        <v>4.9111033099999997</v>
      </c>
      <c r="D116">
        <f t="shared" si="3"/>
        <v>-9.408999600000012E-2</v>
      </c>
      <c r="E116">
        <f t="shared" si="4"/>
        <v>9.408999600000012E-2</v>
      </c>
      <c r="F116">
        <f t="shared" si="5"/>
        <v>8.8529273472800381E-3</v>
      </c>
      <c r="I116">
        <v>5.0051933059999998</v>
      </c>
    </row>
    <row r="117" spans="1:9" x14ac:dyDescent="0.45">
      <c r="A117" t="s">
        <v>94</v>
      </c>
      <c r="B117">
        <v>5.2549510020000003</v>
      </c>
      <c r="C117">
        <v>5.4388976490000003</v>
      </c>
      <c r="D117">
        <f t="shared" si="3"/>
        <v>0.18394664699999996</v>
      </c>
      <c r="E117">
        <f t="shared" si="4"/>
        <v>0.18394664699999996</v>
      </c>
      <c r="F117">
        <f t="shared" si="5"/>
        <v>3.3836368942542598E-2</v>
      </c>
      <c r="I117">
        <v>5.2549510020000003</v>
      </c>
    </row>
    <row r="118" spans="1:9" x14ac:dyDescent="0.45">
      <c r="A118" t="s">
        <v>95</v>
      </c>
      <c r="B118">
        <v>3.7727269749999999</v>
      </c>
      <c r="C118">
        <v>4.676182335</v>
      </c>
      <c r="D118">
        <f t="shared" si="3"/>
        <v>0.90345536000000015</v>
      </c>
      <c r="E118">
        <f t="shared" si="4"/>
        <v>0.90345536000000015</v>
      </c>
      <c r="F118">
        <f t="shared" si="5"/>
        <v>0.81623158751272984</v>
      </c>
      <c r="I118">
        <v>3.7727269749999999</v>
      </c>
    </row>
    <row r="119" spans="1:9" x14ac:dyDescent="0.45">
      <c r="A119" t="s">
        <v>96</v>
      </c>
      <c r="B119">
        <v>3.915543445</v>
      </c>
      <c r="C119">
        <v>4.815935122</v>
      </c>
      <c r="D119">
        <f t="shared" si="3"/>
        <v>0.900391677</v>
      </c>
      <c r="E119">
        <f t="shared" si="4"/>
        <v>0.900391677</v>
      </c>
      <c r="F119">
        <f t="shared" si="5"/>
        <v>0.81070517201087233</v>
      </c>
      <c r="I119">
        <v>3.915543445</v>
      </c>
    </row>
    <row r="120" spans="1:9" x14ac:dyDescent="0.45">
      <c r="A120" t="s">
        <v>97</v>
      </c>
      <c r="B120">
        <v>4.3192554149999998</v>
      </c>
      <c r="C120">
        <v>4.1788865370000003</v>
      </c>
      <c r="D120">
        <f t="shared" si="3"/>
        <v>-0.14036887799999942</v>
      </c>
      <c r="E120">
        <f t="shared" si="4"/>
        <v>0.14036887799999942</v>
      </c>
      <c r="F120">
        <f t="shared" si="5"/>
        <v>1.9703421910978722E-2</v>
      </c>
      <c r="I120">
        <v>4.3192554149999998</v>
      </c>
    </row>
    <row r="121" spans="1:9" x14ac:dyDescent="0.45">
      <c r="A121" t="s">
        <v>98</v>
      </c>
      <c r="B121">
        <v>5.0590278289999997</v>
      </c>
      <c r="C121">
        <v>5.1961213050000001</v>
      </c>
      <c r="D121">
        <f t="shared" si="3"/>
        <v>0.13709347600000044</v>
      </c>
      <c r="E121">
        <f t="shared" si="4"/>
        <v>0.13709347600000044</v>
      </c>
      <c r="F121">
        <f t="shared" si="5"/>
        <v>1.8794621161762694E-2</v>
      </c>
      <c r="I121">
        <v>5.0590278289999997</v>
      </c>
    </row>
    <row r="122" spans="1:9" x14ac:dyDescent="0.45">
      <c r="A122" t="s">
        <v>99</v>
      </c>
      <c r="B122">
        <v>4.268679347</v>
      </c>
      <c r="C122">
        <v>4.1390699040000003</v>
      </c>
      <c r="D122">
        <f t="shared" si="3"/>
        <v>-0.12960944299999966</v>
      </c>
      <c r="E122">
        <f t="shared" si="4"/>
        <v>0.12960944299999966</v>
      </c>
      <c r="F122">
        <f t="shared" si="5"/>
        <v>1.679860771477016E-2</v>
      </c>
      <c r="I122">
        <v>4.268679347</v>
      </c>
    </row>
    <row r="123" spans="1:9" x14ac:dyDescent="0.45">
      <c r="A123" t="s">
        <v>100</v>
      </c>
      <c r="B123">
        <v>2.46855373</v>
      </c>
      <c r="C123">
        <v>2.4466371159999998</v>
      </c>
      <c r="D123">
        <f t="shared" si="3"/>
        <v>-2.1916614000000223E-2</v>
      </c>
      <c r="E123">
        <f t="shared" si="4"/>
        <v>2.1916614000000223E-2</v>
      </c>
      <c r="F123">
        <f t="shared" si="5"/>
        <v>4.8033796922500576E-4</v>
      </c>
      <c r="I123">
        <v>2.46855373</v>
      </c>
    </row>
    <row r="124" spans="1:9" x14ac:dyDescent="0.45">
      <c r="A124" t="s">
        <v>101</v>
      </c>
      <c r="B124">
        <v>2.6703896579999999</v>
      </c>
      <c r="C124">
        <v>3.0360035860000001</v>
      </c>
      <c r="D124">
        <f t="shared" si="3"/>
        <v>0.36561392800000014</v>
      </c>
      <c r="E124">
        <f t="shared" si="4"/>
        <v>0.36561392800000014</v>
      </c>
      <c r="F124">
        <f t="shared" si="5"/>
        <v>0.1336735443475893</v>
      </c>
      <c r="I124">
        <v>2.6703896579999999</v>
      </c>
    </row>
    <row r="125" spans="1:9" x14ac:dyDescent="0.45">
      <c r="A125" t="s">
        <v>102</v>
      </c>
      <c r="B125">
        <v>4.5654229769999999</v>
      </c>
      <c r="C125">
        <v>4.9071821780000002</v>
      </c>
      <c r="D125">
        <f t="shared" si="3"/>
        <v>0.34175920100000035</v>
      </c>
      <c r="E125">
        <f t="shared" si="4"/>
        <v>0.34175920100000035</v>
      </c>
      <c r="F125">
        <f t="shared" si="5"/>
        <v>0.11679935146815863</v>
      </c>
      <c r="I125">
        <v>4.5654229769999999</v>
      </c>
    </row>
    <row r="126" spans="1:9" x14ac:dyDescent="0.45">
      <c r="A126" t="s">
        <v>103</v>
      </c>
      <c r="B126">
        <v>4.3393999059999997</v>
      </c>
      <c r="C126">
        <v>4.4801923449999999</v>
      </c>
      <c r="D126">
        <f t="shared" si="3"/>
        <v>0.14079243900000016</v>
      </c>
      <c r="E126">
        <f t="shared" si="4"/>
        <v>0.14079243900000016</v>
      </c>
      <c r="F126">
        <f t="shared" si="5"/>
        <v>1.9822510879568767E-2</v>
      </c>
      <c r="I126">
        <v>4.3393999059999997</v>
      </c>
    </row>
    <row r="127" spans="1:9" x14ac:dyDescent="0.45">
      <c r="A127" t="s">
        <v>104</v>
      </c>
      <c r="B127">
        <v>4.8480457440000002</v>
      </c>
      <c r="C127">
        <v>4.8583196219999998</v>
      </c>
      <c r="D127">
        <f t="shared" si="3"/>
        <v>1.027387799999957E-2</v>
      </c>
      <c r="E127">
        <f t="shared" si="4"/>
        <v>1.027387799999957E-2</v>
      </c>
      <c r="F127">
        <f t="shared" si="5"/>
        <v>1.0555256915887516E-4</v>
      </c>
      <c r="I127">
        <v>4.8480457440000002</v>
      </c>
    </row>
    <row r="128" spans="1:9" x14ac:dyDescent="0.45">
      <c r="A128" t="s">
        <v>105</v>
      </c>
      <c r="B128">
        <v>3.6281396290000001</v>
      </c>
      <c r="C128">
        <v>3.5628241620000001</v>
      </c>
      <c r="D128">
        <f t="shared" si="3"/>
        <v>-6.5315467000000016E-2</v>
      </c>
      <c r="E128">
        <f t="shared" si="4"/>
        <v>6.5315467000000016E-2</v>
      </c>
      <c r="F128">
        <f t="shared" si="5"/>
        <v>4.2661102294280911E-3</v>
      </c>
      <c r="I128">
        <v>3.6281396290000001</v>
      </c>
    </row>
    <row r="129" spans="1:9" x14ac:dyDescent="0.45">
      <c r="A129" t="s">
        <v>106</v>
      </c>
      <c r="B129">
        <v>4.3482550760000001</v>
      </c>
      <c r="C129">
        <v>4.5801086959999999</v>
      </c>
      <c r="D129">
        <f t="shared" si="3"/>
        <v>0.23185361999999987</v>
      </c>
      <c r="E129">
        <f t="shared" si="4"/>
        <v>0.23185361999999987</v>
      </c>
      <c r="F129">
        <f t="shared" si="5"/>
        <v>5.375610110710434E-2</v>
      </c>
      <c r="I129">
        <v>4.3482550760000001</v>
      </c>
    </row>
    <row r="130" spans="1:9" x14ac:dyDescent="0.45">
      <c r="A130" t="s">
        <v>141</v>
      </c>
      <c r="B130">
        <v>3.6524525639999998</v>
      </c>
      <c r="C130">
        <v>3.4212400160000001</v>
      </c>
      <c r="D130">
        <f t="shared" si="3"/>
        <v>-0.2312125479999998</v>
      </c>
      <c r="E130">
        <f t="shared" si="4"/>
        <v>0.2312125479999998</v>
      </c>
      <c r="F130">
        <f t="shared" si="5"/>
        <v>5.345924235265221E-2</v>
      </c>
      <c r="I130">
        <v>3.6524525639999998</v>
      </c>
    </row>
    <row r="131" spans="1:9" x14ac:dyDescent="0.45">
      <c r="A131" t="s">
        <v>142</v>
      </c>
      <c r="B131">
        <v>4.3575847620000001</v>
      </c>
      <c r="C131">
        <v>4.2430671049999997</v>
      </c>
      <c r="D131">
        <f t="shared" ref="D131:D137" si="6">(C131-B131)</f>
        <v>-0.11451765700000038</v>
      </c>
      <c r="E131">
        <f t="shared" ref="E131:E137" si="7">ABS(D131)</f>
        <v>0.11451765700000038</v>
      </c>
      <c r="F131">
        <f t="shared" ref="F131:F137" si="8">E131^2</f>
        <v>1.3114293764769736E-2</v>
      </c>
      <c r="I131">
        <v>4.3575847620000001</v>
      </c>
    </row>
    <row r="132" spans="1:9" x14ac:dyDescent="0.45">
      <c r="A132" t="s">
        <v>107</v>
      </c>
      <c r="B132">
        <v>4.4993685709999998</v>
      </c>
      <c r="C132">
        <v>4.4591111740000002</v>
      </c>
      <c r="D132">
        <f t="shared" si="6"/>
        <v>-4.0257396999999528E-2</v>
      </c>
      <c r="E132">
        <f t="shared" si="7"/>
        <v>4.0257396999999528E-2</v>
      </c>
      <c r="F132">
        <f t="shared" si="8"/>
        <v>1.6206580132155711E-3</v>
      </c>
      <c r="I132">
        <v>4.4993685709999998</v>
      </c>
    </row>
    <row r="133" spans="1:9" x14ac:dyDescent="0.45">
      <c r="A133" t="s">
        <v>108</v>
      </c>
      <c r="B133">
        <v>5.1983697009999998</v>
      </c>
      <c r="C133">
        <v>5.395055084</v>
      </c>
      <c r="D133">
        <f t="shared" si="6"/>
        <v>0.19668538300000016</v>
      </c>
      <c r="E133">
        <f t="shared" si="7"/>
        <v>0.19668538300000016</v>
      </c>
      <c r="F133">
        <f t="shared" si="8"/>
        <v>3.8685139885856749E-2</v>
      </c>
      <c r="I133">
        <v>5.1983697009999998</v>
      </c>
    </row>
    <row r="134" spans="1:9" x14ac:dyDescent="0.45">
      <c r="A134" t="s">
        <v>109</v>
      </c>
      <c r="B134">
        <v>5.3106070650000001</v>
      </c>
      <c r="C134">
        <v>5.2664667469999999</v>
      </c>
      <c r="D134">
        <f t="shared" si="6"/>
        <v>-4.4140318000000178E-2</v>
      </c>
      <c r="E134">
        <f t="shared" si="7"/>
        <v>4.4140318000000178E-2</v>
      </c>
      <c r="F134">
        <f t="shared" si="8"/>
        <v>1.9483676731411397E-3</v>
      </c>
      <c r="I134">
        <v>5.3106070650000001</v>
      </c>
    </row>
    <row r="135" spans="1:9" x14ac:dyDescent="0.45">
      <c r="A135" t="s">
        <v>110</v>
      </c>
      <c r="B135">
        <v>4.848228421</v>
      </c>
      <c r="C135">
        <v>4.5267823199999997</v>
      </c>
      <c r="D135">
        <f t="shared" si="6"/>
        <v>-0.32144610100000026</v>
      </c>
      <c r="E135">
        <f t="shared" si="7"/>
        <v>0.32144610100000026</v>
      </c>
      <c r="F135">
        <f t="shared" si="8"/>
        <v>0.10332759584810237</v>
      </c>
      <c r="I135">
        <v>4.848228421</v>
      </c>
    </row>
    <row r="136" spans="1:9" x14ac:dyDescent="0.45">
      <c r="A136" t="s">
        <v>111</v>
      </c>
      <c r="B136">
        <v>4.519004153</v>
      </c>
      <c r="C136">
        <v>5.3334764149999998</v>
      </c>
      <c r="D136">
        <f t="shared" si="6"/>
        <v>0.81447226199999978</v>
      </c>
      <c r="E136">
        <f t="shared" si="7"/>
        <v>0.81447226199999978</v>
      </c>
      <c r="F136">
        <f t="shared" si="8"/>
        <v>0.66336506556739627</v>
      </c>
      <c r="I136">
        <v>4.519004153</v>
      </c>
    </row>
    <row r="137" spans="1:9" x14ac:dyDescent="0.45">
      <c r="A137" t="s">
        <v>112</v>
      </c>
      <c r="B137">
        <v>4.4195609420000004</v>
      </c>
      <c r="C137">
        <v>5.1078355809999998</v>
      </c>
      <c r="D137">
        <f t="shared" si="6"/>
        <v>0.68827463899999941</v>
      </c>
      <c r="E137">
        <f t="shared" si="7"/>
        <v>0.68827463899999941</v>
      </c>
      <c r="F137">
        <f t="shared" si="8"/>
        <v>0.47372197869057953</v>
      </c>
      <c r="I137">
        <v>4.4195609420000004</v>
      </c>
    </row>
    <row r="138" spans="1:9" x14ac:dyDescent="0.45">
      <c r="D138">
        <f>AVERAGE(D2:D137)</f>
        <v>-2.6653033088232491E-4</v>
      </c>
      <c r="E138">
        <f>AVERAGE(E2:E137)</f>
        <v>0.2757166800808824</v>
      </c>
      <c r="F138">
        <f>SQRT(AVERAGE(F2:F137))</f>
        <v>0.40237899599335702</v>
      </c>
    </row>
    <row r="139" spans="1:9" x14ac:dyDescent="0.45">
      <c r="B139">
        <f>MIN(B2:B137)</f>
        <v>2.46855373</v>
      </c>
      <c r="C139">
        <f>MIN(C2:C137)</f>
        <v>2.305637156</v>
      </c>
      <c r="I139">
        <f>MIN(I2:I137)</f>
        <v>2.46855373</v>
      </c>
    </row>
    <row r="140" spans="1:9" x14ac:dyDescent="0.45">
      <c r="B140">
        <f>MAX(B2:B137)</f>
        <v>6.4664675919999999</v>
      </c>
      <c r="C140">
        <f>MAX(C2:C137)</f>
        <v>6.9430960749999997</v>
      </c>
      <c r="I140">
        <f>MAX(I2:I137)</f>
        <v>6.4664675919999999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C45A-9A20-468E-8B46-D344121D7F63}">
  <dimension ref="A1:AU140"/>
  <sheetViews>
    <sheetView tabSelected="1" topLeftCell="A142" workbookViewId="0">
      <selection activeCell="H10" sqref="H10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277</v>
      </c>
      <c r="C1" s="2" t="s">
        <v>277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277</v>
      </c>
    </row>
    <row r="2" spans="1:47" x14ac:dyDescent="0.45">
      <c r="A2" t="s">
        <v>113</v>
      </c>
      <c r="B2">
        <v>6.5536188170000003</v>
      </c>
      <c r="C2">
        <v>6.6065487750000003</v>
      </c>
      <c r="D2">
        <f>(C2-B2)</f>
        <v>5.2929957999999999E-2</v>
      </c>
      <c r="E2">
        <f>ABS(D2)</f>
        <v>5.2929957999999999E-2</v>
      </c>
      <c r="F2">
        <f>E2^2</f>
        <v>2.8015804538817639E-3</v>
      </c>
      <c r="G2">
        <f>CORREL(B2:B137,C2:C137)</f>
        <v>0.93353048768158453</v>
      </c>
      <c r="H2">
        <f>G2^2</f>
        <v>0.87147917143101705</v>
      </c>
      <c r="I2">
        <v>6.5536188170000003</v>
      </c>
    </row>
    <row r="3" spans="1:47" x14ac:dyDescent="0.45">
      <c r="A3" t="s">
        <v>114</v>
      </c>
      <c r="B3">
        <v>6.4155850550000002</v>
      </c>
      <c r="C3">
        <v>6.6563333650000001</v>
      </c>
      <c r="D3">
        <f t="shared" ref="D3:D66" si="0">(C3-B3)</f>
        <v>0.24074830999999985</v>
      </c>
      <c r="E3">
        <f t="shared" ref="E3:E66" si="1">ABS(D3)</f>
        <v>0.24074830999999985</v>
      </c>
      <c r="F3">
        <f t="shared" ref="F3:F66" si="2">E3^2</f>
        <v>5.7959748767856027E-2</v>
      </c>
      <c r="I3">
        <v>6.4155850550000002</v>
      </c>
    </row>
    <row r="4" spans="1:47" x14ac:dyDescent="0.45">
      <c r="A4" t="s">
        <v>115</v>
      </c>
      <c r="B4">
        <v>7.9138196870000002</v>
      </c>
      <c r="C4">
        <v>8.0519470599999998</v>
      </c>
      <c r="D4">
        <f t="shared" si="0"/>
        <v>0.13812737299999966</v>
      </c>
      <c r="E4">
        <f t="shared" si="1"/>
        <v>0.13812737299999966</v>
      </c>
      <c r="F4">
        <f t="shared" si="2"/>
        <v>1.9079171171881036E-2</v>
      </c>
      <c r="I4">
        <v>7.9138196870000002</v>
      </c>
    </row>
    <row r="5" spans="1:47" x14ac:dyDescent="0.45">
      <c r="A5" t="s">
        <v>116</v>
      </c>
      <c r="B5">
        <v>7.1091680430000004</v>
      </c>
      <c r="C5">
        <v>7.7721489689999999</v>
      </c>
      <c r="D5">
        <f t="shared" si="0"/>
        <v>0.66298092599999947</v>
      </c>
      <c r="E5">
        <f t="shared" si="1"/>
        <v>0.66298092599999947</v>
      </c>
      <c r="F5">
        <f t="shared" si="2"/>
        <v>0.43954370823981675</v>
      </c>
      <c r="I5">
        <v>7.1091680430000004</v>
      </c>
    </row>
    <row r="6" spans="1:47" x14ac:dyDescent="0.45">
      <c r="A6" t="s">
        <v>117</v>
      </c>
      <c r="B6">
        <v>6.8456635180000003</v>
      </c>
      <c r="C6">
        <v>6.8170246939999997</v>
      </c>
      <c r="D6">
        <f t="shared" si="0"/>
        <v>-2.8638824000000618E-2</v>
      </c>
      <c r="E6">
        <f t="shared" si="1"/>
        <v>2.8638824000000618E-2</v>
      </c>
      <c r="F6">
        <f t="shared" si="2"/>
        <v>8.201822401030114E-4</v>
      </c>
      <c r="I6">
        <v>6.8456635180000003</v>
      </c>
    </row>
    <row r="7" spans="1:47" x14ac:dyDescent="0.45">
      <c r="A7" t="s">
        <v>118</v>
      </c>
      <c r="B7">
        <v>7.1861470929999998</v>
      </c>
      <c r="C7">
        <v>7.0402421479999999</v>
      </c>
      <c r="D7">
        <f t="shared" si="0"/>
        <v>-0.14590494499999984</v>
      </c>
      <c r="E7">
        <f t="shared" si="1"/>
        <v>0.14590494499999984</v>
      </c>
      <c r="F7">
        <f t="shared" si="2"/>
        <v>2.1288252975452979E-2</v>
      </c>
      <c r="I7">
        <v>7.1861470929999998</v>
      </c>
    </row>
    <row r="8" spans="1:47" x14ac:dyDescent="0.45">
      <c r="A8" t="s">
        <v>7</v>
      </c>
      <c r="B8">
        <v>7.4520760199999998</v>
      </c>
      <c r="C8">
        <v>7.6787686710000003</v>
      </c>
      <c r="D8">
        <f t="shared" si="0"/>
        <v>0.22669265100000047</v>
      </c>
      <c r="E8">
        <f t="shared" si="1"/>
        <v>0.22669265100000047</v>
      </c>
      <c r="F8">
        <f t="shared" si="2"/>
        <v>5.1389558017408014E-2</v>
      </c>
      <c r="I8">
        <v>7.4520760199999998</v>
      </c>
    </row>
    <row r="9" spans="1:47" x14ac:dyDescent="0.45">
      <c r="A9" t="s">
        <v>8</v>
      </c>
      <c r="B9">
        <v>7.2238563009999996</v>
      </c>
      <c r="C9">
        <v>8.3551339890000005</v>
      </c>
      <c r="D9">
        <f t="shared" si="0"/>
        <v>1.1312776880000008</v>
      </c>
      <c r="E9">
        <f t="shared" si="1"/>
        <v>1.1312776880000008</v>
      </c>
      <c r="F9">
        <f t="shared" si="2"/>
        <v>1.2797892073666273</v>
      </c>
      <c r="I9">
        <v>7.2238563009999996</v>
      </c>
    </row>
    <row r="10" spans="1:47" x14ac:dyDescent="0.45">
      <c r="A10" t="s">
        <v>9</v>
      </c>
      <c r="B10">
        <v>7.1985747199999999</v>
      </c>
      <c r="C10">
        <v>7.0922241020000003</v>
      </c>
      <c r="D10">
        <f t="shared" si="0"/>
        <v>-0.10635061799999956</v>
      </c>
      <c r="E10">
        <f t="shared" si="1"/>
        <v>0.10635061799999956</v>
      </c>
      <c r="F10">
        <f t="shared" si="2"/>
        <v>1.131045394898183E-2</v>
      </c>
      <c r="I10">
        <v>7.1985747199999999</v>
      </c>
    </row>
    <row r="11" spans="1:47" x14ac:dyDescent="0.45">
      <c r="A11" t="s">
        <v>10</v>
      </c>
      <c r="B11">
        <v>8.349433908</v>
      </c>
      <c r="C11">
        <v>8.5090936639999999</v>
      </c>
      <c r="D11">
        <f t="shared" si="0"/>
        <v>0.15965975599999993</v>
      </c>
      <c r="E11">
        <f t="shared" si="1"/>
        <v>0.15965975599999993</v>
      </c>
      <c r="F11">
        <f t="shared" si="2"/>
        <v>2.5491237685979513E-2</v>
      </c>
      <c r="I11">
        <v>8.349433908</v>
      </c>
    </row>
    <row r="12" spans="1:47" x14ac:dyDescent="0.45">
      <c r="A12" t="s">
        <v>11</v>
      </c>
      <c r="B12">
        <v>6.8345904700000002</v>
      </c>
      <c r="C12">
        <v>6.8487858780000002</v>
      </c>
      <c r="D12">
        <f t="shared" si="0"/>
        <v>1.4195407999999965E-2</v>
      </c>
      <c r="E12">
        <f t="shared" si="1"/>
        <v>1.4195407999999965E-2</v>
      </c>
      <c r="F12">
        <f t="shared" si="2"/>
        <v>2.01509608286463E-4</v>
      </c>
      <c r="I12">
        <v>6.8345904700000002</v>
      </c>
    </row>
    <row r="13" spans="1:47" x14ac:dyDescent="0.45">
      <c r="A13" t="s">
        <v>12</v>
      </c>
      <c r="B13">
        <v>7.0054066849999996</v>
      </c>
      <c r="C13">
        <v>7.2805719949999999</v>
      </c>
      <c r="D13">
        <f t="shared" si="0"/>
        <v>0.27516531000000022</v>
      </c>
      <c r="E13">
        <f t="shared" si="1"/>
        <v>0.27516531000000022</v>
      </c>
      <c r="F13">
        <f t="shared" si="2"/>
        <v>7.5715947827396227E-2</v>
      </c>
      <c r="I13">
        <v>7.0054066849999996</v>
      </c>
    </row>
    <row r="14" spans="1:47" x14ac:dyDescent="0.45">
      <c r="A14" t="s">
        <v>13</v>
      </c>
      <c r="B14">
        <v>6.6834024530000002</v>
      </c>
      <c r="C14">
        <v>6.8101211490000004</v>
      </c>
      <c r="D14">
        <f t="shared" si="0"/>
        <v>0.12671869600000019</v>
      </c>
      <c r="E14">
        <f t="shared" si="1"/>
        <v>0.12671869600000019</v>
      </c>
      <c r="F14">
        <f t="shared" si="2"/>
        <v>1.6057627915940464E-2</v>
      </c>
      <c r="I14">
        <v>6.6834024530000002</v>
      </c>
    </row>
    <row r="15" spans="1:47" x14ac:dyDescent="0.45">
      <c r="A15" t="s">
        <v>119</v>
      </c>
      <c r="B15">
        <v>6.8169683120000002</v>
      </c>
      <c r="C15">
        <v>6.8729026429999998</v>
      </c>
      <c r="D15">
        <f t="shared" si="0"/>
        <v>5.593433099999956E-2</v>
      </c>
      <c r="E15">
        <f t="shared" si="1"/>
        <v>5.593433099999956E-2</v>
      </c>
      <c r="F15">
        <f t="shared" si="2"/>
        <v>3.1286493844175116E-3</v>
      </c>
      <c r="I15">
        <v>6.8169683120000002</v>
      </c>
      <c r="AU15" s="1"/>
    </row>
    <row r="16" spans="1:47" x14ac:dyDescent="0.45">
      <c r="A16" t="s">
        <v>14</v>
      </c>
      <c r="B16">
        <v>6.8627647620000003</v>
      </c>
      <c r="C16">
        <v>6.9472303789999996</v>
      </c>
      <c r="D16">
        <f t="shared" si="0"/>
        <v>8.4465616999999327E-2</v>
      </c>
      <c r="E16">
        <f t="shared" si="1"/>
        <v>8.4465616999999327E-2</v>
      </c>
      <c r="F16">
        <f t="shared" si="2"/>
        <v>7.134440455190575E-3</v>
      </c>
      <c r="I16">
        <v>6.8627647620000003</v>
      </c>
      <c r="AU16" s="1"/>
    </row>
    <row r="17" spans="1:47" x14ac:dyDescent="0.45">
      <c r="A17" t="s">
        <v>120</v>
      </c>
      <c r="B17">
        <v>7.2807971159999996</v>
      </c>
      <c r="C17">
        <v>6.9346706149999999</v>
      </c>
      <c r="D17">
        <f t="shared" si="0"/>
        <v>-0.34612650099999964</v>
      </c>
      <c r="E17">
        <f t="shared" si="1"/>
        <v>0.34612650099999964</v>
      </c>
      <c r="F17">
        <f t="shared" si="2"/>
        <v>0.11980355469450275</v>
      </c>
      <c r="I17">
        <v>7.2807971159999996</v>
      </c>
      <c r="AU17" s="1"/>
    </row>
    <row r="18" spans="1:47" x14ac:dyDescent="0.45">
      <c r="A18" t="s">
        <v>121</v>
      </c>
      <c r="B18">
        <v>6.7990086769999998</v>
      </c>
      <c r="C18">
        <v>6.9240499040000003</v>
      </c>
      <c r="D18">
        <f t="shared" si="0"/>
        <v>0.12504122700000053</v>
      </c>
      <c r="E18">
        <f t="shared" si="1"/>
        <v>0.12504122700000053</v>
      </c>
      <c r="F18">
        <f t="shared" si="2"/>
        <v>1.5635308449665663E-2</v>
      </c>
      <c r="I18">
        <v>6.7990086769999998</v>
      </c>
      <c r="AU18" s="1"/>
    </row>
    <row r="19" spans="1:47" x14ac:dyDescent="0.45">
      <c r="A19" t="s">
        <v>122</v>
      </c>
      <c r="B19">
        <v>8.4732332140000004</v>
      </c>
      <c r="C19">
        <v>8.6974831310000003</v>
      </c>
      <c r="D19">
        <f t="shared" si="0"/>
        <v>0.22424991699999985</v>
      </c>
      <c r="E19">
        <f t="shared" si="1"/>
        <v>0.22424991699999985</v>
      </c>
      <c r="F19">
        <f t="shared" si="2"/>
        <v>5.0288025274506827E-2</v>
      </c>
      <c r="I19">
        <v>8.4732332140000004</v>
      </c>
      <c r="AU19" s="1"/>
    </row>
    <row r="20" spans="1:47" x14ac:dyDescent="0.45">
      <c r="A20" t="s">
        <v>123</v>
      </c>
      <c r="B20">
        <v>8.3077782290000002</v>
      </c>
      <c r="C20">
        <v>7.8791946270000004</v>
      </c>
      <c r="D20">
        <f t="shared" si="0"/>
        <v>-0.42858360199999979</v>
      </c>
      <c r="E20">
        <f t="shared" si="1"/>
        <v>0.42858360199999979</v>
      </c>
      <c r="F20">
        <f t="shared" si="2"/>
        <v>0.18368390390329423</v>
      </c>
      <c r="I20">
        <v>8.3077782290000002</v>
      </c>
      <c r="AU20" s="1"/>
    </row>
    <row r="21" spans="1:47" x14ac:dyDescent="0.45">
      <c r="A21" t="s">
        <v>124</v>
      </c>
      <c r="B21">
        <v>8.4634807129999992</v>
      </c>
      <c r="C21">
        <v>7.6961381720000004</v>
      </c>
      <c r="D21">
        <f t="shared" si="0"/>
        <v>-0.76734254099999877</v>
      </c>
      <c r="E21">
        <f t="shared" si="1"/>
        <v>0.76734254099999877</v>
      </c>
      <c r="F21">
        <f t="shared" si="2"/>
        <v>0.5888145752283348</v>
      </c>
      <c r="I21">
        <v>8.4634807129999992</v>
      </c>
    </row>
    <row r="22" spans="1:47" x14ac:dyDescent="0.45">
      <c r="A22" t="s">
        <v>125</v>
      </c>
      <c r="B22">
        <v>8.4540103539999993</v>
      </c>
      <c r="C22">
        <v>8.4242326050000003</v>
      </c>
      <c r="D22">
        <f t="shared" si="0"/>
        <v>-2.9777748999999076E-2</v>
      </c>
      <c r="E22">
        <f t="shared" si="1"/>
        <v>2.9777748999999076E-2</v>
      </c>
      <c r="F22">
        <f t="shared" si="2"/>
        <v>8.8671433550694594E-4</v>
      </c>
      <c r="I22">
        <v>8.4540103539999993</v>
      </c>
    </row>
    <row r="23" spans="1:47" x14ac:dyDescent="0.45">
      <c r="A23" t="s">
        <v>15</v>
      </c>
      <c r="B23">
        <v>8.8797852769999999</v>
      </c>
      <c r="C23">
        <v>8.9475414059999991</v>
      </c>
      <c r="D23">
        <f t="shared" si="0"/>
        <v>6.7756128999999277E-2</v>
      </c>
      <c r="E23">
        <f t="shared" si="1"/>
        <v>6.7756128999999277E-2</v>
      </c>
      <c r="F23">
        <f t="shared" si="2"/>
        <v>4.5908930170645429E-3</v>
      </c>
      <c r="I23">
        <v>8.8797852769999999</v>
      </c>
    </row>
    <row r="24" spans="1:47" x14ac:dyDescent="0.45">
      <c r="A24" t="s">
        <v>16</v>
      </c>
      <c r="B24">
        <v>5.8228069959999997</v>
      </c>
      <c r="C24">
        <v>6.1318284790000002</v>
      </c>
      <c r="D24">
        <f t="shared" si="0"/>
        <v>0.30902148300000043</v>
      </c>
      <c r="E24">
        <f t="shared" si="1"/>
        <v>0.30902148300000043</v>
      </c>
      <c r="F24">
        <f t="shared" si="2"/>
        <v>9.5494276955519555E-2</v>
      </c>
      <c r="I24">
        <v>5.8228069959999997</v>
      </c>
    </row>
    <row r="25" spans="1:47" x14ac:dyDescent="0.45">
      <c r="A25" t="s">
        <v>17</v>
      </c>
      <c r="B25">
        <v>5.8662954269999998</v>
      </c>
      <c r="C25">
        <v>6.1166930150000001</v>
      </c>
      <c r="D25">
        <f t="shared" si="0"/>
        <v>0.25039758800000023</v>
      </c>
      <c r="E25">
        <f t="shared" si="1"/>
        <v>0.25039758800000023</v>
      </c>
      <c r="F25">
        <f t="shared" si="2"/>
        <v>6.2698952076217854E-2</v>
      </c>
      <c r="I25">
        <v>5.8662954269999998</v>
      </c>
    </row>
    <row r="26" spans="1:47" x14ac:dyDescent="0.45">
      <c r="A26" t="s">
        <v>18</v>
      </c>
      <c r="B26">
        <v>6.4843307970000001</v>
      </c>
      <c r="C26">
        <v>6.2040710309999998</v>
      </c>
      <c r="D26">
        <f t="shared" si="0"/>
        <v>-0.28025976600000035</v>
      </c>
      <c r="E26">
        <f t="shared" si="1"/>
        <v>0.28025976600000035</v>
      </c>
      <c r="F26">
        <f t="shared" si="2"/>
        <v>7.854553643837496E-2</v>
      </c>
      <c r="I26">
        <v>6.4843307970000001</v>
      </c>
    </row>
    <row r="27" spans="1:47" x14ac:dyDescent="0.45">
      <c r="A27" t="s">
        <v>19</v>
      </c>
      <c r="B27">
        <v>7.695628986</v>
      </c>
      <c r="C27">
        <v>7.8811112730000001</v>
      </c>
      <c r="D27">
        <f t="shared" si="0"/>
        <v>0.18548228700000013</v>
      </c>
      <c r="E27">
        <f t="shared" si="1"/>
        <v>0.18548228700000013</v>
      </c>
      <c r="F27">
        <f t="shared" si="2"/>
        <v>3.4403678790750417E-2</v>
      </c>
      <c r="I27">
        <v>7.695628986</v>
      </c>
    </row>
    <row r="28" spans="1:47" x14ac:dyDescent="0.45">
      <c r="A28" t="s">
        <v>20</v>
      </c>
      <c r="B28">
        <v>8.1809079530000002</v>
      </c>
      <c r="C28">
        <v>8.3771338340000003</v>
      </c>
      <c r="D28">
        <f t="shared" si="0"/>
        <v>0.19622588100000016</v>
      </c>
      <c r="E28">
        <f t="shared" si="1"/>
        <v>0.19622588100000016</v>
      </c>
      <c r="F28">
        <f t="shared" si="2"/>
        <v>3.8504596374226222E-2</v>
      </c>
      <c r="I28">
        <v>8.1809079530000002</v>
      </c>
    </row>
    <row r="29" spans="1:47" x14ac:dyDescent="0.45">
      <c r="A29" t="s">
        <v>21</v>
      </c>
      <c r="B29">
        <v>9.0536818290000003</v>
      </c>
      <c r="C29">
        <v>8.2594594969999999</v>
      </c>
      <c r="D29">
        <f t="shared" si="0"/>
        <v>-0.79422233200000036</v>
      </c>
      <c r="E29">
        <f t="shared" si="1"/>
        <v>0.79422233200000036</v>
      </c>
      <c r="F29">
        <f t="shared" si="2"/>
        <v>0.6307891126475188</v>
      </c>
      <c r="I29">
        <v>9.0536818290000003</v>
      </c>
    </row>
    <row r="30" spans="1:47" x14ac:dyDescent="0.45">
      <c r="A30" t="s">
        <v>22</v>
      </c>
      <c r="B30">
        <v>11.911038319999999</v>
      </c>
      <c r="C30">
        <v>11.77987319</v>
      </c>
      <c r="D30">
        <f t="shared" si="0"/>
        <v>-0.13116512999999941</v>
      </c>
      <c r="E30">
        <f t="shared" si="1"/>
        <v>0.13116512999999941</v>
      </c>
      <c r="F30">
        <f t="shared" si="2"/>
        <v>1.7204291327916746E-2</v>
      </c>
      <c r="I30">
        <v>11.911038319999999</v>
      </c>
    </row>
    <row r="31" spans="1:47" x14ac:dyDescent="0.45">
      <c r="A31" t="s">
        <v>23</v>
      </c>
      <c r="B31">
        <v>10.574965219999999</v>
      </c>
      <c r="C31">
        <v>10.78912789</v>
      </c>
      <c r="D31">
        <f t="shared" si="0"/>
        <v>0.21416267000000033</v>
      </c>
      <c r="E31">
        <f t="shared" si="1"/>
        <v>0.21416267000000033</v>
      </c>
      <c r="F31">
        <f t="shared" si="2"/>
        <v>4.586564922152904E-2</v>
      </c>
      <c r="I31">
        <v>10.574965219999999</v>
      </c>
    </row>
    <row r="32" spans="1:47" x14ac:dyDescent="0.45">
      <c r="A32" t="s">
        <v>24</v>
      </c>
      <c r="B32">
        <v>10.456304149999999</v>
      </c>
      <c r="C32">
        <v>9.7094118349999992</v>
      </c>
      <c r="D32">
        <f t="shared" si="0"/>
        <v>-0.7468923150000002</v>
      </c>
      <c r="E32">
        <f t="shared" si="1"/>
        <v>0.7468923150000002</v>
      </c>
      <c r="F32">
        <f t="shared" si="2"/>
        <v>0.5578481302060595</v>
      </c>
      <c r="I32">
        <v>10.456304149999999</v>
      </c>
    </row>
    <row r="33" spans="1:9" x14ac:dyDescent="0.45">
      <c r="A33" t="s">
        <v>25</v>
      </c>
      <c r="B33">
        <v>7.9638048850000001</v>
      </c>
      <c r="C33">
        <v>8.2345712649999996</v>
      </c>
      <c r="D33">
        <f t="shared" si="0"/>
        <v>0.27076637999999953</v>
      </c>
      <c r="E33">
        <f t="shared" si="1"/>
        <v>0.27076637999999953</v>
      </c>
      <c r="F33">
        <f t="shared" si="2"/>
        <v>7.331443253830415E-2</v>
      </c>
      <c r="I33">
        <v>7.9638048850000001</v>
      </c>
    </row>
    <row r="34" spans="1:9" x14ac:dyDescent="0.45">
      <c r="A34" t="s">
        <v>26</v>
      </c>
      <c r="B34">
        <v>8.6414657310000003</v>
      </c>
      <c r="C34">
        <v>9.6282736920000005</v>
      </c>
      <c r="D34">
        <f t="shared" si="0"/>
        <v>0.98680796100000023</v>
      </c>
      <c r="E34">
        <f t="shared" si="1"/>
        <v>0.98680796100000023</v>
      </c>
      <c r="F34">
        <f t="shared" si="2"/>
        <v>0.97378995189297801</v>
      </c>
      <c r="I34">
        <v>8.6414657310000003</v>
      </c>
    </row>
    <row r="35" spans="1:9" x14ac:dyDescent="0.45">
      <c r="A35" t="s">
        <v>27</v>
      </c>
      <c r="B35">
        <v>8.3213122810000009</v>
      </c>
      <c r="C35">
        <v>8.5955296879999992</v>
      </c>
      <c r="D35">
        <f t="shared" si="0"/>
        <v>0.2742174069999983</v>
      </c>
      <c r="E35">
        <f t="shared" si="1"/>
        <v>0.2742174069999983</v>
      </c>
      <c r="F35">
        <f t="shared" si="2"/>
        <v>7.5195186301802719E-2</v>
      </c>
      <c r="I35">
        <v>8.3213122810000009</v>
      </c>
    </row>
    <row r="36" spans="1:9" x14ac:dyDescent="0.45">
      <c r="A36" t="s">
        <v>28</v>
      </c>
      <c r="B36">
        <v>8.9020650529999994</v>
      </c>
      <c r="C36">
        <v>9.0728210160000007</v>
      </c>
      <c r="D36">
        <f t="shared" si="0"/>
        <v>0.17075596300000129</v>
      </c>
      <c r="E36">
        <f t="shared" si="1"/>
        <v>0.17075596300000129</v>
      </c>
      <c r="F36">
        <f t="shared" si="2"/>
        <v>2.9157598900057809E-2</v>
      </c>
      <c r="I36">
        <v>8.9020650529999994</v>
      </c>
    </row>
    <row r="37" spans="1:9" x14ac:dyDescent="0.45">
      <c r="A37" t="s">
        <v>126</v>
      </c>
      <c r="B37">
        <v>8.0867563830000009</v>
      </c>
      <c r="C37">
        <v>9.0800418290000007</v>
      </c>
      <c r="D37">
        <f t="shared" si="0"/>
        <v>0.99328544599999979</v>
      </c>
      <c r="E37">
        <f t="shared" si="1"/>
        <v>0.99328544599999979</v>
      </c>
      <c r="F37">
        <f t="shared" si="2"/>
        <v>0.9866159772354185</v>
      </c>
      <c r="I37">
        <v>8.0867563830000009</v>
      </c>
    </row>
    <row r="38" spans="1:9" x14ac:dyDescent="0.45">
      <c r="A38" t="s">
        <v>29</v>
      </c>
      <c r="B38">
        <v>8.2191297320000007</v>
      </c>
      <c r="C38">
        <v>8.5363958029999996</v>
      </c>
      <c r="D38">
        <f t="shared" si="0"/>
        <v>0.31726607099999882</v>
      </c>
      <c r="E38">
        <f t="shared" si="1"/>
        <v>0.31726607099999882</v>
      </c>
      <c r="F38">
        <f t="shared" si="2"/>
        <v>0.10065775980777629</v>
      </c>
      <c r="I38">
        <v>8.2191297320000007</v>
      </c>
    </row>
    <row r="39" spans="1:9" x14ac:dyDescent="0.45">
      <c r="A39" t="s">
        <v>30</v>
      </c>
      <c r="B39">
        <v>8.3929945650000004</v>
      </c>
      <c r="C39">
        <v>8.7022732739999995</v>
      </c>
      <c r="D39">
        <f t="shared" si="0"/>
        <v>0.3092787089999991</v>
      </c>
      <c r="E39">
        <f t="shared" si="1"/>
        <v>0.3092787089999991</v>
      </c>
      <c r="F39">
        <f t="shared" si="2"/>
        <v>9.5653319840706116E-2</v>
      </c>
      <c r="I39">
        <v>8.3929945650000004</v>
      </c>
    </row>
    <row r="40" spans="1:9" x14ac:dyDescent="0.45">
      <c r="A40" t="s">
        <v>31</v>
      </c>
      <c r="B40">
        <v>6.9372845740000004</v>
      </c>
      <c r="C40">
        <v>7.1178664679999999</v>
      </c>
      <c r="D40">
        <f t="shared" si="0"/>
        <v>0.18058189399999947</v>
      </c>
      <c r="E40">
        <f t="shared" si="1"/>
        <v>0.18058189399999947</v>
      </c>
      <c r="F40">
        <f t="shared" si="2"/>
        <v>3.2609820440627039E-2</v>
      </c>
      <c r="I40">
        <v>6.9372845740000004</v>
      </c>
    </row>
    <row r="41" spans="1:9" x14ac:dyDescent="0.45">
      <c r="A41" t="s">
        <v>127</v>
      </c>
      <c r="B41">
        <v>8.8075263439999993</v>
      </c>
      <c r="C41">
        <v>9.0110656910000007</v>
      </c>
      <c r="D41">
        <f t="shared" si="0"/>
        <v>0.20353934700000131</v>
      </c>
      <c r="E41">
        <f t="shared" si="1"/>
        <v>0.20353934700000131</v>
      </c>
      <c r="F41">
        <f t="shared" si="2"/>
        <v>4.1428265777186946E-2</v>
      </c>
      <c r="I41">
        <v>8.8075263439999993</v>
      </c>
    </row>
    <row r="42" spans="1:9" x14ac:dyDescent="0.45">
      <c r="A42" t="s">
        <v>128</v>
      </c>
      <c r="B42">
        <v>7.5423412760000001</v>
      </c>
      <c r="C42">
        <v>7.6500469320000004</v>
      </c>
      <c r="D42">
        <f t="shared" si="0"/>
        <v>0.10770565600000026</v>
      </c>
      <c r="E42">
        <f t="shared" si="1"/>
        <v>0.10770565600000026</v>
      </c>
      <c r="F42">
        <f t="shared" si="2"/>
        <v>1.1600508334390393E-2</v>
      </c>
      <c r="I42">
        <v>7.5423412760000001</v>
      </c>
    </row>
    <row r="43" spans="1:9" x14ac:dyDescent="0.45">
      <c r="A43" t="s">
        <v>32</v>
      </c>
      <c r="B43">
        <v>6.9554189769999999</v>
      </c>
      <c r="C43">
        <v>6.5963790329999998</v>
      </c>
      <c r="D43">
        <f t="shared" si="0"/>
        <v>-0.35903994400000006</v>
      </c>
      <c r="E43">
        <f t="shared" si="1"/>
        <v>0.35903994400000006</v>
      </c>
      <c r="F43">
        <f t="shared" si="2"/>
        <v>0.12890968138752318</v>
      </c>
      <c r="I43">
        <v>6.9554189769999999</v>
      </c>
    </row>
    <row r="44" spans="1:9" x14ac:dyDescent="0.45">
      <c r="A44" t="s">
        <v>33</v>
      </c>
      <c r="B44">
        <v>6.8617756959999996</v>
      </c>
      <c r="C44">
        <v>6.9364995560000002</v>
      </c>
      <c r="D44">
        <f t="shared" si="0"/>
        <v>7.4723860000000641E-2</v>
      </c>
      <c r="E44">
        <f t="shared" si="1"/>
        <v>7.4723860000000641E-2</v>
      </c>
      <c r="F44">
        <f t="shared" si="2"/>
        <v>5.5836552532996962E-3</v>
      </c>
      <c r="I44">
        <v>6.8617756959999996</v>
      </c>
    </row>
    <row r="45" spans="1:9" x14ac:dyDescent="0.45">
      <c r="A45" t="s">
        <v>34</v>
      </c>
      <c r="B45">
        <v>7.850518385</v>
      </c>
      <c r="C45">
        <v>7.6748389169999998</v>
      </c>
      <c r="D45">
        <f t="shared" si="0"/>
        <v>-0.17567946800000023</v>
      </c>
      <c r="E45">
        <f t="shared" si="1"/>
        <v>0.17567946800000023</v>
      </c>
      <c r="F45">
        <f t="shared" si="2"/>
        <v>3.0863275476763104E-2</v>
      </c>
      <c r="I45">
        <v>7.850518385</v>
      </c>
    </row>
    <row r="46" spans="1:9" x14ac:dyDescent="0.45">
      <c r="A46" t="s">
        <v>35</v>
      </c>
      <c r="B46">
        <v>6.833138537</v>
      </c>
      <c r="C46">
        <v>7.0411650520000002</v>
      </c>
      <c r="D46">
        <f t="shared" si="0"/>
        <v>0.20802651500000024</v>
      </c>
      <c r="E46">
        <f t="shared" si="1"/>
        <v>0.20802651500000024</v>
      </c>
      <c r="F46">
        <f t="shared" si="2"/>
        <v>4.3275030943045328E-2</v>
      </c>
      <c r="I46">
        <v>6.833138537</v>
      </c>
    </row>
    <row r="47" spans="1:9" x14ac:dyDescent="0.45">
      <c r="A47" t="s">
        <v>36</v>
      </c>
      <c r="B47">
        <v>7.152141576</v>
      </c>
      <c r="C47">
        <v>7.4163099109999999</v>
      </c>
      <c r="D47">
        <f t="shared" si="0"/>
        <v>0.26416833499999992</v>
      </c>
      <c r="E47">
        <f t="shared" si="1"/>
        <v>0.26416833499999992</v>
      </c>
      <c r="F47">
        <f t="shared" si="2"/>
        <v>6.9784909216672186E-2</v>
      </c>
      <c r="I47">
        <v>7.152141576</v>
      </c>
    </row>
    <row r="48" spans="1:9" x14ac:dyDescent="0.45">
      <c r="A48" t="s">
        <v>37</v>
      </c>
      <c r="B48">
        <v>9.6558912130000003</v>
      </c>
      <c r="C48">
        <v>9.5410028810000007</v>
      </c>
      <c r="D48">
        <f t="shared" si="0"/>
        <v>-0.11488833199999959</v>
      </c>
      <c r="E48">
        <f t="shared" si="1"/>
        <v>0.11488833199999959</v>
      </c>
      <c r="F48">
        <f t="shared" si="2"/>
        <v>1.3199328829742131E-2</v>
      </c>
      <c r="I48">
        <v>9.6558912130000003</v>
      </c>
    </row>
    <row r="49" spans="1:9" x14ac:dyDescent="0.45">
      <c r="A49" t="s">
        <v>38</v>
      </c>
      <c r="B49">
        <v>7.1393378390000004</v>
      </c>
      <c r="C49">
        <v>7.1406184660000003</v>
      </c>
      <c r="D49">
        <f t="shared" si="0"/>
        <v>1.2806269999998676E-3</v>
      </c>
      <c r="E49">
        <f t="shared" si="1"/>
        <v>1.2806269999998676E-3</v>
      </c>
      <c r="F49">
        <f t="shared" si="2"/>
        <v>1.6400055131286609E-6</v>
      </c>
      <c r="I49">
        <v>7.1393378390000004</v>
      </c>
    </row>
    <row r="50" spans="1:9" x14ac:dyDescent="0.45">
      <c r="A50" t="s">
        <v>39</v>
      </c>
      <c r="B50">
        <v>8.8236780560000003</v>
      </c>
      <c r="C50">
        <v>8.6460097979999997</v>
      </c>
      <c r="D50">
        <f t="shared" si="0"/>
        <v>-0.17766825800000063</v>
      </c>
      <c r="E50">
        <f t="shared" si="1"/>
        <v>0.17766825800000063</v>
      </c>
      <c r="F50">
        <f t="shared" si="2"/>
        <v>3.1566009900754789E-2</v>
      </c>
      <c r="I50">
        <v>8.8236780560000003</v>
      </c>
    </row>
    <row r="51" spans="1:9" x14ac:dyDescent="0.45">
      <c r="A51" t="s">
        <v>40</v>
      </c>
      <c r="B51">
        <v>7.8365664050000001</v>
      </c>
      <c r="C51">
        <v>8.1017390640000002</v>
      </c>
      <c r="D51">
        <f t="shared" si="0"/>
        <v>0.26517265900000009</v>
      </c>
      <c r="E51">
        <f t="shared" si="1"/>
        <v>0.26517265900000009</v>
      </c>
      <c r="F51">
        <f t="shared" si="2"/>
        <v>7.0316539081130322E-2</v>
      </c>
      <c r="I51">
        <v>7.8365664050000001</v>
      </c>
    </row>
    <row r="52" spans="1:9" x14ac:dyDescent="0.45">
      <c r="A52" t="s">
        <v>41</v>
      </c>
      <c r="B52">
        <v>7.934220152</v>
      </c>
      <c r="C52">
        <v>7.1743735080000004</v>
      </c>
      <c r="D52">
        <f t="shared" si="0"/>
        <v>-0.75984664399999957</v>
      </c>
      <c r="E52">
        <f t="shared" si="1"/>
        <v>0.75984664399999957</v>
      </c>
      <c r="F52">
        <f t="shared" si="2"/>
        <v>0.57736692239806209</v>
      </c>
      <c r="I52">
        <v>7.934220152</v>
      </c>
    </row>
    <row r="53" spans="1:9" x14ac:dyDescent="0.45">
      <c r="A53" t="s">
        <v>42</v>
      </c>
      <c r="B53">
        <v>6.9357153010000001</v>
      </c>
      <c r="C53">
        <v>7.2860229539999999</v>
      </c>
      <c r="D53">
        <f t="shared" si="0"/>
        <v>0.35030765299999977</v>
      </c>
      <c r="E53">
        <f t="shared" si="1"/>
        <v>0.35030765299999977</v>
      </c>
      <c r="F53">
        <f t="shared" si="2"/>
        <v>0.12271545175036826</v>
      </c>
      <c r="I53">
        <v>6.9357153010000001</v>
      </c>
    </row>
    <row r="54" spans="1:9" x14ac:dyDescent="0.45">
      <c r="A54" t="s">
        <v>43</v>
      </c>
      <c r="B54">
        <v>6.7761871410000003</v>
      </c>
      <c r="C54">
        <v>6.7770463129999996</v>
      </c>
      <c r="D54">
        <f t="shared" si="0"/>
        <v>8.591719999992975E-4</v>
      </c>
      <c r="E54">
        <f t="shared" si="1"/>
        <v>8.591719999992975E-4</v>
      </c>
      <c r="F54">
        <f t="shared" si="2"/>
        <v>7.3817652558279282E-7</v>
      </c>
      <c r="I54">
        <v>6.7761871410000003</v>
      </c>
    </row>
    <row r="55" spans="1:9" x14ac:dyDescent="0.45">
      <c r="A55" t="s">
        <v>44</v>
      </c>
      <c r="B55">
        <v>7.0213043449999999</v>
      </c>
      <c r="C55">
        <v>6.9240986739999997</v>
      </c>
      <c r="D55">
        <f t="shared" si="0"/>
        <v>-9.7205671000000216E-2</v>
      </c>
      <c r="E55">
        <f t="shared" si="1"/>
        <v>9.7205671000000216E-2</v>
      </c>
      <c r="F55">
        <f t="shared" si="2"/>
        <v>9.4489424745602835E-3</v>
      </c>
      <c r="I55">
        <v>7.0213043449999999</v>
      </c>
    </row>
    <row r="56" spans="1:9" x14ac:dyDescent="0.45">
      <c r="A56" t="s">
        <v>45</v>
      </c>
      <c r="B56">
        <v>8.4426630449999998</v>
      </c>
      <c r="C56">
        <v>8.3699809849999998</v>
      </c>
      <c r="D56">
        <f t="shared" si="0"/>
        <v>-7.2682059999999993E-2</v>
      </c>
      <c r="E56">
        <f t="shared" si="1"/>
        <v>7.2682059999999993E-2</v>
      </c>
      <c r="F56">
        <f t="shared" si="2"/>
        <v>5.2826818458435992E-3</v>
      </c>
      <c r="I56">
        <v>8.4426630449999998</v>
      </c>
    </row>
    <row r="57" spans="1:9" x14ac:dyDescent="0.45">
      <c r="A57" t="s">
        <v>46</v>
      </c>
      <c r="B57">
        <v>7.6971382960000003</v>
      </c>
      <c r="C57">
        <v>7.3456383790000004</v>
      </c>
      <c r="D57">
        <f t="shared" si="0"/>
        <v>-0.35149991699999994</v>
      </c>
      <c r="E57">
        <f t="shared" si="1"/>
        <v>0.35149991699999994</v>
      </c>
      <c r="F57">
        <f t="shared" si="2"/>
        <v>0.12355219165100685</v>
      </c>
      <c r="I57">
        <v>7.6971382960000003</v>
      </c>
    </row>
    <row r="58" spans="1:9" x14ac:dyDescent="0.45">
      <c r="A58" t="s">
        <v>47</v>
      </c>
      <c r="B58">
        <v>8.0784781189999997</v>
      </c>
      <c r="C58">
        <v>8.1137398780000005</v>
      </c>
      <c r="D58">
        <f t="shared" si="0"/>
        <v>3.5261759000000836E-2</v>
      </c>
      <c r="E58">
        <f t="shared" si="1"/>
        <v>3.5261759000000836E-2</v>
      </c>
      <c r="F58">
        <f t="shared" si="2"/>
        <v>1.24339164777414E-3</v>
      </c>
      <c r="I58">
        <v>8.0784781189999997</v>
      </c>
    </row>
    <row r="59" spans="1:9" x14ac:dyDescent="0.45">
      <c r="A59" t="s">
        <v>48</v>
      </c>
      <c r="B59">
        <v>7.5813391220000002</v>
      </c>
      <c r="C59">
        <v>7.8855737680000004</v>
      </c>
      <c r="D59">
        <f t="shared" si="0"/>
        <v>0.30423464600000028</v>
      </c>
      <c r="E59">
        <f t="shared" si="1"/>
        <v>0.30423464600000028</v>
      </c>
      <c r="F59">
        <f t="shared" si="2"/>
        <v>9.2558719826745489E-2</v>
      </c>
      <c r="I59">
        <v>7.5813391220000002</v>
      </c>
    </row>
    <row r="60" spans="1:9" x14ac:dyDescent="0.45">
      <c r="A60" t="s">
        <v>49</v>
      </c>
      <c r="B60">
        <v>8.3716305250000005</v>
      </c>
      <c r="C60">
        <v>8.9048397769999994</v>
      </c>
      <c r="D60">
        <f t="shared" si="0"/>
        <v>0.53320925199999891</v>
      </c>
      <c r="E60">
        <f t="shared" si="1"/>
        <v>0.53320925199999891</v>
      </c>
      <c r="F60">
        <f t="shared" si="2"/>
        <v>0.28431210641839832</v>
      </c>
      <c r="I60">
        <v>8.3716305250000005</v>
      </c>
    </row>
    <row r="61" spans="1:9" x14ac:dyDescent="0.45">
      <c r="A61" t="s">
        <v>50</v>
      </c>
      <c r="B61">
        <v>10.4809529</v>
      </c>
      <c r="C61">
        <v>11.34251068</v>
      </c>
      <c r="D61">
        <f t="shared" si="0"/>
        <v>0.86155778000000005</v>
      </c>
      <c r="E61">
        <f t="shared" si="1"/>
        <v>0.86155778000000005</v>
      </c>
      <c r="F61">
        <f t="shared" si="2"/>
        <v>0.74228180827852852</v>
      </c>
      <c r="I61">
        <v>10.4809529</v>
      </c>
    </row>
    <row r="62" spans="1:9" x14ac:dyDescent="0.45">
      <c r="A62" t="s">
        <v>51</v>
      </c>
      <c r="B62">
        <v>6.8307855420000001</v>
      </c>
      <c r="C62">
        <v>7.0224754379999998</v>
      </c>
      <c r="D62">
        <f t="shared" si="0"/>
        <v>0.19168989599999975</v>
      </c>
      <c r="E62">
        <f t="shared" si="1"/>
        <v>0.19168989599999975</v>
      </c>
      <c r="F62">
        <f t="shared" si="2"/>
        <v>3.6745016228490718E-2</v>
      </c>
      <c r="I62">
        <v>6.8307855420000001</v>
      </c>
    </row>
    <row r="63" spans="1:9" x14ac:dyDescent="0.45">
      <c r="A63" t="s">
        <v>52</v>
      </c>
      <c r="B63">
        <v>8.9471284610000001</v>
      </c>
      <c r="C63">
        <v>9.1986160649999995</v>
      </c>
      <c r="D63">
        <f t="shared" si="0"/>
        <v>0.25148760399999937</v>
      </c>
      <c r="E63">
        <f t="shared" si="1"/>
        <v>0.25148760399999937</v>
      </c>
      <c r="F63">
        <f t="shared" si="2"/>
        <v>6.3246014965660499E-2</v>
      </c>
      <c r="I63">
        <v>8.9471284610000001</v>
      </c>
    </row>
    <row r="64" spans="1:9" x14ac:dyDescent="0.45">
      <c r="A64" t="s">
        <v>53</v>
      </c>
      <c r="B64">
        <v>10.95523721</v>
      </c>
      <c r="C64">
        <v>11.35027886</v>
      </c>
      <c r="D64">
        <f t="shared" si="0"/>
        <v>0.39504164999999958</v>
      </c>
      <c r="E64">
        <f t="shared" si="1"/>
        <v>0.39504164999999958</v>
      </c>
      <c r="F64">
        <f t="shared" si="2"/>
        <v>0.15605790523472216</v>
      </c>
      <c r="I64">
        <v>10.95523721</v>
      </c>
    </row>
    <row r="65" spans="1:9" x14ac:dyDescent="0.45">
      <c r="A65" t="s">
        <v>129</v>
      </c>
      <c r="B65">
        <v>7.3567297030000001</v>
      </c>
      <c r="C65">
        <v>7.3220855670000002</v>
      </c>
      <c r="D65">
        <f t="shared" si="0"/>
        <v>-3.4644135999999826E-2</v>
      </c>
      <c r="E65">
        <f t="shared" si="1"/>
        <v>3.4644135999999826E-2</v>
      </c>
      <c r="F65">
        <f t="shared" si="2"/>
        <v>1.2002161591864839E-3</v>
      </c>
      <c r="I65">
        <v>7.3567297030000001</v>
      </c>
    </row>
    <row r="66" spans="1:9" x14ac:dyDescent="0.45">
      <c r="A66" t="s">
        <v>130</v>
      </c>
      <c r="B66">
        <v>7.6014109190000001</v>
      </c>
      <c r="C66">
        <v>7.6360981570000002</v>
      </c>
      <c r="D66">
        <f t="shared" si="0"/>
        <v>3.4687238000000065E-2</v>
      </c>
      <c r="E66">
        <f t="shared" si="1"/>
        <v>3.4687238000000065E-2</v>
      </c>
      <c r="F66">
        <f t="shared" si="2"/>
        <v>1.2032044800686485E-3</v>
      </c>
      <c r="I66">
        <v>7.6014109190000001</v>
      </c>
    </row>
    <row r="67" spans="1:9" x14ac:dyDescent="0.45">
      <c r="A67" t="s">
        <v>54</v>
      </c>
      <c r="B67">
        <v>8.1889392409999999</v>
      </c>
      <c r="C67">
        <v>7.8330955040000001</v>
      </c>
      <c r="D67">
        <f t="shared" ref="D67:D130" si="3">(C67-B67)</f>
        <v>-0.35584373699999983</v>
      </c>
      <c r="E67">
        <f t="shared" ref="E67:E130" si="4">ABS(D67)</f>
        <v>0.35584373699999983</v>
      </c>
      <c r="F67">
        <f t="shared" ref="F67:F130" si="5">E67^2</f>
        <v>0.12662476516212504</v>
      </c>
      <c r="I67">
        <v>8.1889392409999999</v>
      </c>
    </row>
    <row r="68" spans="1:9" x14ac:dyDescent="0.45">
      <c r="A68" t="s">
        <v>55</v>
      </c>
      <c r="B68">
        <v>7.7557359330000004</v>
      </c>
      <c r="C68">
        <v>8.2487511579999993</v>
      </c>
      <c r="D68">
        <f t="shared" si="3"/>
        <v>0.49301522499999884</v>
      </c>
      <c r="E68">
        <f t="shared" si="4"/>
        <v>0.49301522499999884</v>
      </c>
      <c r="F68">
        <f t="shared" si="5"/>
        <v>0.24306401208179948</v>
      </c>
      <c r="I68">
        <v>7.7557359330000004</v>
      </c>
    </row>
    <row r="69" spans="1:9" x14ac:dyDescent="0.45">
      <c r="A69" t="s">
        <v>56</v>
      </c>
      <c r="B69">
        <v>7.2398641179999998</v>
      </c>
      <c r="C69">
        <v>7.368072658</v>
      </c>
      <c r="D69">
        <f t="shared" si="3"/>
        <v>0.12820854000000015</v>
      </c>
      <c r="E69">
        <f t="shared" si="4"/>
        <v>0.12820854000000015</v>
      </c>
      <c r="F69">
        <f t="shared" si="5"/>
        <v>1.6437429728931637E-2</v>
      </c>
      <c r="I69">
        <v>7.2398641179999998</v>
      </c>
    </row>
    <row r="70" spans="1:9" x14ac:dyDescent="0.45">
      <c r="A70" t="s">
        <v>57</v>
      </c>
      <c r="B70">
        <v>7.6256057210000003</v>
      </c>
      <c r="C70">
        <v>7.9804981130000003</v>
      </c>
      <c r="D70">
        <f t="shared" si="3"/>
        <v>0.354892392</v>
      </c>
      <c r="E70">
        <f t="shared" si="4"/>
        <v>0.354892392</v>
      </c>
      <c r="F70">
        <f t="shared" si="5"/>
        <v>0.12594860989948167</v>
      </c>
      <c r="I70">
        <v>7.6256057210000003</v>
      </c>
    </row>
    <row r="71" spans="1:9" x14ac:dyDescent="0.45">
      <c r="A71" t="s">
        <v>58</v>
      </c>
      <c r="B71">
        <v>7.649455025</v>
      </c>
      <c r="C71">
        <v>7.7504999510000001</v>
      </c>
      <c r="D71">
        <f t="shared" si="3"/>
        <v>0.10104492600000015</v>
      </c>
      <c r="E71">
        <f t="shared" si="4"/>
        <v>0.10104492600000015</v>
      </c>
      <c r="F71">
        <f t="shared" si="5"/>
        <v>1.0210077070345505E-2</v>
      </c>
      <c r="I71">
        <v>7.649455025</v>
      </c>
    </row>
    <row r="72" spans="1:9" x14ac:dyDescent="0.45">
      <c r="A72" t="s">
        <v>131</v>
      </c>
      <c r="B72">
        <v>6.6478187850000001</v>
      </c>
      <c r="C72">
        <v>6.6562436280000004</v>
      </c>
      <c r="D72">
        <f t="shared" si="3"/>
        <v>8.4248430000002372E-3</v>
      </c>
      <c r="E72">
        <f t="shared" si="4"/>
        <v>8.4248430000002372E-3</v>
      </c>
      <c r="F72">
        <f t="shared" si="5"/>
        <v>7.0977979574652996E-5</v>
      </c>
      <c r="I72">
        <v>6.6478187850000001</v>
      </c>
    </row>
    <row r="73" spans="1:9" x14ac:dyDescent="0.45">
      <c r="A73" t="s">
        <v>132</v>
      </c>
      <c r="B73">
        <v>7.608658417</v>
      </c>
      <c r="C73">
        <v>7.6231366999999999</v>
      </c>
      <c r="D73">
        <f t="shared" si="3"/>
        <v>1.447828299999987E-2</v>
      </c>
      <c r="E73">
        <f t="shared" si="4"/>
        <v>1.447828299999987E-2</v>
      </c>
      <c r="F73">
        <f t="shared" si="5"/>
        <v>2.0962067862808522E-4</v>
      </c>
      <c r="I73">
        <v>7.608658417</v>
      </c>
    </row>
    <row r="74" spans="1:9" x14ac:dyDescent="0.45">
      <c r="A74" t="s">
        <v>133</v>
      </c>
      <c r="B74">
        <v>6.9114836999999998</v>
      </c>
      <c r="C74">
        <v>7.3084553100000003</v>
      </c>
      <c r="D74">
        <f t="shared" si="3"/>
        <v>0.39697161000000047</v>
      </c>
      <c r="E74">
        <f t="shared" si="4"/>
        <v>0.39697161000000047</v>
      </c>
      <c r="F74">
        <f t="shared" si="5"/>
        <v>0.15758645914599248</v>
      </c>
      <c r="I74">
        <v>6.9114836999999998</v>
      </c>
    </row>
    <row r="75" spans="1:9" x14ac:dyDescent="0.45">
      <c r="A75" t="s">
        <v>59</v>
      </c>
      <c r="B75">
        <v>8.4127463290000009</v>
      </c>
      <c r="C75">
        <v>8.6628341449999997</v>
      </c>
      <c r="D75">
        <f t="shared" si="3"/>
        <v>0.25008781599999885</v>
      </c>
      <c r="E75">
        <f t="shared" si="4"/>
        <v>0.25008781599999885</v>
      </c>
      <c r="F75">
        <f t="shared" si="5"/>
        <v>6.2543915711649287E-2</v>
      </c>
      <c r="I75">
        <v>8.4127463290000009</v>
      </c>
    </row>
    <row r="76" spans="1:9" x14ac:dyDescent="0.45">
      <c r="A76" t="s">
        <v>60</v>
      </c>
      <c r="B76">
        <v>7.4536065259999997</v>
      </c>
      <c r="C76">
        <v>7.4295215749999999</v>
      </c>
      <c r="D76">
        <f t="shared" si="3"/>
        <v>-2.4084950999999855E-2</v>
      </c>
      <c r="E76">
        <f t="shared" si="4"/>
        <v>2.4084950999999855E-2</v>
      </c>
      <c r="F76">
        <f t="shared" si="5"/>
        <v>5.8008486467239404E-4</v>
      </c>
      <c r="I76">
        <v>7.4536065259999997</v>
      </c>
    </row>
    <row r="77" spans="1:9" x14ac:dyDescent="0.45">
      <c r="A77" t="s">
        <v>61</v>
      </c>
      <c r="B77">
        <v>8.0939283639999999</v>
      </c>
      <c r="C77">
        <v>8.3160264119999994</v>
      </c>
      <c r="D77">
        <f t="shared" si="3"/>
        <v>0.22209804799999944</v>
      </c>
      <c r="E77">
        <f t="shared" si="4"/>
        <v>0.22209804799999944</v>
      </c>
      <c r="F77">
        <f t="shared" si="5"/>
        <v>4.9327542925410056E-2</v>
      </c>
      <c r="I77">
        <v>8.0939283639999999</v>
      </c>
    </row>
    <row r="78" spans="1:9" x14ac:dyDescent="0.45">
      <c r="A78" t="s">
        <v>62</v>
      </c>
      <c r="B78">
        <v>7.1012390590000001</v>
      </c>
      <c r="C78">
        <v>7.0710813430000004</v>
      </c>
      <c r="D78">
        <f t="shared" si="3"/>
        <v>-3.0157715999999724E-2</v>
      </c>
      <c r="E78">
        <f t="shared" si="4"/>
        <v>3.0157715999999724E-2</v>
      </c>
      <c r="F78">
        <f t="shared" si="5"/>
        <v>9.0948783433663933E-4</v>
      </c>
      <c r="I78">
        <v>7.1012390590000001</v>
      </c>
    </row>
    <row r="79" spans="1:9" x14ac:dyDescent="0.45">
      <c r="A79" t="s">
        <v>63</v>
      </c>
      <c r="B79">
        <v>9.1091433530000003</v>
      </c>
      <c r="C79">
        <v>9.4994829759999995</v>
      </c>
      <c r="D79">
        <f t="shared" si="3"/>
        <v>0.39033962299999914</v>
      </c>
      <c r="E79">
        <f t="shared" si="4"/>
        <v>0.39033962299999914</v>
      </c>
      <c r="F79">
        <f t="shared" si="5"/>
        <v>0.15236502128378146</v>
      </c>
      <c r="I79">
        <v>9.1091433530000003</v>
      </c>
    </row>
    <row r="80" spans="1:9" x14ac:dyDescent="0.45">
      <c r="A80" t="s">
        <v>64</v>
      </c>
      <c r="B80">
        <v>7.0708611909999997</v>
      </c>
      <c r="C80">
        <v>6.8855914370000004</v>
      </c>
      <c r="D80">
        <f t="shared" si="3"/>
        <v>-0.18526975399999923</v>
      </c>
      <c r="E80">
        <f t="shared" si="4"/>
        <v>0.18526975399999923</v>
      </c>
      <c r="F80">
        <f t="shared" si="5"/>
        <v>3.4324881747220232E-2</v>
      </c>
      <c r="I80">
        <v>7.0708611909999997</v>
      </c>
    </row>
    <row r="81" spans="1:9" x14ac:dyDescent="0.45">
      <c r="A81" t="s">
        <v>65</v>
      </c>
      <c r="B81">
        <v>7.0390853690000004</v>
      </c>
      <c r="C81">
        <v>7.2806670359999996</v>
      </c>
      <c r="D81">
        <f t="shared" si="3"/>
        <v>0.24158166699999928</v>
      </c>
      <c r="E81">
        <f t="shared" si="4"/>
        <v>0.24158166699999928</v>
      </c>
      <c r="F81">
        <f t="shared" si="5"/>
        <v>5.836170183049854E-2</v>
      </c>
      <c r="I81">
        <v>7.0390853690000004</v>
      </c>
    </row>
    <row r="82" spans="1:9" x14ac:dyDescent="0.45">
      <c r="A82" t="s">
        <v>66</v>
      </c>
      <c r="B82">
        <v>7.535967962</v>
      </c>
      <c r="C82">
        <v>7.2398474330000004</v>
      </c>
      <c r="D82">
        <f t="shared" si="3"/>
        <v>-0.29612052899999952</v>
      </c>
      <c r="E82">
        <f t="shared" si="4"/>
        <v>0.29612052899999952</v>
      </c>
      <c r="F82">
        <f t="shared" si="5"/>
        <v>8.7687367695239563E-2</v>
      </c>
      <c r="I82">
        <v>7.535967962</v>
      </c>
    </row>
    <row r="83" spans="1:9" x14ac:dyDescent="0.45">
      <c r="A83" t="s">
        <v>67</v>
      </c>
      <c r="B83">
        <v>6.8587769209999996</v>
      </c>
      <c r="C83">
        <v>6.9465084399999997</v>
      </c>
      <c r="D83">
        <f t="shared" si="3"/>
        <v>8.7731519000000091E-2</v>
      </c>
      <c r="E83">
        <f t="shared" si="4"/>
        <v>8.7731519000000091E-2</v>
      </c>
      <c r="F83">
        <f t="shared" si="5"/>
        <v>7.6968194260473768E-3</v>
      </c>
      <c r="I83">
        <v>6.8587769209999996</v>
      </c>
    </row>
    <row r="84" spans="1:9" x14ac:dyDescent="0.45">
      <c r="A84" t="s">
        <v>134</v>
      </c>
      <c r="B84">
        <v>7.8096380410000004</v>
      </c>
      <c r="C84">
        <v>8.5501105049999993</v>
      </c>
      <c r="D84">
        <f t="shared" si="3"/>
        <v>0.74047246399999889</v>
      </c>
      <c r="E84">
        <f t="shared" si="4"/>
        <v>0.74047246399999889</v>
      </c>
      <c r="F84">
        <f t="shared" si="5"/>
        <v>0.54829946994222967</v>
      </c>
      <c r="I84">
        <v>7.8096380410000004</v>
      </c>
    </row>
    <row r="85" spans="1:9" x14ac:dyDescent="0.45">
      <c r="A85" t="s">
        <v>135</v>
      </c>
      <c r="B85">
        <v>8.1305070980000007</v>
      </c>
      <c r="C85">
        <v>8.2392907389999994</v>
      </c>
      <c r="D85">
        <f t="shared" si="3"/>
        <v>0.10878364099999871</v>
      </c>
      <c r="E85">
        <f t="shared" si="4"/>
        <v>0.10878364099999871</v>
      </c>
      <c r="F85">
        <f t="shared" si="5"/>
        <v>1.1833880549216601E-2</v>
      </c>
      <c r="I85">
        <v>8.1305070980000007</v>
      </c>
    </row>
    <row r="86" spans="1:9" x14ac:dyDescent="0.45">
      <c r="A86" t="s">
        <v>136</v>
      </c>
      <c r="B86">
        <v>8.3292454080000002</v>
      </c>
      <c r="C86">
        <v>7.8780436109999998</v>
      </c>
      <c r="D86">
        <f t="shared" si="3"/>
        <v>-0.4512017970000004</v>
      </c>
      <c r="E86">
        <f t="shared" si="4"/>
        <v>0.4512017970000004</v>
      </c>
      <c r="F86">
        <f t="shared" si="5"/>
        <v>0.20358306161602957</v>
      </c>
      <c r="I86">
        <v>8.3292454080000002</v>
      </c>
    </row>
    <row r="87" spans="1:9" x14ac:dyDescent="0.45">
      <c r="A87" t="s">
        <v>137</v>
      </c>
      <c r="B87">
        <v>8.398034784</v>
      </c>
      <c r="C87">
        <v>7.8558063469999997</v>
      </c>
      <c r="D87">
        <f t="shared" si="3"/>
        <v>-0.54222843700000034</v>
      </c>
      <c r="E87">
        <f t="shared" si="4"/>
        <v>0.54222843700000034</v>
      </c>
      <c r="F87">
        <f t="shared" si="5"/>
        <v>0.29401167789146332</v>
      </c>
      <c r="I87">
        <v>8.398034784</v>
      </c>
    </row>
    <row r="88" spans="1:9" x14ac:dyDescent="0.45">
      <c r="A88" t="s">
        <v>138</v>
      </c>
      <c r="B88">
        <v>8.4411068710000006</v>
      </c>
      <c r="C88">
        <v>8.5601460169999992</v>
      </c>
      <c r="D88">
        <f t="shared" si="3"/>
        <v>0.11903914599999865</v>
      </c>
      <c r="E88">
        <f t="shared" si="4"/>
        <v>0.11903914599999865</v>
      </c>
      <c r="F88">
        <f t="shared" si="5"/>
        <v>1.4170318280408996E-2</v>
      </c>
      <c r="I88">
        <v>8.4411068710000006</v>
      </c>
    </row>
    <row r="89" spans="1:9" x14ac:dyDescent="0.45">
      <c r="A89" t="s">
        <v>68</v>
      </c>
      <c r="B89">
        <v>8.2309935299999992</v>
      </c>
      <c r="C89">
        <v>9.0603674079999994</v>
      </c>
      <c r="D89">
        <f t="shared" si="3"/>
        <v>0.82937387800000018</v>
      </c>
      <c r="E89">
        <f t="shared" si="4"/>
        <v>0.82937387800000018</v>
      </c>
      <c r="F89">
        <f t="shared" si="5"/>
        <v>0.68786102950875916</v>
      </c>
      <c r="I89">
        <v>8.2309935299999992</v>
      </c>
    </row>
    <row r="90" spans="1:9" x14ac:dyDescent="0.45">
      <c r="A90" t="s">
        <v>69</v>
      </c>
      <c r="B90">
        <v>5.7008304159999996</v>
      </c>
      <c r="C90">
        <v>6.1324568360000002</v>
      </c>
      <c r="D90">
        <f t="shared" si="3"/>
        <v>0.43162642000000062</v>
      </c>
      <c r="E90">
        <f t="shared" si="4"/>
        <v>0.43162642000000062</v>
      </c>
      <c r="F90">
        <f t="shared" si="5"/>
        <v>0.18630136644201695</v>
      </c>
      <c r="I90">
        <v>5.7008304159999996</v>
      </c>
    </row>
    <row r="91" spans="1:9" x14ac:dyDescent="0.45">
      <c r="A91" t="s">
        <v>70</v>
      </c>
      <c r="B91">
        <v>6.6998881590000003</v>
      </c>
      <c r="C91">
        <v>6.1352703560000004</v>
      </c>
      <c r="D91">
        <f t="shared" si="3"/>
        <v>-0.56461780299999997</v>
      </c>
      <c r="E91">
        <f t="shared" si="4"/>
        <v>0.56461780299999997</v>
      </c>
      <c r="F91">
        <f t="shared" si="5"/>
        <v>0.31879326346454678</v>
      </c>
      <c r="I91">
        <v>6.6998881590000003</v>
      </c>
    </row>
    <row r="92" spans="1:9" x14ac:dyDescent="0.45">
      <c r="A92" t="s">
        <v>71</v>
      </c>
      <c r="B92">
        <v>5.8953866289999999</v>
      </c>
      <c r="C92">
        <v>6.2113880579999998</v>
      </c>
      <c r="D92">
        <f t="shared" si="3"/>
        <v>0.31600142899999994</v>
      </c>
      <c r="E92">
        <f t="shared" si="4"/>
        <v>0.31600142899999994</v>
      </c>
      <c r="F92">
        <f t="shared" si="5"/>
        <v>9.9856903130042002E-2</v>
      </c>
      <c r="I92">
        <v>5.8953866289999999</v>
      </c>
    </row>
    <row r="93" spans="1:9" x14ac:dyDescent="0.45">
      <c r="A93" t="s">
        <v>72</v>
      </c>
      <c r="B93">
        <v>8.0290241570000003</v>
      </c>
      <c r="C93">
        <v>8.5087918840000007</v>
      </c>
      <c r="D93">
        <f t="shared" si="3"/>
        <v>0.47976772700000048</v>
      </c>
      <c r="E93">
        <f t="shared" si="4"/>
        <v>0.47976772700000048</v>
      </c>
      <c r="F93">
        <f t="shared" si="5"/>
        <v>0.23017707187074699</v>
      </c>
      <c r="I93">
        <v>8.0290241570000003</v>
      </c>
    </row>
    <row r="94" spans="1:9" x14ac:dyDescent="0.45">
      <c r="A94" t="s">
        <v>73</v>
      </c>
      <c r="B94">
        <v>8.4452849059999995</v>
      </c>
      <c r="C94">
        <v>8.6712121450000001</v>
      </c>
      <c r="D94">
        <f t="shared" si="3"/>
        <v>0.22592723900000067</v>
      </c>
      <c r="E94">
        <f t="shared" si="4"/>
        <v>0.22592723900000067</v>
      </c>
      <c r="F94">
        <f t="shared" si="5"/>
        <v>5.104311732216342E-2</v>
      </c>
      <c r="I94">
        <v>8.4452849059999995</v>
      </c>
    </row>
    <row r="95" spans="1:9" x14ac:dyDescent="0.45">
      <c r="A95" t="s">
        <v>74</v>
      </c>
      <c r="B95">
        <v>8.1418813669999999</v>
      </c>
      <c r="C95">
        <v>8.3984161789999998</v>
      </c>
      <c r="D95">
        <f t="shared" si="3"/>
        <v>0.25653481199999995</v>
      </c>
      <c r="E95">
        <f t="shared" si="4"/>
        <v>0.25653481199999995</v>
      </c>
      <c r="F95">
        <f t="shared" si="5"/>
        <v>6.5810109767875311E-2</v>
      </c>
      <c r="I95">
        <v>8.1418813669999999</v>
      </c>
    </row>
    <row r="96" spans="1:9" x14ac:dyDescent="0.45">
      <c r="A96" t="s">
        <v>75</v>
      </c>
      <c r="B96">
        <v>11.815099849999999</v>
      </c>
      <c r="C96">
        <v>11.96401713</v>
      </c>
      <c r="D96">
        <f t="shared" si="3"/>
        <v>0.14891728000000093</v>
      </c>
      <c r="E96">
        <f t="shared" si="4"/>
        <v>0.14891728000000093</v>
      </c>
      <c r="F96">
        <f t="shared" si="5"/>
        <v>2.2176356282598678E-2</v>
      </c>
      <c r="I96">
        <v>11.815099849999999</v>
      </c>
    </row>
    <row r="97" spans="1:9" x14ac:dyDescent="0.45">
      <c r="A97" t="s">
        <v>76</v>
      </c>
      <c r="B97">
        <v>10.194128299999999</v>
      </c>
      <c r="C97">
        <v>9.6238103840000004</v>
      </c>
      <c r="D97">
        <f t="shared" si="3"/>
        <v>-0.5703179159999987</v>
      </c>
      <c r="E97">
        <f t="shared" si="4"/>
        <v>0.5703179159999987</v>
      </c>
      <c r="F97">
        <f t="shared" si="5"/>
        <v>0.32526252531058159</v>
      </c>
      <c r="I97">
        <v>10.194128299999999</v>
      </c>
    </row>
    <row r="98" spans="1:9" x14ac:dyDescent="0.45">
      <c r="A98" t="s">
        <v>77</v>
      </c>
      <c r="B98">
        <v>9.8813296029999993</v>
      </c>
      <c r="C98">
        <v>9.6189809509999993</v>
      </c>
      <c r="D98">
        <f t="shared" si="3"/>
        <v>-0.26234865200000002</v>
      </c>
      <c r="E98">
        <f t="shared" si="4"/>
        <v>0.26234865200000002</v>
      </c>
      <c r="F98">
        <f t="shared" si="5"/>
        <v>6.8826815206217112E-2</v>
      </c>
      <c r="I98">
        <v>9.8813296029999993</v>
      </c>
    </row>
    <row r="99" spans="1:9" x14ac:dyDescent="0.45">
      <c r="A99" t="s">
        <v>78</v>
      </c>
      <c r="B99">
        <v>9.2116496399999992</v>
      </c>
      <c r="C99">
        <v>9.8936357109999999</v>
      </c>
      <c r="D99">
        <f t="shared" si="3"/>
        <v>0.68198607100000075</v>
      </c>
      <c r="E99">
        <f t="shared" si="4"/>
        <v>0.68198607100000075</v>
      </c>
      <c r="F99">
        <f t="shared" si="5"/>
        <v>0.46510500103801805</v>
      </c>
      <c r="I99">
        <v>9.2116496399999992</v>
      </c>
    </row>
    <row r="100" spans="1:9" x14ac:dyDescent="0.45">
      <c r="A100" t="s">
        <v>79</v>
      </c>
      <c r="B100">
        <v>6.6038496719999999</v>
      </c>
      <c r="C100">
        <v>6.7184648539999996</v>
      </c>
      <c r="D100">
        <f t="shared" si="3"/>
        <v>0.11461518199999965</v>
      </c>
      <c r="E100">
        <f t="shared" si="4"/>
        <v>0.11461518199999965</v>
      </c>
      <c r="F100">
        <f t="shared" si="5"/>
        <v>1.3136639944893044E-2</v>
      </c>
      <c r="I100">
        <v>6.6038496719999999</v>
      </c>
    </row>
    <row r="101" spans="1:9" x14ac:dyDescent="0.45">
      <c r="A101" t="s">
        <v>80</v>
      </c>
      <c r="B101">
        <v>8.5229762200000003</v>
      </c>
      <c r="C101">
        <v>8.9995008769999991</v>
      </c>
      <c r="D101">
        <f t="shared" si="3"/>
        <v>0.4765246569999988</v>
      </c>
      <c r="E101">
        <f t="shared" si="4"/>
        <v>0.4765246569999988</v>
      </c>
      <c r="F101">
        <f t="shared" si="5"/>
        <v>0.22707574872896649</v>
      </c>
      <c r="I101">
        <v>8.5229762200000003</v>
      </c>
    </row>
    <row r="102" spans="1:9" x14ac:dyDescent="0.45">
      <c r="A102" t="s">
        <v>81</v>
      </c>
      <c r="B102">
        <v>9.0863739530000007</v>
      </c>
      <c r="C102">
        <v>9.0508137449999992</v>
      </c>
      <c r="D102">
        <f t="shared" si="3"/>
        <v>-3.5560208000001481E-2</v>
      </c>
      <c r="E102">
        <f t="shared" si="4"/>
        <v>3.5560208000001481E-2</v>
      </c>
      <c r="F102">
        <f t="shared" si="5"/>
        <v>1.2645283930033692E-3</v>
      </c>
      <c r="I102">
        <v>9.0863739530000007</v>
      </c>
    </row>
    <row r="103" spans="1:9" x14ac:dyDescent="0.45">
      <c r="A103" t="s">
        <v>82</v>
      </c>
      <c r="B103">
        <v>9.6066726599999992</v>
      </c>
      <c r="C103">
        <v>9.3826416909999999</v>
      </c>
      <c r="D103">
        <f t="shared" si="3"/>
        <v>-0.2240309689999993</v>
      </c>
      <c r="E103">
        <f t="shared" si="4"/>
        <v>0.2240309689999993</v>
      </c>
      <c r="F103">
        <f t="shared" si="5"/>
        <v>5.0189875071078652E-2</v>
      </c>
      <c r="I103">
        <v>9.6066726599999992</v>
      </c>
    </row>
    <row r="104" spans="1:9" x14ac:dyDescent="0.45">
      <c r="A104" t="s">
        <v>83</v>
      </c>
      <c r="B104">
        <v>12.200198759999999</v>
      </c>
      <c r="C104">
        <v>11.094075159999999</v>
      </c>
      <c r="D104">
        <f t="shared" si="3"/>
        <v>-1.1061236000000001</v>
      </c>
      <c r="E104">
        <f t="shared" si="4"/>
        <v>1.1061236000000001</v>
      </c>
      <c r="F104">
        <f t="shared" si="5"/>
        <v>1.2235094184769602</v>
      </c>
      <c r="I104">
        <v>12.200198759999999</v>
      </c>
    </row>
    <row r="105" spans="1:9" x14ac:dyDescent="0.45">
      <c r="A105" t="s">
        <v>84</v>
      </c>
      <c r="B105">
        <v>7.1071347429999996</v>
      </c>
      <c r="C105">
        <v>6.9246142510000004</v>
      </c>
      <c r="D105">
        <f t="shared" si="3"/>
        <v>-0.1825204919999992</v>
      </c>
      <c r="E105">
        <f t="shared" si="4"/>
        <v>0.1825204919999992</v>
      </c>
      <c r="F105">
        <f t="shared" si="5"/>
        <v>3.3313729999921771E-2</v>
      </c>
      <c r="I105">
        <v>7.1071347429999996</v>
      </c>
    </row>
    <row r="106" spans="1:9" x14ac:dyDescent="0.45">
      <c r="A106" t="s">
        <v>139</v>
      </c>
      <c r="B106">
        <v>8.8081999090000007</v>
      </c>
      <c r="C106">
        <v>9.0120280840000007</v>
      </c>
      <c r="D106">
        <f t="shared" si="3"/>
        <v>0.20382817499999994</v>
      </c>
      <c r="E106">
        <f t="shared" si="4"/>
        <v>0.20382817499999994</v>
      </c>
      <c r="F106">
        <f t="shared" si="5"/>
        <v>4.15459249238306E-2</v>
      </c>
      <c r="I106">
        <v>8.8081999090000007</v>
      </c>
    </row>
    <row r="107" spans="1:9" x14ac:dyDescent="0.45">
      <c r="A107" t="s">
        <v>140</v>
      </c>
      <c r="B107">
        <v>7.6578616310000003</v>
      </c>
      <c r="C107">
        <v>7.6657780620000002</v>
      </c>
      <c r="D107">
        <f t="shared" si="3"/>
        <v>7.916430999999946E-3</v>
      </c>
      <c r="E107">
        <f t="shared" si="4"/>
        <v>7.916430999999946E-3</v>
      </c>
      <c r="F107">
        <f t="shared" si="5"/>
        <v>6.2669879777760144E-5</v>
      </c>
      <c r="I107">
        <v>7.6578616310000003</v>
      </c>
    </row>
    <row r="108" spans="1:9" x14ac:dyDescent="0.45">
      <c r="A108" t="s">
        <v>85</v>
      </c>
      <c r="B108">
        <v>9.1254103069999992</v>
      </c>
      <c r="C108">
        <v>9.2897038950000006</v>
      </c>
      <c r="D108">
        <f t="shared" si="3"/>
        <v>0.16429358800000138</v>
      </c>
      <c r="E108">
        <f t="shared" si="4"/>
        <v>0.16429358800000138</v>
      </c>
      <c r="F108">
        <f t="shared" si="5"/>
        <v>2.6992383057914196E-2</v>
      </c>
      <c r="I108">
        <v>9.1254103069999992</v>
      </c>
    </row>
    <row r="109" spans="1:9" x14ac:dyDescent="0.45">
      <c r="A109" t="s">
        <v>86</v>
      </c>
      <c r="B109">
        <v>6.8079755090000003</v>
      </c>
      <c r="C109">
        <v>6.8846911730000002</v>
      </c>
      <c r="D109">
        <f t="shared" si="3"/>
        <v>7.6715663999999961E-2</v>
      </c>
      <c r="E109">
        <f t="shared" si="4"/>
        <v>7.6715663999999961E-2</v>
      </c>
      <c r="F109">
        <f t="shared" si="5"/>
        <v>5.8852931029608905E-3</v>
      </c>
      <c r="I109">
        <v>6.8079755090000003</v>
      </c>
    </row>
    <row r="110" spans="1:9" x14ac:dyDescent="0.45">
      <c r="A110" t="s">
        <v>87</v>
      </c>
      <c r="B110">
        <v>6.7936868739999996</v>
      </c>
      <c r="C110">
        <v>6.9530316670000003</v>
      </c>
      <c r="D110">
        <f t="shared" si="3"/>
        <v>0.15934479300000071</v>
      </c>
      <c r="E110">
        <f t="shared" si="4"/>
        <v>0.15934479300000071</v>
      </c>
      <c r="F110">
        <f t="shared" si="5"/>
        <v>2.5390763056213073E-2</v>
      </c>
      <c r="I110">
        <v>6.7936868739999996</v>
      </c>
    </row>
    <row r="111" spans="1:9" x14ac:dyDescent="0.45">
      <c r="A111" t="s">
        <v>88</v>
      </c>
      <c r="B111">
        <v>6.94225563</v>
      </c>
      <c r="C111">
        <v>7.0957287139999998</v>
      </c>
      <c r="D111">
        <f t="shared" si="3"/>
        <v>0.15347308399999982</v>
      </c>
      <c r="E111">
        <f t="shared" si="4"/>
        <v>0.15347308399999982</v>
      </c>
      <c r="F111">
        <f t="shared" si="5"/>
        <v>2.3553987512470998E-2</v>
      </c>
      <c r="I111">
        <v>6.94225563</v>
      </c>
    </row>
    <row r="112" spans="1:9" x14ac:dyDescent="0.45">
      <c r="A112" t="s">
        <v>89</v>
      </c>
      <c r="B112">
        <v>7.6447733610000004</v>
      </c>
      <c r="C112">
        <v>7.6625626479999998</v>
      </c>
      <c r="D112">
        <f t="shared" si="3"/>
        <v>1.7789286999999376E-2</v>
      </c>
      <c r="E112">
        <f t="shared" si="4"/>
        <v>1.7789286999999376E-2</v>
      </c>
      <c r="F112">
        <f t="shared" si="5"/>
        <v>3.1645873196834681E-4</v>
      </c>
      <c r="I112">
        <v>7.6447733610000004</v>
      </c>
    </row>
    <row r="113" spans="1:9" x14ac:dyDescent="0.45">
      <c r="A113" t="s">
        <v>90</v>
      </c>
      <c r="B113">
        <v>8.1615744039999996</v>
      </c>
      <c r="C113">
        <v>8.3456842130000002</v>
      </c>
      <c r="D113">
        <f t="shared" si="3"/>
        <v>0.18410980900000062</v>
      </c>
      <c r="E113">
        <f t="shared" si="4"/>
        <v>0.18410980900000062</v>
      </c>
      <c r="F113">
        <f t="shared" si="5"/>
        <v>3.3896421770016713E-2</v>
      </c>
      <c r="I113">
        <v>8.1615744039999996</v>
      </c>
    </row>
    <row r="114" spans="1:9" x14ac:dyDescent="0.45">
      <c r="A114" t="s">
        <v>91</v>
      </c>
      <c r="B114">
        <v>8.8921661699999994</v>
      </c>
      <c r="C114">
        <v>8.6328365389999995</v>
      </c>
      <c r="D114">
        <f t="shared" si="3"/>
        <v>-0.25932963099999995</v>
      </c>
      <c r="E114">
        <f t="shared" si="4"/>
        <v>0.25932963099999995</v>
      </c>
      <c r="F114">
        <f t="shared" si="5"/>
        <v>6.7251857514596128E-2</v>
      </c>
      <c r="I114">
        <v>8.8921661699999994</v>
      </c>
    </row>
    <row r="115" spans="1:9" x14ac:dyDescent="0.45">
      <c r="A115" t="s">
        <v>92</v>
      </c>
      <c r="B115">
        <v>7.8400156499999998</v>
      </c>
      <c r="C115">
        <v>7.7647256999999996</v>
      </c>
      <c r="D115">
        <f t="shared" si="3"/>
        <v>-7.5289950000000161E-2</v>
      </c>
      <c r="E115">
        <f t="shared" si="4"/>
        <v>7.5289950000000161E-2</v>
      </c>
      <c r="F115">
        <f t="shared" si="5"/>
        <v>5.6685765710025246E-3</v>
      </c>
      <c r="I115">
        <v>7.8400156499999998</v>
      </c>
    </row>
    <row r="116" spans="1:9" x14ac:dyDescent="0.45">
      <c r="A116" t="s">
        <v>93</v>
      </c>
      <c r="B116">
        <v>8.674470114</v>
      </c>
      <c r="C116">
        <v>8.5561981209999995</v>
      </c>
      <c r="D116">
        <f t="shared" si="3"/>
        <v>-0.11827199300000046</v>
      </c>
      <c r="E116">
        <f t="shared" si="4"/>
        <v>0.11827199300000046</v>
      </c>
      <c r="F116">
        <f t="shared" si="5"/>
        <v>1.3988264328192159E-2</v>
      </c>
      <c r="I116">
        <v>8.674470114</v>
      </c>
    </row>
    <row r="117" spans="1:9" x14ac:dyDescent="0.45">
      <c r="A117" t="s">
        <v>94</v>
      </c>
      <c r="B117">
        <v>7.0659216269999998</v>
      </c>
      <c r="C117">
        <v>7.1029460560000004</v>
      </c>
      <c r="D117">
        <f t="shared" si="3"/>
        <v>3.702442900000058E-2</v>
      </c>
      <c r="E117">
        <f t="shared" si="4"/>
        <v>3.702442900000058E-2</v>
      </c>
      <c r="F117">
        <f t="shared" si="5"/>
        <v>1.370808342776084E-3</v>
      </c>
      <c r="I117">
        <v>7.0659216269999998</v>
      </c>
    </row>
    <row r="118" spans="1:9" x14ac:dyDescent="0.45">
      <c r="A118" t="s">
        <v>95</v>
      </c>
      <c r="B118">
        <v>7.9662003319999997</v>
      </c>
      <c r="C118">
        <v>7.3475376969999999</v>
      </c>
      <c r="D118">
        <f t="shared" si="3"/>
        <v>-0.61866263499999974</v>
      </c>
      <c r="E118">
        <f t="shared" si="4"/>
        <v>0.61866263499999974</v>
      </c>
      <c r="F118">
        <f t="shared" si="5"/>
        <v>0.38274345594514292</v>
      </c>
      <c r="I118">
        <v>7.9662003319999997</v>
      </c>
    </row>
    <row r="119" spans="1:9" x14ac:dyDescent="0.45">
      <c r="A119" t="s">
        <v>96</v>
      </c>
      <c r="B119">
        <v>8.1767987790000003</v>
      </c>
      <c r="C119">
        <v>7.2564723469999999</v>
      </c>
      <c r="D119">
        <f t="shared" si="3"/>
        <v>-0.92032643200000042</v>
      </c>
      <c r="E119">
        <f t="shared" si="4"/>
        <v>0.92032643200000042</v>
      </c>
      <c r="F119">
        <f t="shared" si="5"/>
        <v>0.84700074143785142</v>
      </c>
      <c r="I119">
        <v>8.1767987790000003</v>
      </c>
    </row>
    <row r="120" spans="1:9" x14ac:dyDescent="0.45">
      <c r="A120" t="s">
        <v>97</v>
      </c>
      <c r="B120">
        <v>7.9423955770000001</v>
      </c>
      <c r="C120">
        <v>7.1667982730000004</v>
      </c>
      <c r="D120">
        <f t="shared" si="3"/>
        <v>-0.77559730399999971</v>
      </c>
      <c r="E120">
        <f t="shared" si="4"/>
        <v>0.77559730399999971</v>
      </c>
      <c r="F120">
        <f t="shared" si="5"/>
        <v>0.60155117797206792</v>
      </c>
      <c r="I120">
        <v>7.9423955770000001</v>
      </c>
    </row>
    <row r="121" spans="1:9" x14ac:dyDescent="0.45">
      <c r="A121" t="s">
        <v>98</v>
      </c>
      <c r="B121">
        <v>8.2397554619999998</v>
      </c>
      <c r="C121">
        <v>8.4047715820000004</v>
      </c>
      <c r="D121">
        <f t="shared" si="3"/>
        <v>0.16501612000000065</v>
      </c>
      <c r="E121">
        <f t="shared" si="4"/>
        <v>0.16501612000000065</v>
      </c>
      <c r="F121">
        <f t="shared" si="5"/>
        <v>2.7230319859854617E-2</v>
      </c>
      <c r="I121">
        <v>8.2397554619999998</v>
      </c>
    </row>
    <row r="122" spans="1:9" x14ac:dyDescent="0.45">
      <c r="A122" t="s">
        <v>99</v>
      </c>
      <c r="B122">
        <v>8.1691120359999996</v>
      </c>
      <c r="C122">
        <v>7.5900182420000002</v>
      </c>
      <c r="D122">
        <f t="shared" si="3"/>
        <v>-0.57909379399999938</v>
      </c>
      <c r="E122">
        <f t="shared" si="4"/>
        <v>0.57909379399999938</v>
      </c>
      <c r="F122">
        <f t="shared" si="5"/>
        <v>0.33534962224931375</v>
      </c>
      <c r="I122">
        <v>8.1691120359999996</v>
      </c>
    </row>
    <row r="123" spans="1:9" x14ac:dyDescent="0.45">
      <c r="A123" t="s">
        <v>100</v>
      </c>
      <c r="B123">
        <v>7.1265753729999997</v>
      </c>
      <c r="C123">
        <v>7.4932051990000001</v>
      </c>
      <c r="D123">
        <f t="shared" si="3"/>
        <v>0.36662982600000049</v>
      </c>
      <c r="E123">
        <f t="shared" si="4"/>
        <v>0.36662982600000049</v>
      </c>
      <c r="F123">
        <f t="shared" si="5"/>
        <v>0.13441742931279063</v>
      </c>
      <c r="I123">
        <v>7.1265753729999997</v>
      </c>
    </row>
    <row r="124" spans="1:9" x14ac:dyDescent="0.45">
      <c r="A124" t="s">
        <v>101</v>
      </c>
      <c r="B124">
        <v>9.3348399440000005</v>
      </c>
      <c r="C124">
        <v>9.480086708</v>
      </c>
      <c r="D124">
        <f t="shared" si="3"/>
        <v>0.14524676399999947</v>
      </c>
      <c r="E124">
        <f t="shared" si="4"/>
        <v>0.14524676399999947</v>
      </c>
      <c r="F124">
        <f t="shared" si="5"/>
        <v>2.1096622452471542E-2</v>
      </c>
      <c r="I124">
        <v>9.3348399440000005</v>
      </c>
    </row>
    <row r="125" spans="1:9" x14ac:dyDescent="0.45">
      <c r="A125" t="s">
        <v>102</v>
      </c>
      <c r="B125">
        <v>8.6541243150000007</v>
      </c>
      <c r="C125">
        <v>8.9243373800000008</v>
      </c>
      <c r="D125">
        <f t="shared" si="3"/>
        <v>0.27021306500000009</v>
      </c>
      <c r="E125">
        <f t="shared" si="4"/>
        <v>0.27021306500000009</v>
      </c>
      <c r="F125">
        <f t="shared" si="5"/>
        <v>7.3015100496694268E-2</v>
      </c>
      <c r="I125">
        <v>8.6541243150000007</v>
      </c>
    </row>
    <row r="126" spans="1:9" x14ac:dyDescent="0.45">
      <c r="A126" t="s">
        <v>103</v>
      </c>
      <c r="B126">
        <v>6.723827784</v>
      </c>
      <c r="C126">
        <v>7.4994484950000002</v>
      </c>
      <c r="D126">
        <f t="shared" si="3"/>
        <v>0.77562071100000018</v>
      </c>
      <c r="E126">
        <f t="shared" si="4"/>
        <v>0.77562071100000018</v>
      </c>
      <c r="F126">
        <f t="shared" si="5"/>
        <v>0.60158748733214584</v>
      </c>
      <c r="I126">
        <v>6.723827784</v>
      </c>
    </row>
    <row r="127" spans="1:9" x14ac:dyDescent="0.45">
      <c r="A127" t="s">
        <v>104</v>
      </c>
      <c r="B127">
        <v>8.2930864010000001</v>
      </c>
      <c r="C127">
        <v>8.3907663459999995</v>
      </c>
      <c r="D127">
        <f t="shared" si="3"/>
        <v>9.7679944999999435E-2</v>
      </c>
      <c r="E127">
        <f t="shared" si="4"/>
        <v>9.7679944999999435E-2</v>
      </c>
      <c r="F127">
        <f t="shared" si="5"/>
        <v>9.5413716552029144E-3</v>
      </c>
      <c r="I127">
        <v>8.2930864010000001</v>
      </c>
    </row>
    <row r="128" spans="1:9" x14ac:dyDescent="0.45">
      <c r="A128" t="s">
        <v>105</v>
      </c>
      <c r="B128">
        <v>8.0737637200000005</v>
      </c>
      <c r="C128">
        <v>7.9359126980000001</v>
      </c>
      <c r="D128">
        <f t="shared" si="3"/>
        <v>-0.13785102200000043</v>
      </c>
      <c r="E128">
        <f t="shared" si="4"/>
        <v>0.13785102200000043</v>
      </c>
      <c r="F128">
        <f t="shared" si="5"/>
        <v>1.9002904266444604E-2</v>
      </c>
      <c r="I128">
        <v>8.0737637200000005</v>
      </c>
    </row>
    <row r="129" spans="1:9" x14ac:dyDescent="0.45">
      <c r="A129" t="s">
        <v>106</v>
      </c>
      <c r="B129">
        <v>8.4055053789999992</v>
      </c>
      <c r="C129">
        <v>7.146219243</v>
      </c>
      <c r="D129">
        <f t="shared" si="3"/>
        <v>-1.2592861359999992</v>
      </c>
      <c r="E129">
        <f t="shared" si="4"/>
        <v>1.2592861359999992</v>
      </c>
      <c r="F129">
        <f t="shared" si="5"/>
        <v>1.5858015723218084</v>
      </c>
      <c r="I129">
        <v>8.4055053789999992</v>
      </c>
    </row>
    <row r="130" spans="1:9" x14ac:dyDescent="0.45">
      <c r="A130" t="s">
        <v>141</v>
      </c>
      <c r="B130">
        <v>7.1099046279999998</v>
      </c>
      <c r="C130">
        <v>7.6485996390000004</v>
      </c>
      <c r="D130">
        <f t="shared" si="3"/>
        <v>0.53869501100000061</v>
      </c>
      <c r="E130">
        <f t="shared" si="4"/>
        <v>0.53869501100000061</v>
      </c>
      <c r="F130">
        <f t="shared" si="5"/>
        <v>0.29019231487629077</v>
      </c>
      <c r="I130">
        <v>7.1099046279999998</v>
      </c>
    </row>
    <row r="131" spans="1:9" x14ac:dyDescent="0.45">
      <c r="A131" t="s">
        <v>142</v>
      </c>
      <c r="B131">
        <v>7.8316110349999999</v>
      </c>
      <c r="C131">
        <v>7.891227743</v>
      </c>
      <c r="D131">
        <f t="shared" ref="D131:D137" si="6">(C131-B131)</f>
        <v>5.9616708000000074E-2</v>
      </c>
      <c r="E131">
        <f t="shared" ref="E131:E137" si="7">ABS(D131)</f>
        <v>5.9616708000000074E-2</v>
      </c>
      <c r="F131">
        <f t="shared" ref="F131:F137" si="8">E131^2</f>
        <v>3.5541518727572729E-3</v>
      </c>
      <c r="I131">
        <v>7.8316110349999999</v>
      </c>
    </row>
    <row r="132" spans="1:9" x14ac:dyDescent="0.45">
      <c r="A132" t="s">
        <v>107</v>
      </c>
      <c r="B132">
        <v>8.0047604559999996</v>
      </c>
      <c r="C132">
        <v>7.0275222240000002</v>
      </c>
      <c r="D132">
        <f t="shared" si="6"/>
        <v>-0.97723823199999948</v>
      </c>
      <c r="E132">
        <f t="shared" si="7"/>
        <v>0.97723823199999948</v>
      </c>
      <c r="F132">
        <f t="shared" si="8"/>
        <v>0.95499456208248479</v>
      </c>
      <c r="I132">
        <v>8.0047604559999996</v>
      </c>
    </row>
    <row r="133" spans="1:9" x14ac:dyDescent="0.45">
      <c r="A133" t="s">
        <v>108</v>
      </c>
      <c r="B133">
        <v>8.0079662319999994</v>
      </c>
      <c r="C133">
        <v>7.9408092689999998</v>
      </c>
      <c r="D133">
        <f t="shared" si="6"/>
        <v>-6.7156962999999514E-2</v>
      </c>
      <c r="E133">
        <f t="shared" si="7"/>
        <v>6.7156962999999514E-2</v>
      </c>
      <c r="F133">
        <f t="shared" si="8"/>
        <v>4.5100576793833036E-3</v>
      </c>
      <c r="I133">
        <v>8.0079662319999994</v>
      </c>
    </row>
    <row r="134" spans="1:9" x14ac:dyDescent="0.45">
      <c r="A134" t="s">
        <v>109</v>
      </c>
      <c r="B134">
        <v>8.0375312389999998</v>
      </c>
      <c r="C134">
        <v>7.7977200560000002</v>
      </c>
      <c r="D134">
        <f t="shared" si="6"/>
        <v>-0.23981118299999959</v>
      </c>
      <c r="E134">
        <f t="shared" si="7"/>
        <v>0.23981118299999959</v>
      </c>
      <c r="F134">
        <f t="shared" si="8"/>
        <v>5.7509403491859297E-2</v>
      </c>
      <c r="I134">
        <v>8.0375312389999998</v>
      </c>
    </row>
    <row r="135" spans="1:9" x14ac:dyDescent="0.45">
      <c r="A135" t="s">
        <v>110</v>
      </c>
      <c r="B135">
        <v>8.5095642009999999</v>
      </c>
      <c r="C135">
        <v>7.3981672500000002</v>
      </c>
      <c r="D135">
        <f t="shared" si="6"/>
        <v>-1.1113969509999997</v>
      </c>
      <c r="E135">
        <f t="shared" si="7"/>
        <v>1.1113969509999997</v>
      </c>
      <c r="F135">
        <f t="shared" si="8"/>
        <v>1.2352031826920957</v>
      </c>
      <c r="I135">
        <v>8.5095642009999999</v>
      </c>
    </row>
    <row r="136" spans="1:9" x14ac:dyDescent="0.45">
      <c r="A136" t="s">
        <v>111</v>
      </c>
      <c r="B136">
        <v>8.1934284260000005</v>
      </c>
      <c r="C136">
        <v>9.1043036439999998</v>
      </c>
      <c r="D136">
        <f t="shared" si="6"/>
        <v>0.91087521799999926</v>
      </c>
      <c r="E136">
        <f t="shared" si="7"/>
        <v>0.91087521799999926</v>
      </c>
      <c r="F136">
        <f t="shared" si="8"/>
        <v>0.82969366276654621</v>
      </c>
      <c r="I136">
        <v>8.1934284260000005</v>
      </c>
    </row>
    <row r="137" spans="1:9" x14ac:dyDescent="0.45">
      <c r="A137" t="s">
        <v>112</v>
      </c>
      <c r="B137">
        <v>8.0726542810000002</v>
      </c>
      <c r="C137">
        <v>8.4607352129999995</v>
      </c>
      <c r="D137">
        <f t="shared" si="6"/>
        <v>0.38808093199999938</v>
      </c>
      <c r="E137">
        <f t="shared" si="7"/>
        <v>0.38808093199999938</v>
      </c>
      <c r="F137">
        <f t="shared" si="8"/>
        <v>0.15060680978198815</v>
      </c>
      <c r="I137">
        <v>8.0726542810000002</v>
      </c>
    </row>
    <row r="138" spans="1:9" x14ac:dyDescent="0.45">
      <c r="D138">
        <f>AVERAGE(D2:D137)</f>
        <v>4.9629434882352941E-2</v>
      </c>
      <c r="E138">
        <f>AVERAGE(E2:E137)</f>
        <v>0.31313175164705875</v>
      </c>
      <c r="F138">
        <f>SQRT(AVERAGE(F2:F137))</f>
        <v>0.42229748644921533</v>
      </c>
    </row>
    <row r="139" spans="1:9" x14ac:dyDescent="0.45">
      <c r="B139">
        <f>MIN(B2:B137)</f>
        <v>5.7008304159999996</v>
      </c>
      <c r="C139">
        <f>MIN(C2:C137)</f>
        <v>6.1166930150000001</v>
      </c>
    </row>
    <row r="140" spans="1:9" x14ac:dyDescent="0.45">
      <c r="B140">
        <f>MAX(B2:B137)</f>
        <v>12.200198759999999</v>
      </c>
      <c r="C140">
        <f>MAX(C2:C137)</f>
        <v>11.96401713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1037-7D4A-4739-ADF0-8A2BF010556A}">
  <dimension ref="A1:EF137"/>
  <sheetViews>
    <sheetView topLeftCell="X1" workbookViewId="0">
      <selection activeCell="AN1" sqref="AN1"/>
    </sheetView>
  </sheetViews>
  <sheetFormatPr defaultRowHeight="14.25" x14ac:dyDescent="0.45"/>
  <sheetData>
    <row r="1" spans="1:136" x14ac:dyDescent="0.45">
      <c r="A1" t="s">
        <v>6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  <c r="AP1" t="s">
        <v>183</v>
      </c>
      <c r="AQ1" t="s">
        <v>184</v>
      </c>
      <c r="AR1" t="s">
        <v>185</v>
      </c>
      <c r="AS1" t="s">
        <v>186</v>
      </c>
      <c r="AT1" t="s">
        <v>187</v>
      </c>
      <c r="AU1" t="s">
        <v>188</v>
      </c>
      <c r="AV1" t="s">
        <v>189</v>
      </c>
      <c r="AW1" t="s">
        <v>190</v>
      </c>
      <c r="AX1" t="s">
        <v>191</v>
      </c>
      <c r="AY1" t="s">
        <v>192</v>
      </c>
      <c r="AZ1" t="s">
        <v>193</v>
      </c>
      <c r="BA1" t="s">
        <v>194</v>
      </c>
      <c r="BB1" t="s">
        <v>195</v>
      </c>
      <c r="BC1" t="s">
        <v>196</v>
      </c>
      <c r="BD1" t="s">
        <v>197</v>
      </c>
      <c r="BE1" t="s">
        <v>198</v>
      </c>
      <c r="BF1" t="s">
        <v>199</v>
      </c>
      <c r="BG1" t="s">
        <v>200</v>
      </c>
      <c r="BH1" t="s">
        <v>201</v>
      </c>
      <c r="BI1" t="s">
        <v>202</v>
      </c>
      <c r="BJ1" t="s">
        <v>203</v>
      </c>
      <c r="BK1" t="s">
        <v>204</v>
      </c>
      <c r="BL1" t="s">
        <v>205</v>
      </c>
      <c r="BM1" t="s">
        <v>206</v>
      </c>
      <c r="BN1" t="s">
        <v>207</v>
      </c>
      <c r="BO1" t="s">
        <v>208</v>
      </c>
      <c r="BP1" t="s">
        <v>209</v>
      </c>
      <c r="BQ1" t="s">
        <v>210</v>
      </c>
      <c r="BR1" t="s">
        <v>211</v>
      </c>
      <c r="BS1" t="s">
        <v>212</v>
      </c>
      <c r="BT1" t="s">
        <v>213</v>
      </c>
      <c r="BU1" t="s">
        <v>214</v>
      </c>
      <c r="BV1" t="s">
        <v>215</v>
      </c>
      <c r="BW1" t="s">
        <v>216</v>
      </c>
      <c r="BX1" t="s">
        <v>217</v>
      </c>
      <c r="BY1" t="s">
        <v>218</v>
      </c>
      <c r="BZ1" t="s">
        <v>219</v>
      </c>
      <c r="CA1" t="s">
        <v>220</v>
      </c>
      <c r="CB1" t="s">
        <v>221</v>
      </c>
      <c r="CC1" t="s">
        <v>222</v>
      </c>
      <c r="CD1" t="s">
        <v>223</v>
      </c>
      <c r="CE1" t="s">
        <v>224</v>
      </c>
      <c r="CF1" t="s">
        <v>225</v>
      </c>
      <c r="CG1" t="s">
        <v>226</v>
      </c>
      <c r="CH1" t="s">
        <v>227</v>
      </c>
      <c r="CI1" t="s">
        <v>228</v>
      </c>
      <c r="CJ1" t="s">
        <v>229</v>
      </c>
      <c r="CK1" t="s">
        <v>230</v>
      </c>
      <c r="CL1" t="s">
        <v>231</v>
      </c>
      <c r="CM1" t="s">
        <v>232</v>
      </c>
      <c r="CN1" t="s">
        <v>233</v>
      </c>
      <c r="CO1" t="s">
        <v>234</v>
      </c>
      <c r="CP1" t="s">
        <v>235</v>
      </c>
      <c r="CQ1" t="s">
        <v>236</v>
      </c>
      <c r="CR1" t="s">
        <v>237</v>
      </c>
      <c r="CS1" t="s">
        <v>238</v>
      </c>
      <c r="CT1" t="s">
        <v>239</v>
      </c>
      <c r="CU1" t="s">
        <v>240</v>
      </c>
      <c r="CV1" t="s">
        <v>241</v>
      </c>
      <c r="CW1" t="s">
        <v>242</v>
      </c>
      <c r="CX1" t="s">
        <v>243</v>
      </c>
      <c r="CY1" t="s">
        <v>244</v>
      </c>
      <c r="CZ1" t="s">
        <v>245</v>
      </c>
      <c r="DA1" t="s">
        <v>246</v>
      </c>
      <c r="DB1" t="s">
        <v>247</v>
      </c>
      <c r="DC1" t="s">
        <v>248</v>
      </c>
      <c r="DD1" t="s">
        <v>249</v>
      </c>
      <c r="DE1" t="s">
        <v>250</v>
      </c>
      <c r="DF1" t="s">
        <v>251</v>
      </c>
      <c r="DG1" t="s">
        <v>252</v>
      </c>
      <c r="DH1" t="s">
        <v>253</v>
      </c>
      <c r="DI1" t="s">
        <v>254</v>
      </c>
      <c r="DJ1" t="s">
        <v>255</v>
      </c>
      <c r="DK1" t="s">
        <v>256</v>
      </c>
      <c r="DL1" t="s">
        <v>257</v>
      </c>
      <c r="DM1" t="s">
        <v>258</v>
      </c>
      <c r="DN1" t="s">
        <v>259</v>
      </c>
      <c r="DO1" t="s">
        <v>260</v>
      </c>
      <c r="DP1" t="s">
        <v>261</v>
      </c>
      <c r="DQ1" t="s">
        <v>262</v>
      </c>
      <c r="DR1" t="s">
        <v>263</v>
      </c>
      <c r="DS1" t="s">
        <v>264</v>
      </c>
      <c r="DT1" t="s">
        <v>265</v>
      </c>
      <c r="DU1" t="s">
        <v>266</v>
      </c>
      <c r="DV1" t="s">
        <v>267</v>
      </c>
      <c r="DW1" t="s">
        <v>268</v>
      </c>
      <c r="DX1" t="s">
        <v>269</v>
      </c>
      <c r="DY1" t="s">
        <v>270</v>
      </c>
      <c r="DZ1" t="s">
        <v>271</v>
      </c>
      <c r="EA1" t="s">
        <v>272</v>
      </c>
      <c r="EB1" t="s">
        <v>273</v>
      </c>
      <c r="EC1" t="s">
        <v>274</v>
      </c>
      <c r="ED1" t="s">
        <v>275</v>
      </c>
      <c r="EE1" t="s">
        <v>276</v>
      </c>
      <c r="EF1" t="s">
        <v>277</v>
      </c>
    </row>
    <row r="2" spans="1:136" x14ac:dyDescent="0.45">
      <c r="A2" t="s">
        <v>113</v>
      </c>
      <c r="B2">
        <v>8.8709315069999999</v>
      </c>
      <c r="C2">
        <v>4.3094383289999998</v>
      </c>
      <c r="D2">
        <v>6.2848683029999997</v>
      </c>
      <c r="E2">
        <v>7.1717683819999998</v>
      </c>
      <c r="F2">
        <v>4.2926345819999998</v>
      </c>
      <c r="G2">
        <v>6.8483653970000002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8.7312808420000003</v>
      </c>
      <c r="EE2">
        <v>4.1046356360000003</v>
      </c>
      <c r="EF2">
        <v>6.5536188170000003</v>
      </c>
    </row>
    <row r="3" spans="1:136" x14ac:dyDescent="0.45">
      <c r="A3" t="s">
        <v>114</v>
      </c>
      <c r="B3">
        <v>8.2317216920000007</v>
      </c>
      <c r="C3">
        <v>4.2658193009999996</v>
      </c>
      <c r="D3">
        <v>6.9726638000000003</v>
      </c>
      <c r="E3">
        <v>8.9270417440000003</v>
      </c>
      <c r="F3">
        <v>4.3705111560000001</v>
      </c>
      <c r="G3">
        <v>6.8734613510000004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8.5349775389999998</v>
      </c>
      <c r="EE3">
        <v>4.1338032189999998</v>
      </c>
      <c r="EF3">
        <v>6.4155850550000002</v>
      </c>
    </row>
    <row r="4" spans="1:136" x14ac:dyDescent="0.45">
      <c r="A4" t="s">
        <v>115</v>
      </c>
      <c r="B4">
        <v>8.1174806820000001</v>
      </c>
      <c r="C4">
        <v>4.8014601539999999</v>
      </c>
      <c r="D4">
        <v>6.8848159769999997</v>
      </c>
      <c r="E4">
        <v>7.3101538709999998</v>
      </c>
      <c r="F4">
        <v>4.7850470520000004</v>
      </c>
      <c r="G4">
        <v>7.0172840509999999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7.3600284919999996</v>
      </c>
      <c r="EE4">
        <v>4.2024156049999997</v>
      </c>
      <c r="EF4">
        <v>7.9138196870000002</v>
      </c>
    </row>
    <row r="5" spans="1:136" x14ac:dyDescent="0.4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8.9119356130000007</v>
      </c>
      <c r="I5">
        <v>4.6644787929999998</v>
      </c>
      <c r="J5">
        <v>7.5322873670000003</v>
      </c>
      <c r="K5">
        <v>8.3559478279999997</v>
      </c>
      <c r="L5">
        <v>3.9174102190000002</v>
      </c>
      <c r="M5">
        <v>7.2502554119999996</v>
      </c>
      <c r="N5">
        <v>9.4425432960000002</v>
      </c>
      <c r="O5">
        <v>3.9667396429999999</v>
      </c>
      <c r="P5">
        <v>7.2082511560000002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8.5666370920000006</v>
      </c>
      <c r="EE5">
        <v>4.2671460760000004</v>
      </c>
      <c r="EF5">
        <v>7.1091680430000004</v>
      </c>
    </row>
    <row r="6" spans="1:136" x14ac:dyDescent="0.45">
      <c r="A6" t="s">
        <v>117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9.4526310460000005</v>
      </c>
      <c r="R6">
        <v>3.9056323000000002</v>
      </c>
      <c r="S6">
        <v>6.6400198240000003</v>
      </c>
      <c r="T6">
        <v>6.8875766289999998</v>
      </c>
      <c r="U6">
        <v>5.0478516229999997</v>
      </c>
      <c r="V6">
        <v>7.3427049960000002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9.9594856479999994</v>
      </c>
      <c r="EE6">
        <v>5.1080377590000001</v>
      </c>
      <c r="EF6">
        <v>6.8456635180000003</v>
      </c>
    </row>
    <row r="7" spans="1:136" x14ac:dyDescent="0.45">
      <c r="A7" t="s">
        <v>118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9.4474309040000009</v>
      </c>
      <c r="I7">
        <v>3.9397696990000002</v>
      </c>
      <c r="J7">
        <v>7.1309206940000003</v>
      </c>
      <c r="K7">
        <v>8.6253283639999996</v>
      </c>
      <c r="L7">
        <v>3.9264916890000001</v>
      </c>
      <c r="M7">
        <v>7.2627617720000002</v>
      </c>
      <c r="N7">
        <v>8.790386775</v>
      </c>
      <c r="O7">
        <v>4.7245657870000004</v>
      </c>
      <c r="P7">
        <v>7.5406036580000002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8.6383033569999998</v>
      </c>
      <c r="EE7">
        <v>4.1729566279999997</v>
      </c>
      <c r="EF7">
        <v>7.1861470929999998</v>
      </c>
    </row>
    <row r="8" spans="1:13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7.5183493639999996</v>
      </c>
      <c r="AD8">
        <v>5.5087023740000003</v>
      </c>
      <c r="AE8">
        <v>9.3410067689999998</v>
      </c>
      <c r="AF8">
        <v>7.8132889329999999</v>
      </c>
      <c r="AG8">
        <v>5.6427697500000003</v>
      </c>
      <c r="AH8">
        <v>8.8357074480000009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10.374801570000001</v>
      </c>
      <c r="EE8">
        <v>4.6298005240000002</v>
      </c>
      <c r="EF8">
        <v>7.4520760199999998</v>
      </c>
    </row>
    <row r="9" spans="1:136" x14ac:dyDescent="0.4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8.594948896</v>
      </c>
      <c r="AD9">
        <v>5.1055605350000004</v>
      </c>
      <c r="AE9">
        <v>8.8043443959999994</v>
      </c>
      <c r="AF9">
        <v>9.1404365149999993</v>
      </c>
      <c r="AG9">
        <v>5.1407413850000001</v>
      </c>
      <c r="AH9">
        <v>9.1758210899999995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9.9897706999999993</v>
      </c>
      <c r="EE9">
        <v>5.0197913569999999</v>
      </c>
      <c r="EF9">
        <v>7.2238563009999996</v>
      </c>
    </row>
    <row r="10" spans="1:136" x14ac:dyDescent="0.4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8.4377930810000006</v>
      </c>
      <c r="AJ10">
        <v>4.8936373179999997</v>
      </c>
      <c r="AK10">
        <v>7.1050324849999997</v>
      </c>
      <c r="AL10">
        <v>8.2111774190000002</v>
      </c>
      <c r="AM10">
        <v>5.8234977649999999</v>
      </c>
      <c r="AN10">
        <v>7.5481536739999999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9.6354378740000008</v>
      </c>
      <c r="EE10">
        <v>4.6912529489999999</v>
      </c>
      <c r="EF10">
        <v>7.1985747199999999</v>
      </c>
    </row>
    <row r="11" spans="1:136" x14ac:dyDescent="0.4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8.6844485640000002</v>
      </c>
      <c r="AJ11">
        <v>5.5734997850000001</v>
      </c>
      <c r="AK11">
        <v>7.6403825080000001</v>
      </c>
      <c r="AL11">
        <v>8.4927220929999994</v>
      </c>
      <c r="AM11">
        <v>5.5341548649999996</v>
      </c>
      <c r="AN11">
        <v>7.6496571959999997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10.513373169999999</v>
      </c>
      <c r="EE11">
        <v>4.5073560170000002</v>
      </c>
      <c r="EF11">
        <v>8.349433908</v>
      </c>
    </row>
    <row r="12" spans="1:136" x14ac:dyDescent="0.4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8.3792325410000004</v>
      </c>
      <c r="AJ12">
        <v>4.9315206519999997</v>
      </c>
      <c r="AK12">
        <v>7.5433837190000004</v>
      </c>
      <c r="AL12">
        <v>7.9090068899999997</v>
      </c>
      <c r="AM12">
        <v>4.9057558730000004</v>
      </c>
      <c r="AN12">
        <v>7.6601779790000002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10.486241420000001</v>
      </c>
      <c r="EE12">
        <v>4.9210873749999999</v>
      </c>
      <c r="EF12">
        <v>6.8345904700000002</v>
      </c>
    </row>
    <row r="13" spans="1:136" x14ac:dyDescent="0.4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7.8217383050000002</v>
      </c>
      <c r="AJ13">
        <v>4.934019395</v>
      </c>
      <c r="AK13">
        <v>7.6010382209999996</v>
      </c>
      <c r="AL13">
        <v>10.211005999999999</v>
      </c>
      <c r="AM13">
        <v>4.9416156759999996</v>
      </c>
      <c r="AN13">
        <v>6.7450138529999997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8.9241304140000004</v>
      </c>
      <c r="EE13">
        <v>4.4459397840000001</v>
      </c>
      <c r="EF13">
        <v>7.0054066849999996</v>
      </c>
    </row>
    <row r="14" spans="1:136" x14ac:dyDescent="0.4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6.8449980180000001</v>
      </c>
      <c r="AJ14">
        <v>5.9380414010000004</v>
      </c>
      <c r="AK14">
        <v>7.7254706620000002</v>
      </c>
      <c r="AL14">
        <v>8.1996200940000001</v>
      </c>
      <c r="AM14">
        <v>4.9035539970000004</v>
      </c>
      <c r="AN14">
        <v>7.6741893040000004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10.545820730000001</v>
      </c>
      <c r="EE14">
        <v>4.3125312520000003</v>
      </c>
      <c r="EF14">
        <v>6.6834024530000002</v>
      </c>
    </row>
    <row r="15" spans="1:136" x14ac:dyDescent="0.45">
      <c r="A15" t="s">
        <v>119</v>
      </c>
      <c r="B15">
        <v>7.5218167989999998</v>
      </c>
      <c r="C15">
        <v>4.6764965490000003</v>
      </c>
      <c r="D15">
        <v>6.6100177599999999</v>
      </c>
      <c r="E15">
        <v>8.6157434320000004</v>
      </c>
      <c r="F15">
        <v>4.645367663</v>
      </c>
      <c r="G15">
        <v>6.6626645629999999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7.8082933079999997</v>
      </c>
      <c r="EE15">
        <v>4.8902917959999996</v>
      </c>
      <c r="EF15">
        <v>6.8169683120000002</v>
      </c>
    </row>
    <row r="16" spans="1:136" x14ac:dyDescent="0.4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8.4937610410000008</v>
      </c>
      <c r="AJ16">
        <v>4.899332223</v>
      </c>
      <c r="AK16">
        <v>7.5508356880000003</v>
      </c>
      <c r="AL16">
        <v>6.6984739849999997</v>
      </c>
      <c r="AM16">
        <v>4.8874286429999998</v>
      </c>
      <c r="AN16">
        <v>7.6900356939999996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10.49370203</v>
      </c>
      <c r="EE16">
        <v>3.961197963</v>
      </c>
      <c r="EF16">
        <v>6.8627647620000003</v>
      </c>
    </row>
    <row r="17" spans="1:136" x14ac:dyDescent="0.45">
      <c r="A17" t="s">
        <v>120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8.2656694710000007</v>
      </c>
      <c r="I17">
        <v>4.1449806840000001</v>
      </c>
      <c r="J17">
        <v>7.5813115670000002</v>
      </c>
      <c r="K17">
        <v>9.5141744199999998</v>
      </c>
      <c r="L17">
        <v>4.6969296849999997</v>
      </c>
      <c r="M17">
        <v>7.1360198190000004</v>
      </c>
      <c r="N17">
        <v>8.8892809919999998</v>
      </c>
      <c r="O17">
        <v>4.1368954100000002</v>
      </c>
      <c r="P17">
        <v>7.2608506310000003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9.0616614729999991</v>
      </c>
      <c r="EE17">
        <v>4.3874110039999996</v>
      </c>
      <c r="EF17">
        <v>7.2807971159999996</v>
      </c>
    </row>
    <row r="18" spans="1:136" x14ac:dyDescent="0.45">
      <c r="A18" t="s">
        <v>121</v>
      </c>
      <c r="B18">
        <v>7.4103606099999997</v>
      </c>
      <c r="C18">
        <v>4.2455691209999999</v>
      </c>
      <c r="D18">
        <v>6.5238151760000003</v>
      </c>
      <c r="E18">
        <v>8.4637109969999997</v>
      </c>
      <c r="F18">
        <v>4.4445022459999999</v>
      </c>
      <c r="G18">
        <v>6.4547384819999998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8.6020828510000005</v>
      </c>
      <c r="EE18">
        <v>4.7121986490000003</v>
      </c>
      <c r="EF18">
        <v>6.7990086769999998</v>
      </c>
    </row>
    <row r="19" spans="1:136" x14ac:dyDescent="0.45">
      <c r="A19" t="s">
        <v>122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8.9754378240000001</v>
      </c>
      <c r="AP19">
        <v>4.4856819730000002</v>
      </c>
      <c r="AQ19">
        <v>9.140710275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10.31033293</v>
      </c>
      <c r="EE19">
        <v>5.0521733580000001</v>
      </c>
      <c r="EF19">
        <v>8.4732332140000004</v>
      </c>
    </row>
    <row r="20" spans="1:136" x14ac:dyDescent="0.45">
      <c r="A20" t="s">
        <v>123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7.2244427050000004</v>
      </c>
      <c r="AS20">
        <v>5.47803723</v>
      </c>
      <c r="AT20">
        <v>8.7909147020000002</v>
      </c>
      <c r="AU20">
        <v>9.4953406410000003</v>
      </c>
      <c r="AV20">
        <v>4.9611224639999998</v>
      </c>
      <c r="AW20">
        <v>9.3116301549999996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10.94178739</v>
      </c>
      <c r="EE20">
        <v>5.0272684239999998</v>
      </c>
      <c r="EF20">
        <v>8.3077782290000002</v>
      </c>
    </row>
    <row r="21" spans="1:136" x14ac:dyDescent="0.45">
      <c r="A21" t="s">
        <v>124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8.7141832049999994</v>
      </c>
      <c r="AS21">
        <v>5.1987363259999997</v>
      </c>
      <c r="AT21">
        <v>8.7829286579999994</v>
      </c>
      <c r="AU21">
        <v>9.6550588350000002</v>
      </c>
      <c r="AV21">
        <v>4.8966762299999997</v>
      </c>
      <c r="AW21">
        <v>9.3096067179999995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10.48045187</v>
      </c>
      <c r="EE21">
        <v>5.3424637160000001</v>
      </c>
      <c r="EF21">
        <v>8.4634807129999992</v>
      </c>
    </row>
    <row r="22" spans="1:136" x14ac:dyDescent="0.45">
      <c r="A22" t="s">
        <v>125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6.9272146379999997</v>
      </c>
      <c r="AS22">
        <v>4.644629278</v>
      </c>
      <c r="AT22">
        <v>8.1646896980000001</v>
      </c>
      <c r="AU22">
        <v>8.8679794049999998</v>
      </c>
      <c r="AV22">
        <v>4.8223725460000004</v>
      </c>
      <c r="AW22">
        <v>9.31121321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9.1252669599999994</v>
      </c>
      <c r="EE22">
        <v>5.1214329999999997</v>
      </c>
      <c r="EF22">
        <v>8.4540103539999993</v>
      </c>
    </row>
    <row r="23" spans="1:136" x14ac:dyDescent="0.45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8.1047605699999998</v>
      </c>
      <c r="AY23">
        <v>5.7025470299999999</v>
      </c>
      <c r="AZ23">
        <v>8.4313703289999999</v>
      </c>
      <c r="BA23">
        <v>11.46504197</v>
      </c>
      <c r="BB23">
        <v>5.2041207030000001</v>
      </c>
      <c r="BC23">
        <v>8.3883364040000004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10.63877675</v>
      </c>
      <c r="EE23">
        <v>4.9108617419999998</v>
      </c>
      <c r="EF23">
        <v>8.8797852769999999</v>
      </c>
    </row>
    <row r="24" spans="1:136" x14ac:dyDescent="0.45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7.6210095410000003</v>
      </c>
      <c r="BE24">
        <v>4.6085694659999996</v>
      </c>
      <c r="BF24">
        <v>6.6705191279999996</v>
      </c>
      <c r="BG24">
        <v>8.8214090820000006</v>
      </c>
      <c r="BH24">
        <v>4.2899454199999996</v>
      </c>
      <c r="BI24">
        <v>6.6736308129999999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10.141572419999999</v>
      </c>
      <c r="EE24">
        <v>4.1452788119999999</v>
      </c>
      <c r="EF24">
        <v>5.8228069959999997</v>
      </c>
    </row>
    <row r="25" spans="1:136" x14ac:dyDescent="0.45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8.5917100649999991</v>
      </c>
      <c r="BE25">
        <v>4.472757144</v>
      </c>
      <c r="BF25">
        <v>8.1763034819999998</v>
      </c>
      <c r="BG25">
        <v>7.6142723649999997</v>
      </c>
      <c r="BH25">
        <v>4.9515949450000001</v>
      </c>
      <c r="BI25">
        <v>8.1706375730000005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11.594911420000001</v>
      </c>
      <c r="EE25">
        <v>3.7584774009999999</v>
      </c>
      <c r="EF25">
        <v>5.8662954269999998</v>
      </c>
    </row>
    <row r="26" spans="1:136" x14ac:dyDescent="0.45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9.8843835169999998</v>
      </c>
      <c r="BE26">
        <v>2.8384220230000001</v>
      </c>
      <c r="BF26">
        <v>7.4988443040000003</v>
      </c>
      <c r="BG26">
        <v>8.3244047180000003</v>
      </c>
      <c r="BH26">
        <v>3.3872839159999999</v>
      </c>
      <c r="BI26">
        <v>7.8749683419999998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11.31619368</v>
      </c>
      <c r="EE26">
        <v>2.9982437590000002</v>
      </c>
      <c r="EF26">
        <v>6.4843307970000001</v>
      </c>
    </row>
    <row r="27" spans="1:136" x14ac:dyDescent="0.45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8.74002722</v>
      </c>
      <c r="BK27">
        <v>4.339360525</v>
      </c>
      <c r="BL27">
        <v>7.7131368770000002</v>
      </c>
      <c r="BM27">
        <v>7.1901306209999998</v>
      </c>
      <c r="BN27">
        <v>4.8098750949999998</v>
      </c>
      <c r="BO27">
        <v>10.781985629999999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14.214410060000001</v>
      </c>
      <c r="EE27">
        <v>4.0585362250000001</v>
      </c>
      <c r="EF27">
        <v>7.695628986</v>
      </c>
    </row>
    <row r="28" spans="1:136" x14ac:dyDescent="0.45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7.9244988999999997</v>
      </c>
      <c r="BK28">
        <v>5.0184547930000001</v>
      </c>
      <c r="BL28">
        <v>10.89199896</v>
      </c>
      <c r="BM28">
        <v>8.2746234750000003</v>
      </c>
      <c r="BN28">
        <v>4.827024164</v>
      </c>
      <c r="BO28">
        <v>8.6567662740000006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13.830742770000001</v>
      </c>
      <c r="EE28">
        <v>3.9989503320000002</v>
      </c>
      <c r="EF28">
        <v>8.1809079530000002</v>
      </c>
    </row>
    <row r="29" spans="1:136" x14ac:dyDescent="0.45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7.2096319580000001</v>
      </c>
      <c r="BK29">
        <v>5.0456769140000004</v>
      </c>
      <c r="BL29">
        <v>10.525096489999999</v>
      </c>
      <c r="BM29">
        <v>8.8478108940000002</v>
      </c>
      <c r="BN29">
        <v>4.4707167849999996</v>
      </c>
      <c r="BO29">
        <v>9.3466137570000001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14.8456382</v>
      </c>
      <c r="EE29">
        <v>4.4923626680000002</v>
      </c>
      <c r="EF29">
        <v>9.0536818290000003</v>
      </c>
    </row>
    <row r="30" spans="1:136" x14ac:dyDescent="0.45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7.8550321949999997</v>
      </c>
      <c r="BK30">
        <v>4.99350133</v>
      </c>
      <c r="BL30">
        <v>14.38508981</v>
      </c>
      <c r="BM30">
        <v>9.1238657879999998</v>
      </c>
      <c r="BN30">
        <v>4.8672570820000001</v>
      </c>
      <c r="BO30">
        <v>12.51052846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14.339453750000001</v>
      </c>
      <c r="EE30">
        <v>6.4664675919999999</v>
      </c>
      <c r="EF30">
        <v>11.911038319999999</v>
      </c>
    </row>
    <row r="31" spans="1:136" x14ac:dyDescent="0.45">
      <c r="A31" t="s">
        <v>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9.6070271060000003</v>
      </c>
      <c r="BK31">
        <v>3.5900439660000001</v>
      </c>
      <c r="BL31">
        <v>11.18404666</v>
      </c>
      <c r="BM31">
        <v>8.2138707049999997</v>
      </c>
      <c r="BN31">
        <v>4.5980513949999997</v>
      </c>
      <c r="BO31">
        <v>9.4887452589999999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11.83910828</v>
      </c>
      <c r="EE31">
        <v>3.7625226559999998</v>
      </c>
      <c r="EF31">
        <v>10.574965219999999</v>
      </c>
    </row>
    <row r="32" spans="1:136" x14ac:dyDescent="0.45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9.4498677700000009</v>
      </c>
      <c r="BK32">
        <v>5.4348107450000001</v>
      </c>
      <c r="BL32">
        <v>11.13393245</v>
      </c>
      <c r="BM32">
        <v>8.3199740319999993</v>
      </c>
      <c r="BN32">
        <v>4.0563467729999996</v>
      </c>
      <c r="BO32">
        <v>10.81063191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14.8843754</v>
      </c>
      <c r="EE32">
        <v>4.9323029109999998</v>
      </c>
      <c r="EF32">
        <v>10.456304149999999</v>
      </c>
    </row>
    <row r="33" spans="1:136" x14ac:dyDescent="0.45">
      <c r="A33" t="s">
        <v>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9.7814127539999998</v>
      </c>
      <c r="CC33">
        <v>5.0028414650000004</v>
      </c>
      <c r="CD33">
        <v>8.0111810160000001</v>
      </c>
      <c r="CE33">
        <v>8.3870425409999996</v>
      </c>
      <c r="CF33">
        <v>4.8234790759999999</v>
      </c>
      <c r="CG33">
        <v>8.2663397310000004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11.689432630000001</v>
      </c>
      <c r="EE33">
        <v>4.8753934409999999</v>
      </c>
      <c r="EF33">
        <v>7.9638048850000001</v>
      </c>
    </row>
    <row r="34" spans="1:136" x14ac:dyDescent="0.45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8.7178492330000008</v>
      </c>
      <c r="CC34">
        <v>5.4208086470000003</v>
      </c>
      <c r="CD34">
        <v>8.0047724020000004</v>
      </c>
      <c r="CE34">
        <v>7.962029115</v>
      </c>
      <c r="CF34">
        <v>5.6029086210000001</v>
      </c>
      <c r="CG34">
        <v>8.1273762430000005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11.39035743</v>
      </c>
      <c r="EE34">
        <v>4.7614069079999997</v>
      </c>
      <c r="EF34">
        <v>8.6414657310000003</v>
      </c>
    </row>
    <row r="35" spans="1:136" x14ac:dyDescent="0.45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8.7279554949999998</v>
      </c>
      <c r="CC35">
        <v>5.3441315219999996</v>
      </c>
      <c r="CD35">
        <v>8.2317557650000008</v>
      </c>
      <c r="CE35">
        <v>8.7405220109999995</v>
      </c>
      <c r="CF35">
        <v>5.4499050349999996</v>
      </c>
      <c r="CG35">
        <v>8.3280617620000008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10.836888119999999</v>
      </c>
      <c r="EE35">
        <v>5.0558766300000002</v>
      </c>
      <c r="EF35">
        <v>8.3213122810000009</v>
      </c>
    </row>
    <row r="36" spans="1:136" x14ac:dyDescent="0.45">
      <c r="A36" t="s">
        <v>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8.8485056170000007</v>
      </c>
      <c r="CC36">
        <v>5.3980679089999999</v>
      </c>
      <c r="CD36">
        <v>8.3698754050000002</v>
      </c>
      <c r="CE36">
        <v>8.5790895210000002</v>
      </c>
      <c r="CF36">
        <v>5.4996431570000004</v>
      </c>
      <c r="CG36">
        <v>8.6218379830000007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11.169990970000001</v>
      </c>
      <c r="EE36">
        <v>4.784650149</v>
      </c>
      <c r="EF36">
        <v>8.9020650529999994</v>
      </c>
    </row>
    <row r="37" spans="1:136" x14ac:dyDescent="0.45">
      <c r="A37" t="s">
        <v>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9.602910091</v>
      </c>
      <c r="CI37">
        <v>3.8390723420000001</v>
      </c>
      <c r="CJ37">
        <v>6.4635353609999999</v>
      </c>
      <c r="CK37">
        <v>8.9020127700000007</v>
      </c>
      <c r="CL37">
        <v>3.4401418100000001</v>
      </c>
      <c r="CM37">
        <v>6.702182165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7.7249528789999999</v>
      </c>
      <c r="EE37">
        <v>4.2225992339999996</v>
      </c>
      <c r="EF37">
        <v>8.0867563830000009</v>
      </c>
    </row>
    <row r="38" spans="1:136" x14ac:dyDescent="0.45">
      <c r="A38" t="s">
        <v>29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7.5327101340000002</v>
      </c>
      <c r="CC38">
        <v>5.3733127649999997</v>
      </c>
      <c r="CD38">
        <v>8.1657123110000001</v>
      </c>
      <c r="CE38">
        <v>8.5768996790000003</v>
      </c>
      <c r="CF38">
        <v>4.9034925769999997</v>
      </c>
      <c r="CG38">
        <v>8.0720324649999995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10.817331149999999</v>
      </c>
      <c r="EE38">
        <v>5.2228149339999996</v>
      </c>
      <c r="EF38">
        <v>8.2191297320000007</v>
      </c>
    </row>
    <row r="39" spans="1:136" x14ac:dyDescent="0.45">
      <c r="A39" t="s">
        <v>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9.4550391200000004</v>
      </c>
      <c r="CC39">
        <v>4.5334860289999996</v>
      </c>
      <c r="CD39">
        <v>8.160936521</v>
      </c>
      <c r="CE39">
        <v>8.2823555530000004</v>
      </c>
      <c r="CF39">
        <v>6.0017351000000003</v>
      </c>
      <c r="CG39">
        <v>8.2419235880000006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11.35566972</v>
      </c>
      <c r="EE39">
        <v>4.3170530380000001</v>
      </c>
      <c r="EF39">
        <v>8.3929945650000004</v>
      </c>
    </row>
    <row r="40" spans="1:136" x14ac:dyDescent="0.45">
      <c r="A40" t="s">
        <v>31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7.4196876989999998</v>
      </c>
      <c r="AY40">
        <v>5.4073190950000001</v>
      </c>
      <c r="AZ40">
        <v>7.914507822</v>
      </c>
      <c r="BA40">
        <v>8.7758308859999996</v>
      </c>
      <c r="BB40">
        <v>5.3325314099999996</v>
      </c>
      <c r="BC40">
        <v>6.6376911029999999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9.5701185839999994</v>
      </c>
      <c r="EE40">
        <v>5.1375184850000002</v>
      </c>
      <c r="EF40">
        <v>6.9372845740000004</v>
      </c>
    </row>
    <row r="41" spans="1:136" x14ac:dyDescent="0.45">
      <c r="A41" t="s">
        <v>127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8.9009930280000003</v>
      </c>
      <c r="CO41">
        <v>4.0228572439999999</v>
      </c>
      <c r="CP41">
        <v>8.9927808680000005</v>
      </c>
      <c r="CQ41">
        <v>7.2326224410000002</v>
      </c>
      <c r="CR41">
        <v>4.752909024</v>
      </c>
      <c r="CS41">
        <v>9.1213967450000002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9.4760960920000006</v>
      </c>
      <c r="EE41">
        <v>4.8967100830000003</v>
      </c>
      <c r="EF41">
        <v>8.8075263439999993</v>
      </c>
    </row>
    <row r="42" spans="1:136" x14ac:dyDescent="0.45">
      <c r="A42" t="s">
        <v>128</v>
      </c>
      <c r="B42">
        <v>7.9472741630000003</v>
      </c>
      <c r="C42">
        <v>4.7756567639999998</v>
      </c>
      <c r="D42">
        <v>11.124194360000001</v>
      </c>
      <c r="E42">
        <v>8.624063928</v>
      </c>
      <c r="F42">
        <v>4.9377292539999997</v>
      </c>
      <c r="G42">
        <v>8.1760057659999994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15.245046670000001</v>
      </c>
      <c r="EE42">
        <v>3.7714800319999999</v>
      </c>
      <c r="EF42">
        <v>7.5423412760000001</v>
      </c>
    </row>
    <row r="43" spans="1:136" x14ac:dyDescent="0.45">
      <c r="A43" t="s">
        <v>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8.1193508330000004</v>
      </c>
      <c r="AJ43">
        <v>5.0712442629999996</v>
      </c>
      <c r="AK43">
        <v>7.4904778470000002</v>
      </c>
      <c r="AL43">
        <v>7.5613427570000002</v>
      </c>
      <c r="AM43">
        <v>4.9688022910000003</v>
      </c>
      <c r="AN43">
        <v>7.6592767789999998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10.25905595</v>
      </c>
      <c r="EE43">
        <v>4.6592011299999996</v>
      </c>
      <c r="EF43">
        <v>6.9554189769999999</v>
      </c>
    </row>
    <row r="44" spans="1:136" x14ac:dyDescent="0.45">
      <c r="A44" t="s">
        <v>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8.1757168409999998</v>
      </c>
      <c r="AJ44">
        <v>5.2166756349999996</v>
      </c>
      <c r="AK44">
        <v>7.4299978339999999</v>
      </c>
      <c r="AL44">
        <v>8.0900235140000003</v>
      </c>
      <c r="AM44">
        <v>5.1435509389999998</v>
      </c>
      <c r="AN44">
        <v>7.5160496380000001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10.008678310000001</v>
      </c>
      <c r="EE44">
        <v>5.0390061509999997</v>
      </c>
      <c r="EF44">
        <v>6.8617756959999996</v>
      </c>
    </row>
    <row r="45" spans="1:136" x14ac:dyDescent="0.45">
      <c r="A45" t="s">
        <v>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8.2912320340000001</v>
      </c>
      <c r="AY45">
        <v>5.5224689250000001</v>
      </c>
      <c r="AZ45">
        <v>8.0612001590000002</v>
      </c>
      <c r="BA45">
        <v>7.2745532319999997</v>
      </c>
      <c r="BB45">
        <v>5.7032354889999999</v>
      </c>
      <c r="BC45">
        <v>8.6894667939999994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10.06332903</v>
      </c>
      <c r="EE45">
        <v>5.1103873569999996</v>
      </c>
      <c r="EF45">
        <v>7.850518385</v>
      </c>
    </row>
    <row r="46" spans="1:136" x14ac:dyDescent="0.45">
      <c r="A46" t="s">
        <v>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6.7121363790000004</v>
      </c>
      <c r="AY46">
        <v>6.0686510399999998</v>
      </c>
      <c r="AZ46">
        <v>8.3024814469999999</v>
      </c>
      <c r="BA46">
        <v>8.4065006130000004</v>
      </c>
      <c r="BB46">
        <v>4.8236855030000001</v>
      </c>
      <c r="BC46">
        <v>8.4063583299999998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11.281814349999999</v>
      </c>
      <c r="EE46">
        <v>3.9509329019999999</v>
      </c>
      <c r="EF46">
        <v>6.833138537</v>
      </c>
    </row>
    <row r="47" spans="1:136" x14ac:dyDescent="0.45">
      <c r="A47" t="s">
        <v>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7.8884480889999997</v>
      </c>
      <c r="CU47">
        <v>5.4589414889999999</v>
      </c>
      <c r="CV47">
        <v>9.0087359209999995</v>
      </c>
      <c r="CW47">
        <v>9.6026702319999995</v>
      </c>
      <c r="CX47">
        <v>4.828870362</v>
      </c>
      <c r="CY47">
        <v>8.9893363480000001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10.917547219999999</v>
      </c>
      <c r="EE47">
        <v>4.7849300990000003</v>
      </c>
      <c r="EF47">
        <v>7.152141576</v>
      </c>
    </row>
    <row r="48" spans="1:136" x14ac:dyDescent="0.45">
      <c r="A48" t="s">
        <v>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8.9109608779999991</v>
      </c>
      <c r="CU48">
        <v>4.9344281900000002</v>
      </c>
      <c r="CV48">
        <v>9.2072461709999995</v>
      </c>
      <c r="CW48">
        <v>9.2817428609999997</v>
      </c>
      <c r="CX48">
        <v>5.7548701170000003</v>
      </c>
      <c r="CY48">
        <v>8.9917505700000007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11.11601945</v>
      </c>
      <c r="EE48">
        <v>5.5699098200000003</v>
      </c>
      <c r="EF48">
        <v>9.6558912130000003</v>
      </c>
    </row>
    <row r="49" spans="1:136" x14ac:dyDescent="0.45">
      <c r="A49" t="s">
        <v>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8.5395494630000002</v>
      </c>
      <c r="CU49">
        <v>5.3028789329999997</v>
      </c>
      <c r="CV49">
        <v>8.9857530190000006</v>
      </c>
      <c r="CW49">
        <v>9.4245447210000002</v>
      </c>
      <c r="CX49">
        <v>4.3229231959999996</v>
      </c>
      <c r="CY49">
        <v>8.9938338299999998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11.39148103</v>
      </c>
      <c r="EE49">
        <v>4.5719705900000003</v>
      </c>
      <c r="EF49">
        <v>7.1393378390000004</v>
      </c>
    </row>
    <row r="50" spans="1:136" x14ac:dyDescent="0.45">
      <c r="A50" t="s">
        <v>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9.8810781649999999</v>
      </c>
      <c r="CU50">
        <v>5.1181944929999998</v>
      </c>
      <c r="CV50">
        <v>9.0590459330000002</v>
      </c>
      <c r="CW50">
        <v>9.9472407799999996</v>
      </c>
      <c r="CX50">
        <v>5.8143025279999998</v>
      </c>
      <c r="CY50">
        <v>8.9965293509999995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11.29322007</v>
      </c>
      <c r="EE50">
        <v>4.761424495</v>
      </c>
      <c r="EF50">
        <v>8.8236780560000003</v>
      </c>
    </row>
    <row r="51" spans="1:136" x14ac:dyDescent="0.45">
      <c r="A51" t="s">
        <v>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9.0962533210000007</v>
      </c>
      <c r="CU51">
        <v>4.5430827809999998</v>
      </c>
      <c r="CV51">
        <v>8.996287701</v>
      </c>
      <c r="CW51">
        <v>6.9048560520000004</v>
      </c>
      <c r="CX51">
        <v>4.9530524610000004</v>
      </c>
      <c r="CY51">
        <v>8.6930412990000008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11.42555177</v>
      </c>
      <c r="EE51">
        <v>4.966414597</v>
      </c>
      <c r="EF51">
        <v>7.8365664050000001</v>
      </c>
    </row>
    <row r="52" spans="1:136" x14ac:dyDescent="0.45">
      <c r="A52" t="s">
        <v>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7.7270527690000002</v>
      </c>
      <c r="CU52">
        <v>4.3622977900000004</v>
      </c>
      <c r="CV52">
        <v>8.9197738799999993</v>
      </c>
      <c r="CW52">
        <v>7.891588241</v>
      </c>
      <c r="CX52">
        <v>4.7819683299999998</v>
      </c>
      <c r="CY52">
        <v>8.9756912930000006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11.65499157</v>
      </c>
      <c r="EE52">
        <v>4.3100535789999999</v>
      </c>
      <c r="EF52">
        <v>7.934220152</v>
      </c>
    </row>
    <row r="53" spans="1:136" x14ac:dyDescent="0.45">
      <c r="A53" t="s">
        <v>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8.3939028380000007</v>
      </c>
      <c r="CU53">
        <v>4.8867885680000001</v>
      </c>
      <c r="CV53">
        <v>8.9998838639999992</v>
      </c>
      <c r="CW53">
        <v>7.5393018639999996</v>
      </c>
      <c r="CX53">
        <v>5.3693165299999999</v>
      </c>
      <c r="CY53">
        <v>8.9984690050000005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11.02732685</v>
      </c>
      <c r="EE53">
        <v>4.8226806120000001</v>
      </c>
      <c r="EF53">
        <v>6.9357153010000001</v>
      </c>
    </row>
    <row r="54" spans="1:136" x14ac:dyDescent="0.45">
      <c r="A54" t="s">
        <v>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7.3564119129999996</v>
      </c>
      <c r="CU54">
        <v>4.9121599380000003</v>
      </c>
      <c r="CV54">
        <v>8.3468543840000002</v>
      </c>
      <c r="CW54">
        <v>8.1192355299999992</v>
      </c>
      <c r="CX54">
        <v>4.7955020099999999</v>
      </c>
      <c r="CY54">
        <v>8.1254358409999998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12.48864968</v>
      </c>
      <c r="EE54">
        <v>4.3562610709999996</v>
      </c>
      <c r="EF54">
        <v>6.7761871410000003</v>
      </c>
    </row>
    <row r="55" spans="1:136" x14ac:dyDescent="0.45">
      <c r="A55" t="s">
        <v>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9.0394796999999993</v>
      </c>
      <c r="DA55">
        <v>4.7600496430000003</v>
      </c>
      <c r="DB55">
        <v>8.3348902480000007</v>
      </c>
      <c r="DC55">
        <v>9.1381956229999997</v>
      </c>
      <c r="DD55">
        <v>4.966129091</v>
      </c>
      <c r="DE55">
        <v>8.2611604199999995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11.14712177</v>
      </c>
      <c r="EE55">
        <v>4.6281124499999997</v>
      </c>
      <c r="EF55">
        <v>7.0213043449999999</v>
      </c>
    </row>
    <row r="56" spans="1:136" x14ac:dyDescent="0.45">
      <c r="A56" t="s">
        <v>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9.7396585590000004</v>
      </c>
      <c r="DG56">
        <v>4.3417484269999997</v>
      </c>
      <c r="DH56">
        <v>8.3002087049999993</v>
      </c>
      <c r="DI56">
        <v>8.7679595670000001</v>
      </c>
      <c r="DJ56">
        <v>4.3420816350000004</v>
      </c>
      <c r="DK56">
        <v>8.1255900860000008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11.18445889</v>
      </c>
      <c r="EE56">
        <v>4.9299248809999998</v>
      </c>
      <c r="EF56">
        <v>8.4426630449999998</v>
      </c>
    </row>
    <row r="57" spans="1:136" x14ac:dyDescent="0.45">
      <c r="A57" t="s">
        <v>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7.3679705689999997</v>
      </c>
      <c r="CC57">
        <v>4.209351281</v>
      </c>
      <c r="CD57">
        <v>8.3584417230000003</v>
      </c>
      <c r="CE57">
        <v>8.9845998510000005</v>
      </c>
      <c r="CF57">
        <v>2.6894161639999998</v>
      </c>
      <c r="CG57">
        <v>8.1920192699999994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10.882942610000001</v>
      </c>
      <c r="EE57">
        <v>3.0843514980000002</v>
      </c>
      <c r="EF57">
        <v>7.6971382960000003</v>
      </c>
    </row>
    <row r="58" spans="1:136" x14ac:dyDescent="0.45">
      <c r="A58" t="s">
        <v>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8.2927219979999993</v>
      </c>
      <c r="DM58">
        <v>5.0519021589999999</v>
      </c>
      <c r="DN58">
        <v>9.2246201360000004</v>
      </c>
      <c r="DO58">
        <v>8.0922740219999998</v>
      </c>
      <c r="DP58">
        <v>5.0038904520000003</v>
      </c>
      <c r="DQ58">
        <v>9.4637224460000002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12.15883324</v>
      </c>
      <c r="EE58">
        <v>4.861220554</v>
      </c>
      <c r="EF58">
        <v>8.0784781189999997</v>
      </c>
    </row>
    <row r="59" spans="1:136" x14ac:dyDescent="0.45">
      <c r="A59" t="s">
        <v>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8.0712497590000005</v>
      </c>
      <c r="BK59">
        <v>5.0018692759999999</v>
      </c>
      <c r="BL59">
        <v>9.8729876690000005</v>
      </c>
      <c r="BM59">
        <v>8.5446854010000006</v>
      </c>
      <c r="BN59">
        <v>4.952707835</v>
      </c>
      <c r="BO59">
        <v>10.03698458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14.60922424</v>
      </c>
      <c r="EE59">
        <v>4.3373273350000003</v>
      </c>
      <c r="EF59">
        <v>7.5813391220000002</v>
      </c>
    </row>
    <row r="60" spans="1:136" x14ac:dyDescent="0.45">
      <c r="A60" t="s">
        <v>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9.2927712669999991</v>
      </c>
      <c r="DS60">
        <v>5.6106493300000002</v>
      </c>
      <c r="DT60">
        <v>7.5872812060000001</v>
      </c>
      <c r="DU60">
        <v>8.6330479019999995</v>
      </c>
      <c r="DV60">
        <v>4.8660335090000002</v>
      </c>
      <c r="DW60">
        <v>6.9005755740000003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9.5603919929999996</v>
      </c>
      <c r="EE60">
        <v>5.0746934289999999</v>
      </c>
      <c r="EF60">
        <v>8.3716305250000005</v>
      </c>
    </row>
    <row r="61" spans="1:136" x14ac:dyDescent="0.45">
      <c r="A61" t="s">
        <v>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6.8077276900000001</v>
      </c>
      <c r="DS61">
        <v>5.3048987160000003</v>
      </c>
      <c r="DT61">
        <v>7.9725194449999996</v>
      </c>
      <c r="DU61">
        <v>9.4971974360000004</v>
      </c>
      <c r="DV61">
        <v>4.1662969189999997</v>
      </c>
      <c r="DW61">
        <v>10.432634350000001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9.7165541609999995</v>
      </c>
      <c r="EE61">
        <v>3.879530339</v>
      </c>
      <c r="EF61">
        <v>10.4809529</v>
      </c>
    </row>
    <row r="62" spans="1:136" x14ac:dyDescent="0.45">
      <c r="A62" t="s">
        <v>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9.2664010559999994</v>
      </c>
      <c r="DS62">
        <v>4.8689235210000001</v>
      </c>
      <c r="DT62">
        <v>6.7294051179999999</v>
      </c>
      <c r="DU62">
        <v>7.3403339929999998</v>
      </c>
      <c r="DV62">
        <v>4.7925866770000001</v>
      </c>
      <c r="DW62">
        <v>9.2175751370000008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9.7815708259999994</v>
      </c>
      <c r="EE62">
        <v>4.667664984</v>
      </c>
      <c r="EF62">
        <v>6.8307855420000001</v>
      </c>
    </row>
    <row r="63" spans="1:136" x14ac:dyDescent="0.45">
      <c r="A63" t="s">
        <v>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8.8461909619999997</v>
      </c>
      <c r="DS63">
        <v>4.2315562770000001</v>
      </c>
      <c r="DT63">
        <v>8.1182121600000006</v>
      </c>
      <c r="DU63">
        <v>6.5998113600000003</v>
      </c>
      <c r="DV63">
        <v>5.4219754189999998</v>
      </c>
      <c r="DW63">
        <v>9.133644511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9.8495405030000001</v>
      </c>
      <c r="EE63">
        <v>4.6579644480000004</v>
      </c>
      <c r="EF63">
        <v>8.9471284610000001</v>
      </c>
    </row>
    <row r="64" spans="1:136" x14ac:dyDescent="0.45">
      <c r="A64" t="s">
        <v>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6.1632910389999997</v>
      </c>
      <c r="DS64">
        <v>5.4111236829999996</v>
      </c>
      <c r="DT64">
        <v>11.4210458</v>
      </c>
      <c r="DU64">
        <v>8.8435327860000008</v>
      </c>
      <c r="DV64">
        <v>3.9851138769999999</v>
      </c>
      <c r="DW64">
        <v>10.953733310000001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11.8487882</v>
      </c>
      <c r="EE64">
        <v>4.6471966729999998</v>
      </c>
      <c r="EF64">
        <v>10.95523721</v>
      </c>
    </row>
    <row r="65" spans="1:136" x14ac:dyDescent="0.45">
      <c r="A65" t="s">
        <v>129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8.0801088579999991</v>
      </c>
      <c r="DY65">
        <v>4.266304366</v>
      </c>
      <c r="DZ65">
        <v>7.0858208429999996</v>
      </c>
      <c r="EA65">
        <v>8.4522566920000006</v>
      </c>
      <c r="EB65">
        <v>4.2867472979999999</v>
      </c>
      <c r="EC65">
        <v>7.0433153370000001</v>
      </c>
      <c r="ED65">
        <v>7.5681300460000003</v>
      </c>
      <c r="EE65">
        <v>3.5076686929999998</v>
      </c>
      <c r="EF65">
        <v>7.3567297030000001</v>
      </c>
    </row>
    <row r="66" spans="1:136" x14ac:dyDescent="0.45">
      <c r="A66" t="s">
        <v>130</v>
      </c>
      <c r="B66">
        <v>8.0327573240000003</v>
      </c>
      <c r="C66">
        <v>4.4484025650000003</v>
      </c>
      <c r="D66">
        <v>6.9973438139999997</v>
      </c>
      <c r="E66">
        <v>8.4901922360000004</v>
      </c>
      <c r="F66">
        <v>4.8315612799999998</v>
      </c>
      <c r="G66">
        <v>7.3046685040000003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8.7169672679999994</v>
      </c>
      <c r="EE66">
        <v>4.4344929750000004</v>
      </c>
      <c r="EF66">
        <v>7.6014109190000001</v>
      </c>
    </row>
    <row r="67" spans="1:136" x14ac:dyDescent="0.45">
      <c r="A67" t="s">
        <v>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7.3344507300000004</v>
      </c>
      <c r="AY67">
        <v>5.1482420370000002</v>
      </c>
      <c r="AZ67">
        <v>8.6110251739999999</v>
      </c>
      <c r="BA67">
        <v>7.9610950210000002</v>
      </c>
      <c r="BB67">
        <v>4.847532449</v>
      </c>
      <c r="BC67">
        <v>8.1800508139999994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9.5549290550000006</v>
      </c>
      <c r="EE67">
        <v>5.0591430549999998</v>
      </c>
      <c r="EF67">
        <v>8.1889392409999999</v>
      </c>
    </row>
    <row r="68" spans="1:136" x14ac:dyDescent="0.45">
      <c r="A68" t="s">
        <v>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9.6239753409999995</v>
      </c>
      <c r="AY68">
        <v>5.2384467020000001</v>
      </c>
      <c r="AZ68">
        <v>8.5090641760000008</v>
      </c>
      <c r="BA68">
        <v>8.0063193469999998</v>
      </c>
      <c r="BB68">
        <v>5.4909415340000001</v>
      </c>
      <c r="BC68">
        <v>8.1374684009999996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11.81861866</v>
      </c>
      <c r="EE68">
        <v>4.4355785570000004</v>
      </c>
      <c r="EF68">
        <v>7.7557359330000004</v>
      </c>
    </row>
    <row r="69" spans="1:136" x14ac:dyDescent="0.45">
      <c r="A69" t="s">
        <v>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8.5122648489999992</v>
      </c>
      <c r="AY69">
        <v>4.621684739</v>
      </c>
      <c r="AZ69">
        <v>8.507023169</v>
      </c>
      <c r="BA69">
        <v>7.6757462609999996</v>
      </c>
      <c r="BB69">
        <v>5.2808503699999996</v>
      </c>
      <c r="BC69">
        <v>8.1134427290000009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11.77393597</v>
      </c>
      <c r="EE69">
        <v>3.8407557259999998</v>
      </c>
      <c r="EF69">
        <v>7.2398641179999998</v>
      </c>
    </row>
    <row r="70" spans="1:136" x14ac:dyDescent="0.45">
      <c r="A70" t="s">
        <v>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8.2656615129999995</v>
      </c>
      <c r="AY70">
        <v>4.907169863</v>
      </c>
      <c r="AZ70">
        <v>8.4416067750000003</v>
      </c>
      <c r="BA70">
        <v>7.7699943239999998</v>
      </c>
      <c r="BB70">
        <v>4.9987244039999998</v>
      </c>
      <c r="BC70">
        <v>8.2371202720000003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11.906194060000001</v>
      </c>
      <c r="EE70">
        <v>4.9428456619999999</v>
      </c>
      <c r="EF70">
        <v>7.6256057210000003</v>
      </c>
    </row>
    <row r="71" spans="1:136" x14ac:dyDescent="0.45">
      <c r="A71" t="s">
        <v>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8.5607334920000007</v>
      </c>
      <c r="BK71">
        <v>4.6615836579999996</v>
      </c>
      <c r="BL71">
        <v>9.9490195630000002</v>
      </c>
      <c r="BM71">
        <v>8.0554674120000005</v>
      </c>
      <c r="BN71">
        <v>4.9280630189999997</v>
      </c>
      <c r="BO71">
        <v>10.184738640000001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14.40081313</v>
      </c>
      <c r="EE71">
        <v>4.6153652019999996</v>
      </c>
      <c r="EF71">
        <v>7.649455025</v>
      </c>
    </row>
    <row r="72" spans="1:136" x14ac:dyDescent="0.45">
      <c r="A72" t="s">
        <v>131</v>
      </c>
      <c r="B72">
        <v>9.0635549599999994</v>
      </c>
      <c r="C72">
        <v>4.5917443359999996</v>
      </c>
      <c r="D72">
        <v>6.8940909719999999</v>
      </c>
      <c r="E72">
        <v>7.7848097630000002</v>
      </c>
      <c r="F72">
        <v>4.3520879890000002</v>
      </c>
      <c r="G72">
        <v>7.0941003800000004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8.6923597790000002</v>
      </c>
      <c r="EE72">
        <v>3.8796642910000001</v>
      </c>
      <c r="EF72">
        <v>6.6478187850000001</v>
      </c>
    </row>
    <row r="73" spans="1:136" x14ac:dyDescent="0.45">
      <c r="A73" t="s">
        <v>132</v>
      </c>
      <c r="B73">
        <v>8.6210973850000006</v>
      </c>
      <c r="C73">
        <v>4.842604594</v>
      </c>
      <c r="D73">
        <v>7.1385882470000004</v>
      </c>
      <c r="E73">
        <v>9.241010588</v>
      </c>
      <c r="F73">
        <v>4.3291681730000002</v>
      </c>
      <c r="G73">
        <v>6.8993981199999999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7.6142357479999996</v>
      </c>
      <c r="EE73">
        <v>4.408113546</v>
      </c>
      <c r="EF73">
        <v>7.608658417</v>
      </c>
    </row>
    <row r="74" spans="1:136" x14ac:dyDescent="0.45">
      <c r="A74" t="s">
        <v>133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8.4346348619999993</v>
      </c>
      <c r="R74">
        <v>5.11988764</v>
      </c>
      <c r="S74">
        <v>7.2679158810000004</v>
      </c>
      <c r="T74">
        <v>8.0029712679999996</v>
      </c>
      <c r="U74">
        <v>4.7905108030000001</v>
      </c>
      <c r="V74">
        <v>7.3159590879999996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9.8968779330000007</v>
      </c>
      <c r="EE74">
        <v>5.2195622339999996</v>
      </c>
      <c r="EF74">
        <v>6.9114836999999998</v>
      </c>
    </row>
    <row r="75" spans="1:136" x14ac:dyDescent="0.45">
      <c r="A75" t="s">
        <v>59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9.1818036729999992</v>
      </c>
      <c r="X75">
        <v>5.4621339659999997</v>
      </c>
      <c r="Y75">
        <v>8.6286901329999992</v>
      </c>
      <c r="Z75">
        <v>9.9534693409999999</v>
      </c>
      <c r="AA75">
        <v>4.2415832770000002</v>
      </c>
      <c r="AB75">
        <v>8.9562090090000002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12.05156641</v>
      </c>
      <c r="EE75">
        <v>4.3580875079999997</v>
      </c>
      <c r="EF75">
        <v>8.4127463290000009</v>
      </c>
    </row>
    <row r="76" spans="1:136" x14ac:dyDescent="0.45">
      <c r="A76" t="s">
        <v>60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7.3699096449999999</v>
      </c>
      <c r="AD76">
        <v>5.6560329789999999</v>
      </c>
      <c r="AE76">
        <v>9.1560764280000004</v>
      </c>
      <c r="AF76">
        <v>8.1589087780000007</v>
      </c>
      <c r="AG76">
        <v>5.1671757889999999</v>
      </c>
      <c r="AH76">
        <v>9.3366270080000007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10.075203009999999</v>
      </c>
      <c r="EE76">
        <v>4.2695934910000002</v>
      </c>
      <c r="EF76">
        <v>7.4536065259999997</v>
      </c>
    </row>
    <row r="77" spans="1:136" x14ac:dyDescent="0.45">
      <c r="A77" t="s">
        <v>61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8.7815683960000008</v>
      </c>
      <c r="AD77">
        <v>5.0642614300000002</v>
      </c>
      <c r="AE77">
        <v>8.6751256720000001</v>
      </c>
      <c r="AF77">
        <v>8.8081285420000004</v>
      </c>
      <c r="AG77">
        <v>4.7629096730000002</v>
      </c>
      <c r="AH77">
        <v>9.2252736940000002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10.734209</v>
      </c>
      <c r="EE77">
        <v>5.2000572370000002</v>
      </c>
      <c r="EF77">
        <v>8.0939283639999999</v>
      </c>
    </row>
    <row r="78" spans="1:136" x14ac:dyDescent="0.45">
      <c r="A78" t="s">
        <v>62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8.7873266060000006</v>
      </c>
      <c r="AJ78">
        <v>5.2431642590000003</v>
      </c>
      <c r="AK78">
        <v>7.2778947379999996</v>
      </c>
      <c r="AL78">
        <v>8.8153859659999991</v>
      </c>
      <c r="AM78">
        <v>5.7111380919999997</v>
      </c>
      <c r="AN78">
        <v>7.618890167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9.5687336149999993</v>
      </c>
      <c r="EE78">
        <v>4.8257734660000002</v>
      </c>
      <c r="EF78">
        <v>7.1012390590000001</v>
      </c>
    </row>
    <row r="79" spans="1:136" x14ac:dyDescent="0.45">
      <c r="A79" t="s">
        <v>63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10.93097279</v>
      </c>
      <c r="AJ79">
        <v>4.8546519979999996</v>
      </c>
      <c r="AK79">
        <v>8.3723272439999992</v>
      </c>
      <c r="AL79">
        <v>8.9130037079999997</v>
      </c>
      <c r="AM79">
        <v>5.2115187760000001</v>
      </c>
      <c r="AN79">
        <v>8.2442442220000007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10.59138098</v>
      </c>
      <c r="EE79">
        <v>4.0533167880000001</v>
      </c>
      <c r="EF79">
        <v>9.1091433530000003</v>
      </c>
    </row>
    <row r="80" spans="1:136" x14ac:dyDescent="0.45">
      <c r="A80" t="s">
        <v>64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8.9971786260000002</v>
      </c>
      <c r="AJ80">
        <v>4.4654460719999998</v>
      </c>
      <c r="AK80">
        <v>7.151753823</v>
      </c>
      <c r="AL80">
        <v>7.03803409</v>
      </c>
      <c r="AM80">
        <v>4.9101380790000002</v>
      </c>
      <c r="AN80">
        <v>7.6467732780000004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9.6122680999999996</v>
      </c>
      <c r="EE80">
        <v>4.6364723359999997</v>
      </c>
      <c r="EF80">
        <v>7.0708611909999997</v>
      </c>
    </row>
    <row r="81" spans="1:136" x14ac:dyDescent="0.45">
      <c r="A81" t="s">
        <v>65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8.2550320690000003</v>
      </c>
      <c r="AJ81">
        <v>5.0135952609999999</v>
      </c>
      <c r="AK81">
        <v>7.0566666170000003</v>
      </c>
      <c r="AL81">
        <v>8.5321877490000002</v>
      </c>
      <c r="AM81">
        <v>4.8280695690000002</v>
      </c>
      <c r="AN81">
        <v>7.6997796989999996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9.2224230360000004</v>
      </c>
      <c r="EE81">
        <v>4.7266649300000001</v>
      </c>
      <c r="EF81">
        <v>7.0390853690000004</v>
      </c>
    </row>
    <row r="82" spans="1:136" x14ac:dyDescent="0.45">
      <c r="A82" t="s">
        <v>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8.6425110790000002</v>
      </c>
      <c r="AJ82">
        <v>5.4299117609999996</v>
      </c>
      <c r="AK82">
        <v>7.5436884749999997</v>
      </c>
      <c r="AL82">
        <v>8.4721510070000008</v>
      </c>
      <c r="AM82">
        <v>5.2394169100000001</v>
      </c>
      <c r="AN82">
        <v>7.8993414849999999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10.32359656</v>
      </c>
      <c r="EE82">
        <v>4.360307776</v>
      </c>
      <c r="EF82">
        <v>7.535967962</v>
      </c>
    </row>
    <row r="83" spans="1:136" x14ac:dyDescent="0.45">
      <c r="A83" t="s">
        <v>67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8.4406915110000007</v>
      </c>
      <c r="AJ83">
        <v>4.89105144</v>
      </c>
      <c r="AK83">
        <v>7.5491589760000002</v>
      </c>
      <c r="AL83">
        <v>6.7800896540000002</v>
      </c>
      <c r="AM83">
        <v>4.8759830910000002</v>
      </c>
      <c r="AN83">
        <v>7.6870637229999996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10.49054604</v>
      </c>
      <c r="EE83">
        <v>3.9246314500000001</v>
      </c>
      <c r="EF83">
        <v>6.8587769209999996</v>
      </c>
    </row>
    <row r="84" spans="1:136" x14ac:dyDescent="0.45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8.7488230849999997</v>
      </c>
      <c r="I84">
        <v>3.9296533500000002</v>
      </c>
      <c r="J84">
        <v>7.3415016690000003</v>
      </c>
      <c r="K84">
        <v>8.8320425500000006</v>
      </c>
      <c r="L84">
        <v>4.3560817849999998</v>
      </c>
      <c r="M84">
        <v>7.902246002</v>
      </c>
      <c r="N84">
        <v>9.0756923159999996</v>
      </c>
      <c r="O84">
        <v>4.4820208770000001</v>
      </c>
      <c r="P84">
        <v>7.4910005049999997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8.9467944970000008</v>
      </c>
      <c r="EE84">
        <v>4.2746575379999996</v>
      </c>
      <c r="EF84">
        <v>7.8096380410000004</v>
      </c>
    </row>
    <row r="85" spans="1:136" x14ac:dyDescent="0.45">
      <c r="A85" t="s">
        <v>135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9.6614836919999991</v>
      </c>
      <c r="AP85">
        <v>4.3896772139999998</v>
      </c>
      <c r="AQ85">
        <v>8.1529883689999991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9.3323874989999993</v>
      </c>
      <c r="EE85">
        <v>4.2493775280000001</v>
      </c>
      <c r="EF85">
        <v>8.1305070980000007</v>
      </c>
    </row>
    <row r="86" spans="1:136" x14ac:dyDescent="0.45">
      <c r="A86" t="s">
        <v>136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9.4502567729999996</v>
      </c>
      <c r="AS86">
        <v>4.5613548140000004</v>
      </c>
      <c r="AT86">
        <v>9.3111267029999993</v>
      </c>
      <c r="AU86">
        <v>6.8228833160000004</v>
      </c>
      <c r="AV86">
        <v>5.5022359889999999</v>
      </c>
      <c r="AW86">
        <v>8.4726781970000005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10.29238784</v>
      </c>
      <c r="EE86">
        <v>4.8656836459999999</v>
      </c>
      <c r="EF86">
        <v>8.3292454080000002</v>
      </c>
    </row>
    <row r="87" spans="1:136" x14ac:dyDescent="0.45">
      <c r="A87" t="s">
        <v>137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8.5435461900000007</v>
      </c>
      <c r="AS87">
        <v>4.6331652449999998</v>
      </c>
      <c r="AT87">
        <v>9.3120325390000005</v>
      </c>
      <c r="AU87">
        <v>8.9670666039999993</v>
      </c>
      <c r="AV87">
        <v>5.013844003</v>
      </c>
      <c r="AW87">
        <v>8.9024398829999996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11.88221566</v>
      </c>
      <c r="EE87">
        <v>5.0214387609999998</v>
      </c>
      <c r="EF87">
        <v>8.398034784</v>
      </c>
    </row>
    <row r="88" spans="1:136" x14ac:dyDescent="0.45">
      <c r="A88" t="s">
        <v>138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8.2496377459999994</v>
      </c>
      <c r="AS88">
        <v>4.49880031</v>
      </c>
      <c r="AT88">
        <v>9.3061595579999992</v>
      </c>
      <c r="AU88">
        <v>8.9279796349999998</v>
      </c>
      <c r="AV88">
        <v>4.4732998400000001</v>
      </c>
      <c r="AW88">
        <v>8.3985539829999993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9.9154979480000005</v>
      </c>
      <c r="EE88">
        <v>5.1282379520000001</v>
      </c>
      <c r="EF88">
        <v>8.4411068710000006</v>
      </c>
    </row>
    <row r="89" spans="1:136" x14ac:dyDescent="0.45">
      <c r="A89" t="s">
        <v>68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7.7531592470000001</v>
      </c>
      <c r="AY89">
        <v>5.7648708940000004</v>
      </c>
      <c r="AZ89">
        <v>8.0871676810000004</v>
      </c>
      <c r="BA89">
        <v>7.761815211</v>
      </c>
      <c r="BB89">
        <v>5.2797176610000003</v>
      </c>
      <c r="BC89">
        <v>9.4759820329999993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10.87083331</v>
      </c>
      <c r="EE89">
        <v>4.8616604289999996</v>
      </c>
      <c r="EF89">
        <v>8.2309935299999992</v>
      </c>
    </row>
    <row r="90" spans="1:136" x14ac:dyDescent="0.45">
      <c r="A90" t="s">
        <v>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8.5433955679999993</v>
      </c>
      <c r="BE90">
        <v>4.5815290610000003</v>
      </c>
      <c r="BF90">
        <v>6.6771731150000004</v>
      </c>
      <c r="BG90">
        <v>7.8754821049999997</v>
      </c>
      <c r="BH90">
        <v>4.6529016680000002</v>
      </c>
      <c r="BI90">
        <v>6.6687180369999997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10.17747331</v>
      </c>
      <c r="EE90">
        <v>3.9469536380000001</v>
      </c>
      <c r="EF90">
        <v>5.7008304159999996</v>
      </c>
    </row>
    <row r="91" spans="1:136" x14ac:dyDescent="0.45">
      <c r="A91" t="s">
        <v>70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9.9949599859999996</v>
      </c>
      <c r="BE91">
        <v>2.9885425200000002</v>
      </c>
      <c r="BF91">
        <v>8.1086779240000002</v>
      </c>
      <c r="BG91">
        <v>8.3238170969999992</v>
      </c>
      <c r="BH91">
        <v>3.4919899380000001</v>
      </c>
      <c r="BI91">
        <v>7.7155525269999998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10.78403698</v>
      </c>
      <c r="EE91">
        <v>3.6165923019999999</v>
      </c>
      <c r="EF91">
        <v>6.6998881590000003</v>
      </c>
    </row>
    <row r="92" spans="1:136" x14ac:dyDescent="0.45">
      <c r="A92" t="s">
        <v>71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8.6951865900000005</v>
      </c>
      <c r="BE92">
        <v>4.3471848800000004</v>
      </c>
      <c r="BF92">
        <v>7.9509436469999999</v>
      </c>
      <c r="BG92">
        <v>7.3510084679999999</v>
      </c>
      <c r="BH92">
        <v>4.8684900339999997</v>
      </c>
      <c r="BI92">
        <v>7.3072854310000004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11.31888395</v>
      </c>
      <c r="EE92">
        <v>4.1690108429999997</v>
      </c>
      <c r="EF92">
        <v>5.8953866289999999</v>
      </c>
    </row>
    <row r="93" spans="1:136" x14ac:dyDescent="0.45">
      <c r="A93" t="s">
        <v>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7.5338057640000002</v>
      </c>
      <c r="BK93">
        <v>4.3849150190000001</v>
      </c>
      <c r="BL93">
        <v>7.7409620549999998</v>
      </c>
      <c r="BM93">
        <v>8.4433574710000006</v>
      </c>
      <c r="BN93">
        <v>4.3902243690000002</v>
      </c>
      <c r="BO93">
        <v>10.885359729999999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13.80962012</v>
      </c>
      <c r="EE93">
        <v>4.4782994120000001</v>
      </c>
      <c r="EF93">
        <v>8.0290241570000003</v>
      </c>
    </row>
    <row r="94" spans="1:136" x14ac:dyDescent="0.45">
      <c r="A94" t="s">
        <v>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7.7391574429999999</v>
      </c>
      <c r="BK94">
        <v>5.2285240289999999</v>
      </c>
      <c r="BL94">
        <v>8.763207779</v>
      </c>
      <c r="BM94">
        <v>9.1000529780000008</v>
      </c>
      <c r="BN94">
        <v>4.2861597570000001</v>
      </c>
      <c r="BO94">
        <v>10.732570000000001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13.501471710000001</v>
      </c>
      <c r="EE94">
        <v>3.413704697</v>
      </c>
      <c r="EF94">
        <v>8.4452849059999995</v>
      </c>
    </row>
    <row r="95" spans="1:136" x14ac:dyDescent="0.45">
      <c r="A95" t="s">
        <v>74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7.7156146349999997</v>
      </c>
      <c r="BK95">
        <v>5.4711555159999996</v>
      </c>
      <c r="BL95">
        <v>10.556622859999999</v>
      </c>
      <c r="BM95">
        <v>8.8669013509999992</v>
      </c>
      <c r="BN95">
        <v>4.4435876910000003</v>
      </c>
      <c r="BO95">
        <v>9.1734074620000001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14.4565912</v>
      </c>
      <c r="EE95">
        <v>4.2403387209999996</v>
      </c>
      <c r="EF95">
        <v>8.1418813669999999</v>
      </c>
    </row>
    <row r="96" spans="1:136" x14ac:dyDescent="0.45">
      <c r="A96" t="s">
        <v>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9.9501567430000009</v>
      </c>
      <c r="BK96">
        <v>4.8327596919999998</v>
      </c>
      <c r="BL96">
        <v>12.454264480000001</v>
      </c>
      <c r="BM96">
        <v>8.4135578720000002</v>
      </c>
      <c r="BN96">
        <v>5.433220575</v>
      </c>
      <c r="BO96">
        <v>11.97873635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16.970617180000001</v>
      </c>
      <c r="EE96">
        <v>4.7659373860000001</v>
      </c>
      <c r="EF96">
        <v>11.815099849999999</v>
      </c>
    </row>
    <row r="97" spans="1:136" x14ac:dyDescent="0.45">
      <c r="A97" t="s">
        <v>76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8.9934228019999995</v>
      </c>
      <c r="BK97">
        <v>4.3055457329999998</v>
      </c>
      <c r="BL97">
        <v>11.22407516</v>
      </c>
      <c r="BM97">
        <v>7.5729443620000003</v>
      </c>
      <c r="BN97">
        <v>5.3633486049999997</v>
      </c>
      <c r="BO97">
        <v>9.8796417630000004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14.31899774</v>
      </c>
      <c r="EE97">
        <v>3.9595645369999999</v>
      </c>
      <c r="EF97">
        <v>10.194128299999999</v>
      </c>
    </row>
    <row r="98" spans="1:136" x14ac:dyDescent="0.45">
      <c r="A98" t="s">
        <v>77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7.4565738110000002</v>
      </c>
      <c r="BK98">
        <v>4.9829116029999998</v>
      </c>
      <c r="BL98">
        <v>11.056386590000001</v>
      </c>
      <c r="BM98">
        <v>8.5402447240000008</v>
      </c>
      <c r="BN98">
        <v>4.4873349090000003</v>
      </c>
      <c r="BO98">
        <v>10.960192299999999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14.44552661</v>
      </c>
      <c r="EE98">
        <v>5.5345242749999999</v>
      </c>
      <c r="EF98">
        <v>9.8813296029999993</v>
      </c>
    </row>
    <row r="99" spans="1:136" x14ac:dyDescent="0.45">
      <c r="A99" t="s">
        <v>78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9.0140079649999993</v>
      </c>
      <c r="BW99">
        <v>4.2726137240000002</v>
      </c>
      <c r="BX99">
        <v>9.0481946369999999</v>
      </c>
      <c r="BY99">
        <v>9.6040163679999999</v>
      </c>
      <c r="BZ99">
        <v>5.9001976489999999</v>
      </c>
      <c r="CA99">
        <v>7.8958564100000004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11.144486840000001</v>
      </c>
      <c r="EE99">
        <v>3.3100607790000001</v>
      </c>
      <c r="EF99">
        <v>9.2116496399999992</v>
      </c>
    </row>
    <row r="100" spans="1:136" x14ac:dyDescent="0.45">
      <c r="A100" t="s">
        <v>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9.1601193179999996</v>
      </c>
      <c r="CC100">
        <v>5.302253168</v>
      </c>
      <c r="CD100">
        <v>8.0409646460000008</v>
      </c>
      <c r="CE100">
        <v>8.1056057960000008</v>
      </c>
      <c r="CF100">
        <v>5.4696244930000004</v>
      </c>
      <c r="CG100">
        <v>7.9627359679999996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11.19447791</v>
      </c>
      <c r="EE100">
        <v>5.1098767269999996</v>
      </c>
      <c r="EF100">
        <v>6.6038496719999999</v>
      </c>
    </row>
    <row r="101" spans="1:136" x14ac:dyDescent="0.45">
      <c r="A101" t="s">
        <v>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8.8412553749999994</v>
      </c>
      <c r="CC101">
        <v>5.1676221160000004</v>
      </c>
      <c r="CD101">
        <v>8.4573503710000004</v>
      </c>
      <c r="CE101">
        <v>7.8714114129999997</v>
      </c>
      <c r="CF101">
        <v>5.327908238</v>
      </c>
      <c r="CG101">
        <v>8.2153324130000005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10.85029857</v>
      </c>
      <c r="EE101">
        <v>5.2539679760000002</v>
      </c>
      <c r="EF101">
        <v>8.5229762200000003</v>
      </c>
    </row>
    <row r="102" spans="1:136" x14ac:dyDescent="0.45">
      <c r="A102" t="s">
        <v>81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8.3275915739999995</v>
      </c>
      <c r="CC102">
        <v>4.3241081650000002</v>
      </c>
      <c r="CD102">
        <v>8.9893360439999999</v>
      </c>
      <c r="CE102">
        <v>9.4587973390000002</v>
      </c>
      <c r="CF102">
        <v>4.2997016950000004</v>
      </c>
      <c r="CG102">
        <v>8.3490491819999999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10.902365120000001</v>
      </c>
      <c r="EE102">
        <v>3.5873138839999998</v>
      </c>
      <c r="EF102">
        <v>9.0863739530000007</v>
      </c>
    </row>
    <row r="103" spans="1:136" x14ac:dyDescent="0.45">
      <c r="A103" t="s">
        <v>82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8.2585869449999993</v>
      </c>
      <c r="CC103">
        <v>5.598442844</v>
      </c>
      <c r="CD103">
        <v>8.3766273190000007</v>
      </c>
      <c r="CE103">
        <v>8.882319442</v>
      </c>
      <c r="CF103">
        <v>4.7956532159999998</v>
      </c>
      <c r="CG103">
        <v>9.8520793019999999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10.291123779999999</v>
      </c>
      <c r="EE103">
        <v>4.4388783419999998</v>
      </c>
      <c r="EF103">
        <v>9.6066726599999992</v>
      </c>
    </row>
    <row r="104" spans="1:136" x14ac:dyDescent="0.45">
      <c r="A104" t="s">
        <v>83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9.4049929080000005</v>
      </c>
      <c r="CC104">
        <v>5.7846890520000001</v>
      </c>
      <c r="CD104">
        <v>8.4967174510000003</v>
      </c>
      <c r="CE104">
        <v>9.3984480809999997</v>
      </c>
      <c r="CF104">
        <v>4.1038577109999999</v>
      </c>
      <c r="CG104">
        <v>11.42009736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11.702778690000001</v>
      </c>
      <c r="EE104">
        <v>4.2618378410000002</v>
      </c>
      <c r="EF104">
        <v>12.200198759999999</v>
      </c>
    </row>
    <row r="105" spans="1:136" x14ac:dyDescent="0.45">
      <c r="A105" t="s">
        <v>84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7.6172462310000002</v>
      </c>
      <c r="AY105">
        <v>5.4893589839999999</v>
      </c>
      <c r="AZ105">
        <v>7.08742246</v>
      </c>
      <c r="BA105">
        <v>7.1611093280000002</v>
      </c>
      <c r="BB105">
        <v>5.5323740600000004</v>
      </c>
      <c r="BC105">
        <v>7.67102869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9.5592503799999999</v>
      </c>
      <c r="EE105">
        <v>5.1340377029999997</v>
      </c>
      <c r="EF105">
        <v>7.1071347429999996</v>
      </c>
    </row>
    <row r="106" spans="1:136" x14ac:dyDescent="0.45">
      <c r="A106" t="s">
        <v>139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8.9352908670000009</v>
      </c>
      <c r="CO106">
        <v>3.8631912079999999</v>
      </c>
      <c r="CP106">
        <v>9.0067604380000006</v>
      </c>
      <c r="CQ106">
        <v>7.3355633610000002</v>
      </c>
      <c r="CR106">
        <v>4.6731471070000001</v>
      </c>
      <c r="CS106">
        <v>9.1236942780000003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9.4997240460000008</v>
      </c>
      <c r="EE106">
        <v>4.9624524470000004</v>
      </c>
      <c r="EF106">
        <v>8.8081999090000007</v>
      </c>
    </row>
    <row r="107" spans="1:136" x14ac:dyDescent="0.45">
      <c r="A107" t="s">
        <v>140</v>
      </c>
      <c r="B107">
        <v>8.4673275879999998</v>
      </c>
      <c r="C107">
        <v>4.6577009350000003</v>
      </c>
      <c r="D107">
        <v>7.8891608370000004</v>
      </c>
      <c r="E107">
        <v>7.468039407</v>
      </c>
      <c r="F107">
        <v>5.2188592739999997</v>
      </c>
      <c r="G107">
        <v>11.279553050000001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15.277976880000001</v>
      </c>
      <c r="EE107">
        <v>4.5645120800000001</v>
      </c>
      <c r="EF107">
        <v>7.6578616310000003</v>
      </c>
    </row>
    <row r="108" spans="1:136" x14ac:dyDescent="0.45">
      <c r="A108" t="s">
        <v>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10.283733850000001</v>
      </c>
      <c r="AJ108">
        <v>5.3465739149999996</v>
      </c>
      <c r="AK108">
        <v>7.4751225440000004</v>
      </c>
      <c r="AL108">
        <v>8.7208485059999994</v>
      </c>
      <c r="AM108">
        <v>5.2213922659999996</v>
      </c>
      <c r="AN108">
        <v>8.3286806240000004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10.08763774</v>
      </c>
      <c r="EE108">
        <v>4.78789642</v>
      </c>
      <c r="EF108">
        <v>9.1254103069999992</v>
      </c>
    </row>
    <row r="109" spans="1:136" x14ac:dyDescent="0.45">
      <c r="A109" t="s">
        <v>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7.6009217119999999</v>
      </c>
      <c r="AJ109">
        <v>5.2462955439999996</v>
      </c>
      <c r="AK109">
        <v>7.4617599090000004</v>
      </c>
      <c r="AL109">
        <v>8.0528821110000006</v>
      </c>
      <c r="AM109">
        <v>4.8798342769999996</v>
      </c>
      <c r="AN109">
        <v>7.5339330389999999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9.9767216380000008</v>
      </c>
      <c r="EE109">
        <v>4.7713507420000001</v>
      </c>
      <c r="EF109">
        <v>6.8079755090000003</v>
      </c>
    </row>
    <row r="110" spans="1:136" x14ac:dyDescent="0.45">
      <c r="A110" t="s">
        <v>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8.9740986619999994</v>
      </c>
      <c r="AJ110">
        <v>4.9300222490000003</v>
      </c>
      <c r="AK110">
        <v>7.0307464629999998</v>
      </c>
      <c r="AL110">
        <v>7.6644705130000004</v>
      </c>
      <c r="AM110">
        <v>4.6745145819999996</v>
      </c>
      <c r="AN110">
        <v>7.5816329209999997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9.3606717160000006</v>
      </c>
      <c r="EE110">
        <v>4.3502923300000003</v>
      </c>
      <c r="EF110">
        <v>6.7936868739999996</v>
      </c>
    </row>
    <row r="111" spans="1:136" x14ac:dyDescent="0.45">
      <c r="A111" t="s">
        <v>88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9.558598108</v>
      </c>
      <c r="AY111">
        <v>4.9896990170000004</v>
      </c>
      <c r="AZ111">
        <v>8.4311407159999998</v>
      </c>
      <c r="BA111">
        <v>9.5041553299999997</v>
      </c>
      <c r="BB111">
        <v>4.7247068470000002</v>
      </c>
      <c r="BC111">
        <v>8.1086537360000008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11.745093969999999</v>
      </c>
      <c r="EE111">
        <v>4.6440856500000001</v>
      </c>
      <c r="EF111">
        <v>6.94225563</v>
      </c>
    </row>
    <row r="112" spans="1:136" x14ac:dyDescent="0.45">
      <c r="A112" t="s">
        <v>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9.2060409459999999</v>
      </c>
      <c r="AY112">
        <v>4.8804768190000001</v>
      </c>
      <c r="AZ112">
        <v>7.8959392959999999</v>
      </c>
      <c r="BA112">
        <v>8.1924254459999997</v>
      </c>
      <c r="BB112">
        <v>5.0406772569999996</v>
      </c>
      <c r="BC112">
        <v>8.3354866849999993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10.235797760000001</v>
      </c>
      <c r="EE112">
        <v>4.6018393169999996</v>
      </c>
      <c r="EF112">
        <v>7.6447733610000004</v>
      </c>
    </row>
    <row r="113" spans="1:136" x14ac:dyDescent="0.45">
      <c r="A113" t="s">
        <v>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9.8978893909999996</v>
      </c>
      <c r="CU113">
        <v>4.0645098920000002</v>
      </c>
      <c r="CV113">
        <v>8.9971630170000001</v>
      </c>
      <c r="CW113">
        <v>7.2689356869999999</v>
      </c>
      <c r="CX113">
        <v>4.7718315999999996</v>
      </c>
      <c r="CY113">
        <v>8.9269879630000002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10.75783474</v>
      </c>
      <c r="EE113">
        <v>4.3839594689999997</v>
      </c>
      <c r="EF113">
        <v>8.1615744039999996</v>
      </c>
    </row>
    <row r="114" spans="1:136" x14ac:dyDescent="0.45">
      <c r="A114" t="s">
        <v>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7.927461578</v>
      </c>
      <c r="CU114">
        <v>5.6612237419999998</v>
      </c>
      <c r="CV114">
        <v>9.0752628130000002</v>
      </c>
      <c r="CW114">
        <v>9.9285435599999996</v>
      </c>
      <c r="CX114">
        <v>4.8283748190000004</v>
      </c>
      <c r="CY114">
        <v>8.9282723330000007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11.597635110000001</v>
      </c>
      <c r="EE114">
        <v>5.4128319100000004</v>
      </c>
      <c r="EF114">
        <v>8.8921661699999994</v>
      </c>
    </row>
    <row r="115" spans="1:136" x14ac:dyDescent="0.45">
      <c r="A115" t="s">
        <v>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8.0419637969999993</v>
      </c>
      <c r="CU115">
        <v>5.1717101359999997</v>
      </c>
      <c r="CV115">
        <v>8.9927045200000002</v>
      </c>
      <c r="CW115">
        <v>9.0713514429999993</v>
      </c>
      <c r="CX115">
        <v>4.9819966920000001</v>
      </c>
      <c r="CY115">
        <v>8.9678031849999993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11.34213373</v>
      </c>
      <c r="EE115">
        <v>4.9621090969999999</v>
      </c>
      <c r="EF115">
        <v>7.8400156499999998</v>
      </c>
    </row>
    <row r="116" spans="1:136" x14ac:dyDescent="0.45">
      <c r="A116" t="s">
        <v>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10.297725590000001</v>
      </c>
      <c r="CU116">
        <v>5.4337149619999998</v>
      </c>
      <c r="CV116">
        <v>8.9911105350000007</v>
      </c>
      <c r="CW116">
        <v>9.6006462569999993</v>
      </c>
      <c r="CX116">
        <v>5.3609331950000003</v>
      </c>
      <c r="CY116">
        <v>9.0051038670000008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11.13026226</v>
      </c>
      <c r="EE116">
        <v>5.0051933059999998</v>
      </c>
      <c r="EF116">
        <v>8.674470114</v>
      </c>
    </row>
    <row r="117" spans="1:136" x14ac:dyDescent="0.45">
      <c r="A117" t="s">
        <v>94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7.5945735909999996</v>
      </c>
      <c r="CU117">
        <v>4.7851770440000001</v>
      </c>
      <c r="CV117">
        <v>8.9157299089999995</v>
      </c>
      <c r="CW117">
        <v>7.4931522929999996</v>
      </c>
      <c r="CX117">
        <v>5.1593681880000002</v>
      </c>
      <c r="CY117">
        <v>8.9735939590000005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11.027919089999999</v>
      </c>
      <c r="EE117">
        <v>5.2549510020000003</v>
      </c>
      <c r="EF117">
        <v>7.0659216269999998</v>
      </c>
    </row>
    <row r="118" spans="1:136" x14ac:dyDescent="0.45">
      <c r="A118" t="s">
        <v>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9.7022828160000003</v>
      </c>
      <c r="CU118">
        <v>3.605998332</v>
      </c>
      <c r="CV118">
        <v>8.9973463569999996</v>
      </c>
      <c r="CW118">
        <v>7.4787737869999997</v>
      </c>
      <c r="CX118">
        <v>5.4911000420000002</v>
      </c>
      <c r="CY118">
        <v>8.9849306609999999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11.539940420000001</v>
      </c>
      <c r="EE118">
        <v>3.7727269749999999</v>
      </c>
      <c r="EF118">
        <v>7.9662003319999997</v>
      </c>
    </row>
    <row r="119" spans="1:136" x14ac:dyDescent="0.45">
      <c r="A119" t="s">
        <v>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9.7400679980000007</v>
      </c>
      <c r="CU119">
        <v>3.5766577740000001</v>
      </c>
      <c r="CV119">
        <v>8.9929463950000006</v>
      </c>
      <c r="CW119">
        <v>7.9168268450000001</v>
      </c>
      <c r="CX119">
        <v>5.5127801190000003</v>
      </c>
      <c r="CY119">
        <v>9.0101728679999997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11.46003645</v>
      </c>
      <c r="EE119">
        <v>3.915543445</v>
      </c>
      <c r="EF119">
        <v>8.1767987790000003</v>
      </c>
    </row>
    <row r="120" spans="1:136" x14ac:dyDescent="0.45">
      <c r="A120" t="s">
        <v>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9.8508141859999991</v>
      </c>
      <c r="CU120">
        <v>4.2586223329999999</v>
      </c>
      <c r="CV120">
        <v>8.2711567680000009</v>
      </c>
      <c r="CW120">
        <v>8.6759506759999994</v>
      </c>
      <c r="CX120">
        <v>4.9109412109999999</v>
      </c>
      <c r="CY120">
        <v>8.3657836840000002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12.60720049</v>
      </c>
      <c r="EE120">
        <v>4.3192554149999998</v>
      </c>
      <c r="EF120">
        <v>7.9423955770000001</v>
      </c>
    </row>
    <row r="121" spans="1:136" x14ac:dyDescent="0.45">
      <c r="A121" t="s">
        <v>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9.6193729020000003</v>
      </c>
      <c r="DA121">
        <v>4.6488930149999996</v>
      </c>
      <c r="DB121">
        <v>8.3122866940000009</v>
      </c>
      <c r="DC121">
        <v>9.2203861610000004</v>
      </c>
      <c r="DD121">
        <v>4.6113943989999999</v>
      </c>
      <c r="DE121">
        <v>8.2054082909999995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11.29615287</v>
      </c>
      <c r="EE121">
        <v>5.0590278289999997</v>
      </c>
      <c r="EF121">
        <v>8.2397554619999998</v>
      </c>
    </row>
    <row r="122" spans="1:136" x14ac:dyDescent="0.45">
      <c r="A122" t="s">
        <v>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8.942599006</v>
      </c>
      <c r="DG122">
        <v>4.3763083040000001</v>
      </c>
      <c r="DH122">
        <v>8.1972582490000008</v>
      </c>
      <c r="DI122">
        <v>8.6626205729999999</v>
      </c>
      <c r="DJ122">
        <v>4.0843189249999998</v>
      </c>
      <c r="DK122">
        <v>8.3491785499999995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11.60373901</v>
      </c>
      <c r="EE122">
        <v>4.268679347</v>
      </c>
      <c r="EF122">
        <v>8.1691120359999996</v>
      </c>
    </row>
    <row r="123" spans="1:136" x14ac:dyDescent="0.45">
      <c r="A123" t="s">
        <v>100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9.2038993950000005</v>
      </c>
      <c r="CC123">
        <v>3.3510269140000002</v>
      </c>
      <c r="CD123">
        <v>8.2405080030000004</v>
      </c>
      <c r="CE123">
        <v>6.8319777669999997</v>
      </c>
      <c r="CF123">
        <v>5.167697295</v>
      </c>
      <c r="CG123">
        <v>8.0339421130000002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10.546326179999999</v>
      </c>
      <c r="EE123">
        <v>2.46855373</v>
      </c>
      <c r="EF123">
        <v>7.1265753729999997</v>
      </c>
    </row>
    <row r="124" spans="1:136" x14ac:dyDescent="0.45">
      <c r="A124" t="s">
        <v>101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9.0142106940000009</v>
      </c>
      <c r="DM124">
        <v>2.3681561310000001</v>
      </c>
      <c r="DN124">
        <v>9.7555652039999998</v>
      </c>
      <c r="DO124">
        <v>5.7498622890000002</v>
      </c>
      <c r="DP124">
        <v>6.1929054460000001</v>
      </c>
      <c r="DQ124">
        <v>9.2273265240000004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11.388413659999999</v>
      </c>
      <c r="EE124">
        <v>2.6703896579999999</v>
      </c>
      <c r="EF124">
        <v>9.3348399440000005</v>
      </c>
    </row>
    <row r="125" spans="1:136" x14ac:dyDescent="0.45">
      <c r="A125" t="s">
        <v>102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8.3753416660000006</v>
      </c>
      <c r="DS125">
        <v>5.2277135550000002</v>
      </c>
      <c r="DT125">
        <v>8.7430029420000004</v>
      </c>
      <c r="DU125">
        <v>7.6599238060000001</v>
      </c>
      <c r="DV125">
        <v>5.3284082970000002</v>
      </c>
      <c r="DW125">
        <v>8.7520123840000004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9.2662518259999995</v>
      </c>
      <c r="EE125">
        <v>4.5654229769999999</v>
      </c>
      <c r="EF125">
        <v>8.6541243150000007</v>
      </c>
    </row>
    <row r="126" spans="1:136" x14ac:dyDescent="0.45">
      <c r="A126" t="s">
        <v>103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7.7323953679999997</v>
      </c>
      <c r="DS126">
        <v>5.5889195640000002</v>
      </c>
      <c r="DT126">
        <v>8.272174605</v>
      </c>
      <c r="DU126">
        <v>8.6614902350000005</v>
      </c>
      <c r="DV126">
        <v>5.3139086320000004</v>
      </c>
      <c r="DW126">
        <v>9.7852816820000008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11.087545029999999</v>
      </c>
      <c r="EE126">
        <v>4.3393999059999997</v>
      </c>
      <c r="EF126">
        <v>6.723827784</v>
      </c>
    </row>
    <row r="127" spans="1:136" x14ac:dyDescent="0.45">
      <c r="A127" t="s">
        <v>104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8.2317306800000001</v>
      </c>
      <c r="DS127">
        <v>4.8584197710000003</v>
      </c>
      <c r="DT127">
        <v>9.0586777040000008</v>
      </c>
      <c r="DU127">
        <v>7.6115319709999998</v>
      </c>
      <c r="DV127">
        <v>5.1701770519999997</v>
      </c>
      <c r="DW127">
        <v>9.1922167760000004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9.8985363159999995</v>
      </c>
      <c r="EE127">
        <v>4.8480457440000002</v>
      </c>
      <c r="EF127">
        <v>8.2930864010000001</v>
      </c>
    </row>
    <row r="128" spans="1:136" x14ac:dyDescent="0.45">
      <c r="A128" t="s">
        <v>105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6.9991186330000001</v>
      </c>
      <c r="DS128">
        <v>5.899446932</v>
      </c>
      <c r="DT128">
        <v>8.3592904650000008</v>
      </c>
      <c r="DU128">
        <v>8.9132862579999994</v>
      </c>
      <c r="DV128">
        <v>4.596109502</v>
      </c>
      <c r="DW128">
        <v>7.2438120919999998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9.4921846750000007</v>
      </c>
      <c r="EE128">
        <v>3.6281396290000001</v>
      </c>
      <c r="EF128">
        <v>8.0737637200000005</v>
      </c>
    </row>
    <row r="129" spans="1:136" x14ac:dyDescent="0.45">
      <c r="A129" t="s">
        <v>106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10.639450679999999</v>
      </c>
      <c r="DS129">
        <v>3.9618669290000001</v>
      </c>
      <c r="DT129">
        <v>7.3056247120000002</v>
      </c>
      <c r="DU129">
        <v>8.3466802609999995</v>
      </c>
      <c r="DV129">
        <v>4.0028788329999996</v>
      </c>
      <c r="DW129">
        <v>11.3136834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11.43484773</v>
      </c>
      <c r="EE129">
        <v>4.3482550760000001</v>
      </c>
      <c r="EF129">
        <v>8.4055053789999992</v>
      </c>
    </row>
    <row r="130" spans="1:136" x14ac:dyDescent="0.45">
      <c r="A130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8.0083335899999994</v>
      </c>
      <c r="DY130">
        <v>4.2064468359999996</v>
      </c>
      <c r="DZ130">
        <v>7.0858728639999997</v>
      </c>
      <c r="EA130">
        <v>8.9992467479999991</v>
      </c>
      <c r="EB130">
        <v>4.3130545590000002</v>
      </c>
      <c r="EC130">
        <v>7.0447354679999998</v>
      </c>
      <c r="ED130">
        <v>7.5813795370000001</v>
      </c>
      <c r="EE130">
        <v>3.6524525639999998</v>
      </c>
      <c r="EF130">
        <v>7.1099046279999998</v>
      </c>
    </row>
    <row r="131" spans="1:136" x14ac:dyDescent="0.45">
      <c r="A131" t="s">
        <v>142</v>
      </c>
      <c r="B131">
        <v>7.7103484489999996</v>
      </c>
      <c r="C131">
        <v>4.5898685720000003</v>
      </c>
      <c r="D131">
        <v>7.2061437369999997</v>
      </c>
      <c r="E131">
        <v>9.0749166920000004</v>
      </c>
      <c r="F131">
        <v>4.3171539299999999</v>
      </c>
      <c r="G131">
        <v>7.185923753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8.7086628590000004</v>
      </c>
      <c r="EE131">
        <v>4.3575847620000001</v>
      </c>
      <c r="EF131">
        <v>7.8316110349999999</v>
      </c>
    </row>
    <row r="132" spans="1:136" x14ac:dyDescent="0.45">
      <c r="A132" t="s">
        <v>107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8.3283164700000007</v>
      </c>
      <c r="AY132">
        <v>4.6420334350000001</v>
      </c>
      <c r="AZ132">
        <v>8.566311958</v>
      </c>
      <c r="BA132">
        <v>7.9426737940000001</v>
      </c>
      <c r="BB132">
        <v>4.5058019219999998</v>
      </c>
      <c r="BC132">
        <v>8.3469706749999997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11.08962537</v>
      </c>
      <c r="EE132">
        <v>4.4993685709999998</v>
      </c>
      <c r="EF132">
        <v>8.0047604559999996</v>
      </c>
    </row>
    <row r="133" spans="1:136" x14ac:dyDescent="0.45">
      <c r="A133" t="s">
        <v>108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9.3938260590000002</v>
      </c>
      <c r="AY133">
        <v>5.4775790129999997</v>
      </c>
      <c r="AZ133">
        <v>8.0807401300000006</v>
      </c>
      <c r="BA133">
        <v>8.5876948960000004</v>
      </c>
      <c r="BB133">
        <v>6.3672771399999997</v>
      </c>
      <c r="BC133">
        <v>8.7399371349999999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9.7583233079999996</v>
      </c>
      <c r="EE133">
        <v>5.1983697009999998</v>
      </c>
      <c r="EF133">
        <v>8.0079662319999994</v>
      </c>
    </row>
    <row r="134" spans="1:136" x14ac:dyDescent="0.45">
      <c r="A134" t="s">
        <v>109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7.9438950950000002</v>
      </c>
      <c r="AY134">
        <v>5.6471015419999997</v>
      </c>
      <c r="AZ134">
        <v>8.037044174</v>
      </c>
      <c r="BA134">
        <v>7.5657730929999998</v>
      </c>
      <c r="BB134">
        <v>5.0947530240000001</v>
      </c>
      <c r="BC134">
        <v>8.5729187170000003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9.596367785</v>
      </c>
      <c r="EE134">
        <v>5.3106070650000001</v>
      </c>
      <c r="EF134">
        <v>8.0375312389999998</v>
      </c>
    </row>
    <row r="135" spans="1:136" x14ac:dyDescent="0.45">
      <c r="A135" t="s">
        <v>110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8.2365875810000002</v>
      </c>
      <c r="AY135">
        <v>4.5199370639999996</v>
      </c>
      <c r="AZ135">
        <v>8.6794008799999993</v>
      </c>
      <c r="BA135">
        <v>7.4524984539999997</v>
      </c>
      <c r="BB135">
        <v>4.7618074469999998</v>
      </c>
      <c r="BC135">
        <v>8.5560687130000002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10.99572014</v>
      </c>
      <c r="EE135">
        <v>4.848228421</v>
      </c>
      <c r="EF135">
        <v>8.5095642009999999</v>
      </c>
    </row>
    <row r="136" spans="1:136" x14ac:dyDescent="0.45">
      <c r="A136" t="s">
        <v>111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7.4910831760000001</v>
      </c>
      <c r="BK136">
        <v>4.9851698520000003</v>
      </c>
      <c r="BL136">
        <v>9.4785797909999996</v>
      </c>
      <c r="BM136">
        <v>8.7881807989999992</v>
      </c>
      <c r="BN136">
        <v>4.5246683670000003</v>
      </c>
      <c r="BO136">
        <v>9.5808457419999993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14.28800719</v>
      </c>
      <c r="EE136">
        <v>4.519004153</v>
      </c>
      <c r="EF136">
        <v>8.1934284260000005</v>
      </c>
    </row>
    <row r="137" spans="1:136" x14ac:dyDescent="0.45">
      <c r="A137" t="s">
        <v>112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8.551060712</v>
      </c>
      <c r="BK137">
        <v>4.7597003039999999</v>
      </c>
      <c r="BL137">
        <v>9.4728344129999993</v>
      </c>
      <c r="BM137">
        <v>7.7618668079999997</v>
      </c>
      <c r="BN137">
        <v>4.9444759200000004</v>
      </c>
      <c r="BO137">
        <v>9.5491632969999998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14.09125905</v>
      </c>
      <c r="EE137">
        <v>4.4195609420000004</v>
      </c>
      <c r="EF137">
        <v>8.0726542810000002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180F-19BA-4902-94D9-14724AFA3F74}">
  <dimension ref="A1:EF137"/>
  <sheetViews>
    <sheetView topLeftCell="DO130" workbookViewId="0">
      <selection activeCell="EF1" sqref="EF1:EF137"/>
    </sheetView>
  </sheetViews>
  <sheetFormatPr defaultRowHeight="14.25" x14ac:dyDescent="0.45"/>
  <sheetData>
    <row r="1" spans="1:136" x14ac:dyDescent="0.45">
      <c r="A1" t="s">
        <v>6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  <c r="AP1" t="s">
        <v>183</v>
      </c>
      <c r="AQ1" t="s">
        <v>184</v>
      </c>
      <c r="AR1" t="s">
        <v>185</v>
      </c>
      <c r="AS1" t="s">
        <v>186</v>
      </c>
      <c r="AT1" t="s">
        <v>187</v>
      </c>
      <c r="AU1" t="s">
        <v>188</v>
      </c>
      <c r="AV1" t="s">
        <v>189</v>
      </c>
      <c r="AW1" t="s">
        <v>190</v>
      </c>
      <c r="AX1" t="s">
        <v>191</v>
      </c>
      <c r="AY1" t="s">
        <v>192</v>
      </c>
      <c r="AZ1" t="s">
        <v>193</v>
      </c>
      <c r="BA1" t="s">
        <v>194</v>
      </c>
      <c r="BB1" t="s">
        <v>195</v>
      </c>
      <c r="BC1" t="s">
        <v>196</v>
      </c>
      <c r="BD1" t="s">
        <v>197</v>
      </c>
      <c r="BE1" t="s">
        <v>198</v>
      </c>
      <c r="BF1" t="s">
        <v>199</v>
      </c>
      <c r="BG1" t="s">
        <v>200</v>
      </c>
      <c r="BH1" t="s">
        <v>201</v>
      </c>
      <c r="BI1" t="s">
        <v>202</v>
      </c>
      <c r="BJ1" t="s">
        <v>203</v>
      </c>
      <c r="BK1" t="s">
        <v>204</v>
      </c>
      <c r="BL1" t="s">
        <v>205</v>
      </c>
      <c r="BM1" t="s">
        <v>206</v>
      </c>
      <c r="BN1" t="s">
        <v>207</v>
      </c>
      <c r="BO1" t="s">
        <v>208</v>
      </c>
      <c r="BP1" t="s">
        <v>209</v>
      </c>
      <c r="BQ1" t="s">
        <v>210</v>
      </c>
      <c r="BR1" t="s">
        <v>211</v>
      </c>
      <c r="BS1" t="s">
        <v>212</v>
      </c>
      <c r="BT1" t="s">
        <v>213</v>
      </c>
      <c r="BU1" t="s">
        <v>214</v>
      </c>
      <c r="BV1" t="s">
        <v>215</v>
      </c>
      <c r="BW1" t="s">
        <v>216</v>
      </c>
      <c r="BX1" t="s">
        <v>217</v>
      </c>
      <c r="BY1" t="s">
        <v>218</v>
      </c>
      <c r="BZ1" t="s">
        <v>219</v>
      </c>
      <c r="CA1" t="s">
        <v>220</v>
      </c>
      <c r="CB1" t="s">
        <v>221</v>
      </c>
      <c r="CC1" t="s">
        <v>222</v>
      </c>
      <c r="CD1" t="s">
        <v>223</v>
      </c>
      <c r="CE1" t="s">
        <v>224</v>
      </c>
      <c r="CF1" t="s">
        <v>225</v>
      </c>
      <c r="CG1" t="s">
        <v>226</v>
      </c>
      <c r="CH1" t="s">
        <v>227</v>
      </c>
      <c r="CI1" t="s">
        <v>228</v>
      </c>
      <c r="CJ1" t="s">
        <v>229</v>
      </c>
      <c r="CK1" t="s">
        <v>230</v>
      </c>
      <c r="CL1" t="s">
        <v>231</v>
      </c>
      <c r="CM1" t="s">
        <v>232</v>
      </c>
      <c r="CN1" t="s">
        <v>233</v>
      </c>
      <c r="CO1" t="s">
        <v>234</v>
      </c>
      <c r="CP1" t="s">
        <v>235</v>
      </c>
      <c r="CQ1" t="s">
        <v>236</v>
      </c>
      <c r="CR1" t="s">
        <v>237</v>
      </c>
      <c r="CS1" t="s">
        <v>238</v>
      </c>
      <c r="CT1" t="s">
        <v>239</v>
      </c>
      <c r="CU1" t="s">
        <v>240</v>
      </c>
      <c r="CV1" t="s">
        <v>241</v>
      </c>
      <c r="CW1" t="s">
        <v>242</v>
      </c>
      <c r="CX1" t="s">
        <v>243</v>
      </c>
      <c r="CY1" t="s">
        <v>244</v>
      </c>
      <c r="CZ1" t="s">
        <v>245</v>
      </c>
      <c r="DA1" t="s">
        <v>246</v>
      </c>
      <c r="DB1" t="s">
        <v>247</v>
      </c>
      <c r="DC1" t="s">
        <v>248</v>
      </c>
      <c r="DD1" t="s">
        <v>249</v>
      </c>
      <c r="DE1" t="s">
        <v>250</v>
      </c>
      <c r="DF1" t="s">
        <v>251</v>
      </c>
      <c r="DG1" t="s">
        <v>252</v>
      </c>
      <c r="DH1" t="s">
        <v>253</v>
      </c>
      <c r="DI1" t="s">
        <v>254</v>
      </c>
      <c r="DJ1" t="s">
        <v>255</v>
      </c>
      <c r="DK1" t="s">
        <v>256</v>
      </c>
      <c r="DL1" t="s">
        <v>257</v>
      </c>
      <c r="DM1" t="s">
        <v>258</v>
      </c>
      <c r="DN1" t="s">
        <v>259</v>
      </c>
      <c r="DO1" t="s">
        <v>260</v>
      </c>
      <c r="DP1" t="s">
        <v>261</v>
      </c>
      <c r="DQ1" t="s">
        <v>262</v>
      </c>
      <c r="DR1" t="s">
        <v>263</v>
      </c>
      <c r="DS1" t="s">
        <v>264</v>
      </c>
      <c r="DT1" t="s">
        <v>265</v>
      </c>
      <c r="DU1" t="s">
        <v>266</v>
      </c>
      <c r="DV1" t="s">
        <v>267</v>
      </c>
      <c r="DW1" t="s">
        <v>268</v>
      </c>
      <c r="DX1" t="s">
        <v>269</v>
      </c>
      <c r="DY1" t="s">
        <v>270</v>
      </c>
      <c r="DZ1" t="s">
        <v>271</v>
      </c>
      <c r="EA1" t="s">
        <v>272</v>
      </c>
      <c r="EB1" t="s">
        <v>273</v>
      </c>
      <c r="EC1" t="s">
        <v>274</v>
      </c>
      <c r="ED1" t="s">
        <v>275</v>
      </c>
      <c r="EE1" t="s">
        <v>276</v>
      </c>
      <c r="EF1" t="s">
        <v>277</v>
      </c>
    </row>
    <row r="2" spans="1:136" x14ac:dyDescent="0.45">
      <c r="A2" t="s">
        <v>113</v>
      </c>
      <c r="B2">
        <v>8.4539057690000003</v>
      </c>
      <c r="C2">
        <v>4.1086400630000002</v>
      </c>
      <c r="D2">
        <v>6.3775515330000001</v>
      </c>
      <c r="E2">
        <v>7.589385869</v>
      </c>
      <c r="F2">
        <v>4.1763383420000002</v>
      </c>
      <c r="G2">
        <v>6.9505038370000003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8.4744469680000005</v>
      </c>
      <c r="EE2">
        <v>3.9100993829999999</v>
      </c>
      <c r="EF2">
        <v>6.6065487750000003</v>
      </c>
    </row>
    <row r="3" spans="1:136" x14ac:dyDescent="0.45">
      <c r="A3" t="s">
        <v>114</v>
      </c>
      <c r="B3">
        <v>8.4246452979999997</v>
      </c>
      <c r="C3">
        <v>4.2591279389999999</v>
      </c>
      <c r="D3">
        <v>7.0317557549999998</v>
      </c>
      <c r="E3">
        <v>9.0146641869999993</v>
      </c>
      <c r="F3">
        <v>4.3791910039999999</v>
      </c>
      <c r="G3">
        <v>6.9556264880000001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8.5618248779999995</v>
      </c>
      <c r="EE3">
        <v>4.2139742230000001</v>
      </c>
      <c r="EF3">
        <v>6.6563333650000001</v>
      </c>
    </row>
    <row r="4" spans="1:136" x14ac:dyDescent="0.45">
      <c r="A4" t="s">
        <v>115</v>
      </c>
      <c r="B4">
        <v>8.4597198519999992</v>
      </c>
      <c r="C4">
        <v>4.5396906030000004</v>
      </c>
      <c r="D4">
        <v>6.9858675330000004</v>
      </c>
      <c r="E4">
        <v>8.0812448749999994</v>
      </c>
      <c r="F4">
        <v>5.2175865750000003</v>
      </c>
      <c r="G4">
        <v>6.8394099930000003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7.7508998020000002</v>
      </c>
      <c r="EE4">
        <v>4.3370989839999998</v>
      </c>
      <c r="EF4">
        <v>8.0519470599999998</v>
      </c>
    </row>
    <row r="5" spans="1:136" x14ac:dyDescent="0.4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9.6019552239999992</v>
      </c>
      <c r="I5">
        <v>4.1477142860000002</v>
      </c>
      <c r="J5">
        <v>7.2499487489999996</v>
      </c>
      <c r="K5">
        <v>8.8650467850000005</v>
      </c>
      <c r="L5">
        <v>4.0926522370000002</v>
      </c>
      <c r="M5">
        <v>8.1459185339999998</v>
      </c>
      <c r="N5">
        <v>10.12472142</v>
      </c>
      <c r="O5">
        <v>3.9009265009999998</v>
      </c>
      <c r="P5">
        <v>7.511291741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8.5473860459999997</v>
      </c>
      <c r="EE5">
        <v>4.1706110470000004</v>
      </c>
      <c r="EF5">
        <v>7.7721489689999999</v>
      </c>
    </row>
    <row r="6" spans="1:136" x14ac:dyDescent="0.45">
      <c r="A6" t="s">
        <v>117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9.1948724580000007</v>
      </c>
      <c r="R6">
        <v>4.6126585609999999</v>
      </c>
      <c r="S6">
        <v>6.894503254</v>
      </c>
      <c r="T6">
        <v>7.4749736799999997</v>
      </c>
      <c r="U6">
        <v>5.393153324</v>
      </c>
      <c r="V6">
        <v>7.5366000619999998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9.8277461949999996</v>
      </c>
      <c r="EE6">
        <v>5.4000388130000001</v>
      </c>
      <c r="EF6">
        <v>6.8170246939999997</v>
      </c>
    </row>
    <row r="7" spans="1:136" x14ac:dyDescent="0.45">
      <c r="A7" t="s">
        <v>118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9.8044755200000004</v>
      </c>
      <c r="I7">
        <v>3.7607155589999999</v>
      </c>
      <c r="J7">
        <v>7.4719562770000003</v>
      </c>
      <c r="K7">
        <v>9.1115564639999995</v>
      </c>
      <c r="L7">
        <v>4.1842128220000001</v>
      </c>
      <c r="M7">
        <v>7.4361299289999998</v>
      </c>
      <c r="N7">
        <v>9.7976287119999999</v>
      </c>
      <c r="O7">
        <v>4.0286229120000003</v>
      </c>
      <c r="P7">
        <v>6.8626218860000003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9.1209127970000008</v>
      </c>
      <c r="EE7">
        <v>4.5993711350000002</v>
      </c>
      <c r="EF7">
        <v>7.0402421479999999</v>
      </c>
    </row>
    <row r="8" spans="1:13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7.9038871549999996</v>
      </c>
      <c r="AD8">
        <v>5.4861681039999999</v>
      </c>
      <c r="AE8">
        <v>9.3688681260000006</v>
      </c>
      <c r="AF8">
        <v>8.0608606960000007</v>
      </c>
      <c r="AG8">
        <v>5.9283055219999996</v>
      </c>
      <c r="AH8">
        <v>8.8193608900000005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9.9628025430000005</v>
      </c>
      <c r="EE8">
        <v>4.6413142389999997</v>
      </c>
      <c r="EF8">
        <v>7.6787686710000003</v>
      </c>
    </row>
    <row r="9" spans="1:136" x14ac:dyDescent="0.4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8.8516799719999995</v>
      </c>
      <c r="AD9">
        <v>4.974995989</v>
      </c>
      <c r="AE9">
        <v>8.6805544399999999</v>
      </c>
      <c r="AF9">
        <v>9.1271641829999997</v>
      </c>
      <c r="AG9">
        <v>4.583701606</v>
      </c>
      <c r="AH9">
        <v>9.3452159209999994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10.63001961</v>
      </c>
      <c r="EE9">
        <v>5.5460946829999997</v>
      </c>
      <c r="EF9">
        <v>8.3551339890000005</v>
      </c>
    </row>
    <row r="10" spans="1:136" x14ac:dyDescent="0.4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8.8686884450000001</v>
      </c>
      <c r="AJ10">
        <v>5.1386351550000002</v>
      </c>
      <c r="AK10">
        <v>7.2208147990000002</v>
      </c>
      <c r="AL10">
        <v>8.4779467910000008</v>
      </c>
      <c r="AM10">
        <v>5.9210890259999998</v>
      </c>
      <c r="AN10">
        <v>7.6240698570000003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9.736683824</v>
      </c>
      <c r="EE10">
        <v>4.724023313</v>
      </c>
      <c r="EF10">
        <v>7.0922241020000003</v>
      </c>
    </row>
    <row r="11" spans="1:136" x14ac:dyDescent="0.4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8.4911569329999992</v>
      </c>
      <c r="AJ11">
        <v>4.5887650180000001</v>
      </c>
      <c r="AK11">
        <v>7.7766200720000001</v>
      </c>
      <c r="AL11">
        <v>8.9774911520000007</v>
      </c>
      <c r="AM11">
        <v>5.6845395720000003</v>
      </c>
      <c r="AN11">
        <v>7.7191624790000004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10.652204380000001</v>
      </c>
      <c r="EE11">
        <v>4.7685673890000002</v>
      </c>
      <c r="EF11">
        <v>8.5090936639999999</v>
      </c>
    </row>
    <row r="12" spans="1:136" x14ac:dyDescent="0.4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8.5150448930000007</v>
      </c>
      <c r="AJ12">
        <v>5.077855757</v>
      </c>
      <c r="AK12">
        <v>7.664315373</v>
      </c>
      <c r="AL12">
        <v>8.0702727729999992</v>
      </c>
      <c r="AM12">
        <v>5.0309564450000002</v>
      </c>
      <c r="AN12">
        <v>7.7410465930000001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10.646189919999999</v>
      </c>
      <c r="EE12">
        <v>4.814757255</v>
      </c>
      <c r="EF12">
        <v>6.8487858780000002</v>
      </c>
    </row>
    <row r="13" spans="1:136" x14ac:dyDescent="0.4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8.2693670049999994</v>
      </c>
      <c r="AJ13">
        <v>4.541300669</v>
      </c>
      <c r="AK13">
        <v>7.8206746469999997</v>
      </c>
      <c r="AL13">
        <v>8.3350975120000008</v>
      </c>
      <c r="AM13">
        <v>4.7307226560000002</v>
      </c>
      <c r="AN13">
        <v>7.4014286739999999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9.6420467639999998</v>
      </c>
      <c r="EE13">
        <v>4.5571669899999998</v>
      </c>
      <c r="EF13">
        <v>7.2805719949999999</v>
      </c>
    </row>
    <row r="14" spans="1:136" x14ac:dyDescent="0.4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7.6677521039999998</v>
      </c>
      <c r="AJ14">
        <v>5.9418352949999997</v>
      </c>
      <c r="AK14">
        <v>7.7437548659999997</v>
      </c>
      <c r="AL14">
        <v>8.2705785229999993</v>
      </c>
      <c r="AM14">
        <v>5.33149257</v>
      </c>
      <c r="AN14">
        <v>7.74334115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10.71941189</v>
      </c>
      <c r="EE14">
        <v>4.2700554659999996</v>
      </c>
      <c r="EF14">
        <v>6.8101211490000004</v>
      </c>
    </row>
    <row r="15" spans="1:136" x14ac:dyDescent="0.45">
      <c r="A15" t="s">
        <v>119</v>
      </c>
      <c r="B15">
        <v>8.0913163939999997</v>
      </c>
      <c r="C15">
        <v>4.8272241500000002</v>
      </c>
      <c r="D15">
        <v>6.6526937139999998</v>
      </c>
      <c r="E15">
        <v>8.1596805929999991</v>
      </c>
      <c r="F15">
        <v>4.6807827279999996</v>
      </c>
      <c r="G15">
        <v>6.5501075359999996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8.0873978990000008</v>
      </c>
      <c r="EE15">
        <v>4.7640919249999998</v>
      </c>
      <c r="EF15">
        <v>6.8729026429999998</v>
      </c>
    </row>
    <row r="16" spans="1:136" x14ac:dyDescent="0.4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8.3893184719999994</v>
      </c>
      <c r="AJ16">
        <v>4.9144604019999996</v>
      </c>
      <c r="AK16">
        <v>7.6759289370000001</v>
      </c>
      <c r="AL16">
        <v>6.9134990260000002</v>
      </c>
      <c r="AM16">
        <v>4.9197771379999997</v>
      </c>
      <c r="AN16">
        <v>7.819297615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10.60740084</v>
      </c>
      <c r="EE16">
        <v>3.9555904979999998</v>
      </c>
      <c r="EF16">
        <v>6.9472303789999996</v>
      </c>
    </row>
    <row r="17" spans="1:136" x14ac:dyDescent="0.45">
      <c r="A17" t="s">
        <v>120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8.6590341960000003</v>
      </c>
      <c r="I17">
        <v>4.2000534680000001</v>
      </c>
      <c r="J17">
        <v>7.4500162159999999</v>
      </c>
      <c r="K17">
        <v>10.19192075</v>
      </c>
      <c r="L17">
        <v>3.7210954840000001</v>
      </c>
      <c r="M17">
        <v>6.5442205800000002</v>
      </c>
      <c r="N17">
        <v>9.5023457919999998</v>
      </c>
      <c r="O17">
        <v>3.847048086</v>
      </c>
      <c r="P17">
        <v>7.4995712340000003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8.5536215000000002</v>
      </c>
      <c r="EE17">
        <v>3.8835787150000001</v>
      </c>
      <c r="EF17">
        <v>6.9346706149999999</v>
      </c>
    </row>
    <row r="18" spans="1:136" x14ac:dyDescent="0.45">
      <c r="A18" t="s">
        <v>121</v>
      </c>
      <c r="B18">
        <v>7.4795489210000001</v>
      </c>
      <c r="C18">
        <v>4.219663905</v>
      </c>
      <c r="D18">
        <v>6.6204974290000003</v>
      </c>
      <c r="E18">
        <v>8.5668635420000001</v>
      </c>
      <c r="F18">
        <v>4.5070634390000004</v>
      </c>
      <c r="G18">
        <v>6.3761216599999999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8.5147383330000004</v>
      </c>
      <c r="EE18">
        <v>4.736562535</v>
      </c>
      <c r="EF18">
        <v>6.9240499040000003</v>
      </c>
    </row>
    <row r="19" spans="1:136" x14ac:dyDescent="0.45">
      <c r="A19" t="s">
        <v>122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8.9453642979999994</v>
      </c>
      <c r="AP19">
        <v>4.3022337659999996</v>
      </c>
      <c r="AQ19">
        <v>9.1803208390000002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10.315359819999999</v>
      </c>
      <c r="EE19">
        <v>5.0540008140000001</v>
      </c>
      <c r="EF19">
        <v>8.6974831310000003</v>
      </c>
    </row>
    <row r="20" spans="1:136" x14ac:dyDescent="0.45">
      <c r="A20" t="s">
        <v>123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7.9152251160000002</v>
      </c>
      <c r="AS20">
        <v>5.3467713909999999</v>
      </c>
      <c r="AT20">
        <v>8.895402614</v>
      </c>
      <c r="AU20">
        <v>9.4562865069999997</v>
      </c>
      <c r="AV20">
        <v>5.0882048910000002</v>
      </c>
      <c r="AW20">
        <v>9.3991225590000003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11.751924669999999</v>
      </c>
      <c r="EE20">
        <v>5.3370888089999999</v>
      </c>
      <c r="EF20">
        <v>7.8791946270000004</v>
      </c>
    </row>
    <row r="21" spans="1:136" x14ac:dyDescent="0.45">
      <c r="A21" t="s">
        <v>124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9.4330693579999991</v>
      </c>
      <c r="AS21">
        <v>4.7958165230000001</v>
      </c>
      <c r="AT21">
        <v>9.2115652580000003</v>
      </c>
      <c r="AU21">
        <v>9.9446652659999994</v>
      </c>
      <c r="AV21">
        <v>4.630023199</v>
      </c>
      <c r="AW21">
        <v>9.3495673900000007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11.43732649</v>
      </c>
      <c r="EE21">
        <v>5.0477720919999998</v>
      </c>
      <c r="EF21">
        <v>7.6961381720000004</v>
      </c>
    </row>
    <row r="22" spans="1:136" x14ac:dyDescent="0.45">
      <c r="A22" t="s">
        <v>125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7.3520316780000003</v>
      </c>
      <c r="AS22">
        <v>4.6447763909999997</v>
      </c>
      <c r="AT22">
        <v>8.242641098</v>
      </c>
      <c r="AU22">
        <v>8.2054472270000005</v>
      </c>
      <c r="AV22">
        <v>4.8159607429999998</v>
      </c>
      <c r="AW22">
        <v>9.4039996539999997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9.8977748689999991</v>
      </c>
      <c r="EE22">
        <v>5.1769756239999998</v>
      </c>
      <c r="EF22">
        <v>8.4242326050000003</v>
      </c>
    </row>
    <row r="23" spans="1:136" x14ac:dyDescent="0.45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7.9312726580000001</v>
      </c>
      <c r="AY23">
        <v>5.5368049839999998</v>
      </c>
      <c r="AZ23">
        <v>8.6784767610000006</v>
      </c>
      <c r="BA23">
        <v>11.64960295</v>
      </c>
      <c r="BB23">
        <v>4.8609047370000003</v>
      </c>
      <c r="BC23">
        <v>8.6600670050000002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10.887509680000001</v>
      </c>
      <c r="EE23">
        <v>4.806990903</v>
      </c>
      <c r="EF23">
        <v>8.9475414059999991</v>
      </c>
    </row>
    <row r="24" spans="1:136" x14ac:dyDescent="0.45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7.4500990969999998</v>
      </c>
      <c r="BE24">
        <v>3.8418000879999998</v>
      </c>
      <c r="BF24">
        <v>6.9203937760000001</v>
      </c>
      <c r="BG24">
        <v>9.0384315060000002</v>
      </c>
      <c r="BH24">
        <v>3.7510697099999999</v>
      </c>
      <c r="BI24">
        <v>6.8218636799999999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11.42846314</v>
      </c>
      <c r="EE24">
        <v>4.1906699139999999</v>
      </c>
      <c r="EF24">
        <v>6.1318284790000002</v>
      </c>
    </row>
    <row r="25" spans="1:136" x14ac:dyDescent="0.45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8.901622648</v>
      </c>
      <c r="BE25">
        <v>3.8639165379999998</v>
      </c>
      <c r="BF25">
        <v>8.1136993850000003</v>
      </c>
      <c r="BG25">
        <v>7.5765165090000002</v>
      </c>
      <c r="BH25">
        <v>4.7126288900000004</v>
      </c>
      <c r="BI25">
        <v>8.150680822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11.506507089999999</v>
      </c>
      <c r="EE25">
        <v>3.665157572</v>
      </c>
      <c r="EF25">
        <v>6.1166930150000001</v>
      </c>
    </row>
    <row r="26" spans="1:136" x14ac:dyDescent="0.45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9.0404765030000007</v>
      </c>
      <c r="BE26">
        <v>3.6289236790000001</v>
      </c>
      <c r="BF26">
        <v>7.2740251149999997</v>
      </c>
      <c r="BG26">
        <v>7.4081360910000003</v>
      </c>
      <c r="BH26">
        <v>4.3523805859999998</v>
      </c>
      <c r="BI26">
        <v>7.7959182040000004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11.680626630000001</v>
      </c>
      <c r="EE26">
        <v>4.0411421409999999</v>
      </c>
      <c r="EF26">
        <v>6.2040710309999998</v>
      </c>
    </row>
    <row r="27" spans="1:136" x14ac:dyDescent="0.45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8.7170980789999994</v>
      </c>
      <c r="BK27">
        <v>4.2128327560000001</v>
      </c>
      <c r="BL27">
        <v>7.9658566369999999</v>
      </c>
      <c r="BM27">
        <v>7.6343845139999997</v>
      </c>
      <c r="BN27">
        <v>4.8946300369999998</v>
      </c>
      <c r="BO27">
        <v>10.967895990000001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14.77827518</v>
      </c>
      <c r="EE27">
        <v>3.7594935</v>
      </c>
      <c r="EF27">
        <v>7.8811112730000001</v>
      </c>
    </row>
    <row r="28" spans="1:136" x14ac:dyDescent="0.45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8.3118985849999998</v>
      </c>
      <c r="BK28">
        <v>4.9494459199999996</v>
      </c>
      <c r="BL28">
        <v>11.05247005</v>
      </c>
      <c r="BM28">
        <v>8.291989955</v>
      </c>
      <c r="BN28">
        <v>4.8457065799999999</v>
      </c>
      <c r="BO28">
        <v>8.5192488859999997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13.836159329999999</v>
      </c>
      <c r="EE28">
        <v>3.93442705</v>
      </c>
      <c r="EF28">
        <v>8.3771338340000003</v>
      </c>
    </row>
    <row r="29" spans="1:136" x14ac:dyDescent="0.45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7.2576588749999997</v>
      </c>
      <c r="BK29">
        <v>5.4701584079999996</v>
      </c>
      <c r="BL29">
        <v>11.12039304</v>
      </c>
      <c r="BM29">
        <v>9.0719847589999993</v>
      </c>
      <c r="BN29">
        <v>2.9428877099999999</v>
      </c>
      <c r="BO29">
        <v>8.4796348199999994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13.35722822</v>
      </c>
      <c r="EE29">
        <v>3.1147160710000001</v>
      </c>
      <c r="EF29">
        <v>8.2594594969999999</v>
      </c>
    </row>
    <row r="30" spans="1:136" x14ac:dyDescent="0.45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7.7726819589999998</v>
      </c>
      <c r="BK30">
        <v>5.2372640129999999</v>
      </c>
      <c r="BL30">
        <v>14.58281897</v>
      </c>
      <c r="BM30">
        <v>9.7448193950000004</v>
      </c>
      <c r="BN30">
        <v>4.5246790790000002</v>
      </c>
      <c r="BO30">
        <v>12.838173810000001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14.68490944</v>
      </c>
      <c r="EE30">
        <v>6.9430960749999997</v>
      </c>
      <c r="EF30">
        <v>11.77987319</v>
      </c>
    </row>
    <row r="31" spans="1:136" x14ac:dyDescent="0.45">
      <c r="A31" t="s">
        <v>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7.8526637780000001</v>
      </c>
      <c r="BK31">
        <v>3.2563183370000002</v>
      </c>
      <c r="BL31">
        <v>11.114090689999999</v>
      </c>
      <c r="BM31">
        <v>8.7573513609999996</v>
      </c>
      <c r="BN31">
        <v>2.6401631280000002</v>
      </c>
      <c r="BO31">
        <v>9.0699805940000005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12.71846543</v>
      </c>
      <c r="EE31">
        <v>3.0554877120000001</v>
      </c>
      <c r="EF31">
        <v>10.78912789</v>
      </c>
    </row>
    <row r="32" spans="1:136" x14ac:dyDescent="0.45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8.6282013499999994</v>
      </c>
      <c r="BK32">
        <v>4.6499441419999998</v>
      </c>
      <c r="BL32">
        <v>11.11434094</v>
      </c>
      <c r="BM32">
        <v>9.0810675209999996</v>
      </c>
      <c r="BN32">
        <v>3.9065767739999999</v>
      </c>
      <c r="BO32">
        <v>10.634553970000001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13.92199639</v>
      </c>
      <c r="EE32">
        <v>4.7034177740000001</v>
      </c>
      <c r="EF32">
        <v>9.7094118349999992</v>
      </c>
    </row>
    <row r="33" spans="1:136" x14ac:dyDescent="0.45">
      <c r="A33" t="s">
        <v>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9.7604955120000003</v>
      </c>
      <c r="CC33">
        <v>5.0448742510000004</v>
      </c>
      <c r="CD33">
        <v>8.2614886890000001</v>
      </c>
      <c r="CE33">
        <v>8.5875869470000001</v>
      </c>
      <c r="CF33">
        <v>5.1428999480000002</v>
      </c>
      <c r="CG33">
        <v>8.1898240480000002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10.247040289999999</v>
      </c>
      <c r="EE33">
        <v>4.9480089329999997</v>
      </c>
      <c r="EF33">
        <v>8.2345712649999996</v>
      </c>
    </row>
    <row r="34" spans="1:136" x14ac:dyDescent="0.45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8.9653117949999999</v>
      </c>
      <c r="CC34">
        <v>5.4504444660000004</v>
      </c>
      <c r="CD34">
        <v>8.4156518130000002</v>
      </c>
      <c r="CE34">
        <v>8.1585721180000004</v>
      </c>
      <c r="CF34">
        <v>4.8923684510000003</v>
      </c>
      <c r="CG34">
        <v>7.8092561529999998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11.40570372</v>
      </c>
      <c r="EE34">
        <v>5.1507484049999999</v>
      </c>
      <c r="EF34">
        <v>9.6282736920000005</v>
      </c>
    </row>
    <row r="35" spans="1:136" x14ac:dyDescent="0.45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7.9740266450000004</v>
      </c>
      <c r="CC35">
        <v>5.1548587789999996</v>
      </c>
      <c r="CD35">
        <v>8.616390869</v>
      </c>
      <c r="CE35">
        <v>8.7510892850000008</v>
      </c>
      <c r="CF35">
        <v>4.9910633940000002</v>
      </c>
      <c r="CG35">
        <v>8.1436895309999997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11.33195093</v>
      </c>
      <c r="EE35">
        <v>4.5992526260000002</v>
      </c>
      <c r="EF35">
        <v>8.5955296879999992</v>
      </c>
    </row>
    <row r="36" spans="1:136" x14ac:dyDescent="0.45">
      <c r="A36" t="s">
        <v>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8.9238739319999993</v>
      </c>
      <c r="CC36">
        <v>4.8428780370000002</v>
      </c>
      <c r="CD36">
        <v>7.901796547</v>
      </c>
      <c r="CE36">
        <v>8.0043512880000005</v>
      </c>
      <c r="CF36">
        <v>5.6965244390000001</v>
      </c>
      <c r="CG36">
        <v>8.6715444700000006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11.44194501</v>
      </c>
      <c r="EE36">
        <v>4.1970368049999998</v>
      </c>
      <c r="EF36">
        <v>9.0728210160000007</v>
      </c>
    </row>
    <row r="37" spans="1:136" x14ac:dyDescent="0.45">
      <c r="A37" t="s">
        <v>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9.7996268400000002</v>
      </c>
      <c r="CI37">
        <v>2.6667115269999999</v>
      </c>
      <c r="CJ37">
        <v>8.896183401</v>
      </c>
      <c r="CK37">
        <v>11.56563128</v>
      </c>
      <c r="CL37">
        <v>2.6117232960000001</v>
      </c>
      <c r="CM37">
        <v>7.5301993779999998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9.3202265059999991</v>
      </c>
      <c r="EE37">
        <v>2.510178647</v>
      </c>
      <c r="EF37">
        <v>9.0800418290000007</v>
      </c>
    </row>
    <row r="38" spans="1:136" x14ac:dyDescent="0.45">
      <c r="A38" t="s">
        <v>29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7.4070629439999998</v>
      </c>
      <c r="CC38">
        <v>5.3840052610000004</v>
      </c>
      <c r="CD38">
        <v>8.1064853140000004</v>
      </c>
      <c r="CE38">
        <v>8.4483186099999994</v>
      </c>
      <c r="CF38">
        <v>4.9320926360000001</v>
      </c>
      <c r="CG38">
        <v>8.114711475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10.610127289999999</v>
      </c>
      <c r="EE38">
        <v>5.4266717150000003</v>
      </c>
      <c r="EF38">
        <v>8.5363958029999996</v>
      </c>
    </row>
    <row r="39" spans="1:136" x14ac:dyDescent="0.45">
      <c r="A39" t="s">
        <v>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9.2827251660000005</v>
      </c>
      <c r="CC39">
        <v>4.4905980330000004</v>
      </c>
      <c r="CD39">
        <v>8.4357944089999997</v>
      </c>
      <c r="CE39">
        <v>6.9587547340000002</v>
      </c>
      <c r="CF39">
        <v>6.1019850440000001</v>
      </c>
      <c r="CG39">
        <v>8.566271124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11.577231619999999</v>
      </c>
      <c r="EE39">
        <v>5.009474655</v>
      </c>
      <c r="EF39">
        <v>8.7022732739999995</v>
      </c>
    </row>
    <row r="40" spans="1:136" x14ac:dyDescent="0.45">
      <c r="A40" t="s">
        <v>31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7.5162101720000001</v>
      </c>
      <c r="AY40">
        <v>5.4781132870000002</v>
      </c>
      <c r="AZ40">
        <v>8.0536016739999994</v>
      </c>
      <c r="BA40">
        <v>8.8331458529999995</v>
      </c>
      <c r="BB40">
        <v>5.3690116530000003</v>
      </c>
      <c r="BC40">
        <v>6.6438406539999999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9.6489159709999992</v>
      </c>
      <c r="EE40">
        <v>5.2292445809999997</v>
      </c>
      <c r="EF40">
        <v>7.1178664679999999</v>
      </c>
    </row>
    <row r="41" spans="1:136" x14ac:dyDescent="0.45">
      <c r="A41" t="s">
        <v>127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9.1073557869999995</v>
      </c>
      <c r="CO41">
        <v>4.0452013969999996</v>
      </c>
      <c r="CP41">
        <v>9.174559275</v>
      </c>
      <c r="CQ41">
        <v>6.9582762039999997</v>
      </c>
      <c r="CR41">
        <v>4.6131917180000004</v>
      </c>
      <c r="CS41">
        <v>9.2332370249999993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9.5350515690000002</v>
      </c>
      <c r="EE41">
        <v>4.9967927269999999</v>
      </c>
      <c r="EF41">
        <v>9.0110656910000007</v>
      </c>
    </row>
    <row r="42" spans="1:136" x14ac:dyDescent="0.45">
      <c r="A42" t="s">
        <v>128</v>
      </c>
      <c r="B42">
        <v>7.6382691060000001</v>
      </c>
      <c r="C42">
        <v>4.4174169900000004</v>
      </c>
      <c r="D42">
        <v>11.05764491</v>
      </c>
      <c r="E42">
        <v>8.333118464</v>
      </c>
      <c r="F42">
        <v>4.7966158390000002</v>
      </c>
      <c r="G42">
        <v>9.95468872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14.099188099999999</v>
      </c>
      <c r="EE42">
        <v>4.3600273710000002</v>
      </c>
      <c r="EF42">
        <v>7.6500469320000004</v>
      </c>
    </row>
    <row r="43" spans="1:136" x14ac:dyDescent="0.45">
      <c r="A43" t="s">
        <v>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7.4847664199999997</v>
      </c>
      <c r="AJ43">
        <v>5.3811686940000003</v>
      </c>
      <c r="AK43">
        <v>7.679791474</v>
      </c>
      <c r="AL43">
        <v>7.4437319850000003</v>
      </c>
      <c r="AM43">
        <v>5.1713839339999996</v>
      </c>
      <c r="AN43">
        <v>7.642903832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10.48391876</v>
      </c>
      <c r="EE43">
        <v>4.0122449939999996</v>
      </c>
      <c r="EF43">
        <v>6.5963790329999998</v>
      </c>
    </row>
    <row r="44" spans="1:136" x14ac:dyDescent="0.45">
      <c r="A44" t="s">
        <v>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8.2352101599999994</v>
      </c>
      <c r="AJ44">
        <v>5.3146083549999998</v>
      </c>
      <c r="AK44">
        <v>7.429803282</v>
      </c>
      <c r="AL44">
        <v>7.5819817819999997</v>
      </c>
      <c r="AM44">
        <v>5.1248169350000001</v>
      </c>
      <c r="AN44">
        <v>7.6016994020000004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10.19519232</v>
      </c>
      <c r="EE44">
        <v>5.057282077</v>
      </c>
      <c r="EF44">
        <v>6.9364995560000002</v>
      </c>
    </row>
    <row r="45" spans="1:136" x14ac:dyDescent="0.45">
      <c r="A45" t="s">
        <v>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9.0026473550000006</v>
      </c>
      <c r="AY45">
        <v>5.5124060180000001</v>
      </c>
      <c r="AZ45">
        <v>7.7060745969999997</v>
      </c>
      <c r="BA45">
        <v>8.7654998170000002</v>
      </c>
      <c r="BB45">
        <v>5.9967278640000004</v>
      </c>
      <c r="BC45">
        <v>8.5477079669999991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9.6142576940000009</v>
      </c>
      <c r="EE45">
        <v>5.205137626</v>
      </c>
      <c r="EF45">
        <v>7.6748389169999998</v>
      </c>
    </row>
    <row r="46" spans="1:136" x14ac:dyDescent="0.45">
      <c r="A46" t="s">
        <v>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7.1151923190000002</v>
      </c>
      <c r="AY46">
        <v>6.0458448069999999</v>
      </c>
      <c r="AZ46">
        <v>8.4418546859999992</v>
      </c>
      <c r="BA46">
        <v>8.4663822779999993</v>
      </c>
      <c r="BB46">
        <v>4.7941865940000001</v>
      </c>
      <c r="BC46">
        <v>8.8949914119999995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12.05152316</v>
      </c>
      <c r="EE46">
        <v>4.0285461380000003</v>
      </c>
      <c r="EF46">
        <v>7.0411650520000002</v>
      </c>
    </row>
    <row r="47" spans="1:136" x14ac:dyDescent="0.45">
      <c r="A47" t="s">
        <v>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7.7770950560000003</v>
      </c>
      <c r="CU47">
        <v>5.4202750249999996</v>
      </c>
      <c r="CV47">
        <v>9.1131188919999992</v>
      </c>
      <c r="CW47">
        <v>9.8360186170000006</v>
      </c>
      <c r="CX47">
        <v>4.921418589</v>
      </c>
      <c r="CY47">
        <v>8.9936187830000005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10.7587998</v>
      </c>
      <c r="EE47">
        <v>4.827844078</v>
      </c>
      <c r="EF47">
        <v>7.4163099109999999</v>
      </c>
    </row>
    <row r="48" spans="1:136" x14ac:dyDescent="0.45">
      <c r="A48" t="s">
        <v>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9.0202988029999993</v>
      </c>
      <c r="CU48">
        <v>5.074619599</v>
      </c>
      <c r="CV48">
        <v>9.1078636230000001</v>
      </c>
      <c r="CW48">
        <v>9.1224320389999995</v>
      </c>
      <c r="CX48">
        <v>5.4532863799999998</v>
      </c>
      <c r="CY48">
        <v>9.1019468579999998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11.3388442</v>
      </c>
      <c r="EE48">
        <v>5.6926764209999998</v>
      </c>
      <c r="EF48">
        <v>9.5410028810000007</v>
      </c>
    </row>
    <row r="49" spans="1:136" x14ac:dyDescent="0.45">
      <c r="A49" t="s">
        <v>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8.8010683929999995</v>
      </c>
      <c r="CU49">
        <v>4.8455798430000003</v>
      </c>
      <c r="CV49">
        <v>9.0860572019999992</v>
      </c>
      <c r="CW49">
        <v>8.7505338780000006</v>
      </c>
      <c r="CX49">
        <v>4.8927431700000001</v>
      </c>
      <c r="CY49">
        <v>9.1045295629999998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11.4750625</v>
      </c>
      <c r="EE49">
        <v>4.9059311189999999</v>
      </c>
      <c r="EF49">
        <v>7.1406184660000003</v>
      </c>
    </row>
    <row r="50" spans="1:136" x14ac:dyDescent="0.45">
      <c r="A50" t="s">
        <v>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9.8658036649999996</v>
      </c>
      <c r="CU50">
        <v>4.6736759030000004</v>
      </c>
      <c r="CV50">
        <v>9.1350121390000005</v>
      </c>
      <c r="CW50">
        <v>9.8170814919999998</v>
      </c>
      <c r="CX50">
        <v>5.0935099890000002</v>
      </c>
      <c r="CY50">
        <v>9.2061164840000007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11.27857478</v>
      </c>
      <c r="EE50">
        <v>5.0047507019999999</v>
      </c>
      <c r="EF50">
        <v>8.6460097979999997</v>
      </c>
    </row>
    <row r="51" spans="1:136" x14ac:dyDescent="0.45">
      <c r="A51" t="s">
        <v>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9.1082930320000006</v>
      </c>
      <c r="CU51">
        <v>4.6622806069999996</v>
      </c>
      <c r="CV51">
        <v>9.0568727300000003</v>
      </c>
      <c r="CW51">
        <v>7.1297595129999998</v>
      </c>
      <c r="CX51">
        <v>4.9281974110000002</v>
      </c>
      <c r="CY51">
        <v>8.6845517690000005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11.487318650000001</v>
      </c>
      <c r="EE51">
        <v>4.9252362119999997</v>
      </c>
      <c r="EF51">
        <v>8.1017390640000002</v>
      </c>
    </row>
    <row r="52" spans="1:136" x14ac:dyDescent="0.45">
      <c r="A52" t="s">
        <v>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8.4220048769999991</v>
      </c>
      <c r="CU52">
        <v>4.3075025680000003</v>
      </c>
      <c r="CV52">
        <v>9.0492247369999994</v>
      </c>
      <c r="CW52">
        <v>7.0546141630000001</v>
      </c>
      <c r="CX52">
        <v>4.9585358499999996</v>
      </c>
      <c r="CY52">
        <v>9.1259165679999992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11.266703659999999</v>
      </c>
      <c r="EE52">
        <v>4.2359116989999999</v>
      </c>
      <c r="EF52">
        <v>7.1743735080000004</v>
      </c>
    </row>
    <row r="53" spans="1:136" x14ac:dyDescent="0.45">
      <c r="A53" t="s">
        <v>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8.2115599219999993</v>
      </c>
      <c r="CU53">
        <v>5.1360023730000002</v>
      </c>
      <c r="CV53">
        <v>9.0949224629999996</v>
      </c>
      <c r="CW53">
        <v>7.8544462270000004</v>
      </c>
      <c r="CX53">
        <v>4.6451792010000004</v>
      </c>
      <c r="CY53">
        <v>9.1236507119999999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11.281085900000001</v>
      </c>
      <c r="EE53">
        <v>5.0358327190000001</v>
      </c>
      <c r="EF53">
        <v>7.2860229539999999</v>
      </c>
    </row>
    <row r="54" spans="1:136" x14ac:dyDescent="0.45">
      <c r="A54" t="s">
        <v>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7.5601792080000001</v>
      </c>
      <c r="CU54">
        <v>5.1299660820000001</v>
      </c>
      <c r="CV54">
        <v>8.3757058250000007</v>
      </c>
      <c r="CW54">
        <v>8.3992511509999996</v>
      </c>
      <c r="CX54">
        <v>4.9635613249999997</v>
      </c>
      <c r="CY54">
        <v>8.2251682469999992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12.41565106</v>
      </c>
      <c r="EE54">
        <v>4.2494097589999997</v>
      </c>
      <c r="EF54">
        <v>6.7770463129999996</v>
      </c>
    </row>
    <row r="55" spans="1:136" x14ac:dyDescent="0.45">
      <c r="A55" t="s">
        <v>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9.3502936640000005</v>
      </c>
      <c r="DA55">
        <v>4.5059888099999998</v>
      </c>
      <c r="DB55">
        <v>8.239339438</v>
      </c>
      <c r="DC55">
        <v>9.2967753020000004</v>
      </c>
      <c r="DD55">
        <v>4.6950720309999996</v>
      </c>
      <c r="DE55">
        <v>8.2682240979999992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10.669941229999999</v>
      </c>
      <c r="EE55">
        <v>4.5918439480000002</v>
      </c>
      <c r="EF55">
        <v>6.9240986739999997</v>
      </c>
    </row>
    <row r="56" spans="1:136" x14ac:dyDescent="0.45">
      <c r="A56" t="s">
        <v>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9.8175846240000002</v>
      </c>
      <c r="DG56">
        <v>4.5995972350000001</v>
      </c>
      <c r="DH56">
        <v>8.2668008700000009</v>
      </c>
      <c r="DI56">
        <v>8.8256948099999999</v>
      </c>
      <c r="DJ56">
        <v>4.3614262960000003</v>
      </c>
      <c r="DK56">
        <v>8.1253041249999995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11.15332699</v>
      </c>
      <c r="EE56">
        <v>4.9930379</v>
      </c>
      <c r="EF56">
        <v>8.3699809849999998</v>
      </c>
    </row>
    <row r="57" spans="1:136" x14ac:dyDescent="0.45">
      <c r="A57" t="s">
        <v>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7.1225965120000003</v>
      </c>
      <c r="CC57">
        <v>3.7305794510000001</v>
      </c>
      <c r="CD57">
        <v>7.4623206440000001</v>
      </c>
      <c r="CE57">
        <v>9.6320072850000003</v>
      </c>
      <c r="CF57">
        <v>3.001188397</v>
      </c>
      <c r="CG57">
        <v>8.1487172739999991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10.05505151</v>
      </c>
      <c r="EE57">
        <v>2.305637156</v>
      </c>
      <c r="EF57">
        <v>7.3456383790000004</v>
      </c>
    </row>
    <row r="58" spans="1:136" x14ac:dyDescent="0.45">
      <c r="A58" t="s">
        <v>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8.2161342249999993</v>
      </c>
      <c r="DM58">
        <v>5.0390084079999999</v>
      </c>
      <c r="DN58">
        <v>9.1638125250000009</v>
      </c>
      <c r="DO58">
        <v>7.8356478679999997</v>
      </c>
      <c r="DP58">
        <v>4.7890718039999998</v>
      </c>
      <c r="DQ58">
        <v>9.3889816330000002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12.755419570000001</v>
      </c>
      <c r="EE58">
        <v>5.4674280409999998</v>
      </c>
      <c r="EF58">
        <v>8.1137398780000005</v>
      </c>
    </row>
    <row r="59" spans="1:136" x14ac:dyDescent="0.45">
      <c r="A59" t="s">
        <v>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7.5048716740000003</v>
      </c>
      <c r="BK59">
        <v>4.8926606599999998</v>
      </c>
      <c r="BL59">
        <v>10.31899413</v>
      </c>
      <c r="BM59">
        <v>8.8516571870000007</v>
      </c>
      <c r="BN59">
        <v>4.930476895</v>
      </c>
      <c r="BO59">
        <v>10.02254082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14.33926739</v>
      </c>
      <c r="EE59">
        <v>4.8398923790000001</v>
      </c>
      <c r="EF59">
        <v>7.8855737680000004</v>
      </c>
    </row>
    <row r="60" spans="1:136" x14ac:dyDescent="0.45">
      <c r="A60" t="s">
        <v>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9.4094682540000001</v>
      </c>
      <c r="DS60">
        <v>5.6057960050000002</v>
      </c>
      <c r="DT60">
        <v>7.5442628919999999</v>
      </c>
      <c r="DU60">
        <v>9.2114097069999996</v>
      </c>
      <c r="DV60">
        <v>5.3257133469999998</v>
      </c>
      <c r="DW60">
        <v>6.9922922529999996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9.8239431590000006</v>
      </c>
      <c r="EE60">
        <v>4.9916704860000003</v>
      </c>
      <c r="EF60">
        <v>8.9048397769999994</v>
      </c>
    </row>
    <row r="61" spans="1:136" x14ac:dyDescent="0.45">
      <c r="A61" t="s">
        <v>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10.817623469999999</v>
      </c>
      <c r="DS61">
        <v>4.7528078909999998</v>
      </c>
      <c r="DT61">
        <v>8.0905222549999998</v>
      </c>
      <c r="DU61">
        <v>9.7410785470000008</v>
      </c>
      <c r="DV61">
        <v>3.7320034620000002</v>
      </c>
      <c r="DW61">
        <v>11.706177139999999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9.4927368699999999</v>
      </c>
      <c r="EE61">
        <v>3.6364403250000001</v>
      </c>
      <c r="EF61">
        <v>11.34251068</v>
      </c>
    </row>
    <row r="62" spans="1:136" x14ac:dyDescent="0.45">
      <c r="A62" t="s">
        <v>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8.3898095809999997</v>
      </c>
      <c r="DS62">
        <v>4.3360450940000002</v>
      </c>
      <c r="DT62">
        <v>6.8168164290000002</v>
      </c>
      <c r="DU62">
        <v>6.8333941730000003</v>
      </c>
      <c r="DV62">
        <v>5.7908337830000001</v>
      </c>
      <c r="DW62">
        <v>9.3007943540000007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9.7753822550000002</v>
      </c>
      <c r="EE62">
        <v>4.8162324310000004</v>
      </c>
      <c r="EF62">
        <v>7.0224754379999998</v>
      </c>
    </row>
    <row r="63" spans="1:136" x14ac:dyDescent="0.45">
      <c r="A63" t="s">
        <v>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8.8364945709999994</v>
      </c>
      <c r="DS63">
        <v>4.2889514039999996</v>
      </c>
      <c r="DT63">
        <v>8.2999817960000009</v>
      </c>
      <c r="DU63">
        <v>6.6409301530000002</v>
      </c>
      <c r="DV63">
        <v>5.271040094</v>
      </c>
      <c r="DW63">
        <v>9.3332182330000002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10.695246750000001</v>
      </c>
      <c r="EE63">
        <v>4.8738932259999999</v>
      </c>
      <c r="EF63">
        <v>9.1986160649999995</v>
      </c>
    </row>
    <row r="64" spans="1:136" x14ac:dyDescent="0.45">
      <c r="A64" t="s">
        <v>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6.6963377890000002</v>
      </c>
      <c r="DS64">
        <v>5.2062637550000002</v>
      </c>
      <c r="DT64">
        <v>11.507756840000001</v>
      </c>
      <c r="DU64">
        <v>9.0963702289999997</v>
      </c>
      <c r="DV64">
        <v>3.7017654719999999</v>
      </c>
      <c r="DW64">
        <v>11.222219369999999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13.167299440000001</v>
      </c>
      <c r="EE64">
        <v>4.5551238959999996</v>
      </c>
      <c r="EF64">
        <v>11.35027886</v>
      </c>
    </row>
    <row r="65" spans="1:136" x14ac:dyDescent="0.45">
      <c r="A65" t="s">
        <v>129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8.0529404010000007</v>
      </c>
      <c r="DY65">
        <v>4.4293546150000003</v>
      </c>
      <c r="DZ65">
        <v>7.1335319049999999</v>
      </c>
      <c r="EA65">
        <v>8.5849936049999993</v>
      </c>
      <c r="EB65">
        <v>4.5061657899999998</v>
      </c>
      <c r="EC65">
        <v>7.0717801920000003</v>
      </c>
      <c r="ED65">
        <v>7.6819101859999996</v>
      </c>
      <c r="EE65">
        <v>3.5816911230000001</v>
      </c>
      <c r="EF65">
        <v>7.3220855670000002</v>
      </c>
    </row>
    <row r="66" spans="1:136" x14ac:dyDescent="0.45">
      <c r="A66" t="s">
        <v>130</v>
      </c>
      <c r="B66">
        <v>8.530679847</v>
      </c>
      <c r="C66">
        <v>4.5092422650000001</v>
      </c>
      <c r="D66">
        <v>6.9609068049999996</v>
      </c>
      <c r="E66">
        <v>8.6699432309999995</v>
      </c>
      <c r="F66">
        <v>4.5121038840000001</v>
      </c>
      <c r="G66">
        <v>7.3598254880000002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8.5566971919999997</v>
      </c>
      <c r="EE66">
        <v>4.1018711000000003</v>
      </c>
      <c r="EF66">
        <v>7.6360981570000002</v>
      </c>
    </row>
    <row r="67" spans="1:136" x14ac:dyDescent="0.45">
      <c r="A67" t="s">
        <v>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7.8047909669999997</v>
      </c>
      <c r="AY67">
        <v>5.0628880619999999</v>
      </c>
      <c r="AZ67">
        <v>8.5844361530000004</v>
      </c>
      <c r="BA67">
        <v>8.0155067160000009</v>
      </c>
      <c r="BB67">
        <v>5.1691667380000004</v>
      </c>
      <c r="BC67">
        <v>7.8231632339999999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9.6631737310000005</v>
      </c>
      <c r="EE67">
        <v>5.1283395430000001</v>
      </c>
      <c r="EF67">
        <v>7.8330955040000001</v>
      </c>
    </row>
    <row r="68" spans="1:136" x14ac:dyDescent="0.45">
      <c r="A68" t="s">
        <v>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9.9344907080000002</v>
      </c>
      <c r="AY68">
        <v>5.1758612790000003</v>
      </c>
      <c r="AZ68">
        <v>8.8335781400000002</v>
      </c>
      <c r="BA68">
        <v>7.4208291729999996</v>
      </c>
      <c r="BB68">
        <v>5.708050686</v>
      </c>
      <c r="BC68">
        <v>8.5691102659999991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12.01542676</v>
      </c>
      <c r="EE68">
        <v>4.6622419129999999</v>
      </c>
      <c r="EF68">
        <v>8.2487511579999993</v>
      </c>
    </row>
    <row r="69" spans="1:136" x14ac:dyDescent="0.45">
      <c r="A69" t="s">
        <v>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8.891108462</v>
      </c>
      <c r="AY69">
        <v>4.2308820559999996</v>
      </c>
      <c r="AZ69">
        <v>8.8009205000000001</v>
      </c>
      <c r="BA69">
        <v>7.6646797199999996</v>
      </c>
      <c r="BB69">
        <v>5.2367645129999998</v>
      </c>
      <c r="BC69">
        <v>8.5813636229999997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11.940847700000001</v>
      </c>
      <c r="EE69">
        <v>3.808802832</v>
      </c>
      <c r="EF69">
        <v>7.368072658</v>
      </c>
    </row>
    <row r="70" spans="1:136" x14ac:dyDescent="0.45">
      <c r="A70" t="s">
        <v>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8.5832348320000005</v>
      </c>
      <c r="AY70">
        <v>4.7863120950000004</v>
      </c>
      <c r="AZ70">
        <v>8.8254837649999995</v>
      </c>
      <c r="BA70">
        <v>8.0192051610000004</v>
      </c>
      <c r="BB70">
        <v>5.0268153790000003</v>
      </c>
      <c r="BC70">
        <v>8.5996908869999995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11.99068136</v>
      </c>
      <c r="EE70">
        <v>4.9782776530000001</v>
      </c>
      <c r="EF70">
        <v>7.9804981130000003</v>
      </c>
    </row>
    <row r="71" spans="1:136" x14ac:dyDescent="0.45">
      <c r="A71" t="s">
        <v>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8.5818195950000007</v>
      </c>
      <c r="BK71">
        <v>4.6207360079999997</v>
      </c>
      <c r="BL71">
        <v>10.176958689999999</v>
      </c>
      <c r="BM71">
        <v>7.8523334729999998</v>
      </c>
      <c r="BN71">
        <v>5.0507716050000004</v>
      </c>
      <c r="BO71">
        <v>10.13293578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14.381981079999999</v>
      </c>
      <c r="EE71">
        <v>4.68751564</v>
      </c>
      <c r="EF71">
        <v>7.7504999510000001</v>
      </c>
    </row>
    <row r="72" spans="1:136" x14ac:dyDescent="0.45">
      <c r="A72" t="s">
        <v>131</v>
      </c>
      <c r="B72">
        <v>9.0126332280000003</v>
      </c>
      <c r="C72">
        <v>4.3775869370000002</v>
      </c>
      <c r="D72">
        <v>6.9560479710000003</v>
      </c>
      <c r="E72">
        <v>8.4282351450000004</v>
      </c>
      <c r="F72">
        <v>4.2589783539999999</v>
      </c>
      <c r="G72">
        <v>7.0315172600000002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8.5638287710000007</v>
      </c>
      <c r="EE72">
        <v>4.2139358060000003</v>
      </c>
      <c r="EF72">
        <v>6.6562436280000004</v>
      </c>
    </row>
    <row r="73" spans="1:136" x14ac:dyDescent="0.45">
      <c r="A73" t="s">
        <v>132</v>
      </c>
      <c r="B73">
        <v>8.4750182420000009</v>
      </c>
      <c r="C73">
        <v>4.8749690799999996</v>
      </c>
      <c r="D73">
        <v>7.3652274139999996</v>
      </c>
      <c r="E73">
        <v>9.4506851170000008</v>
      </c>
      <c r="F73">
        <v>4.4372508789999996</v>
      </c>
      <c r="G73">
        <v>6.9810454310000001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7.6682920230000002</v>
      </c>
      <c r="EE73">
        <v>4.1320684029999999</v>
      </c>
      <c r="EF73">
        <v>7.6231366999999999</v>
      </c>
    </row>
    <row r="74" spans="1:136" x14ac:dyDescent="0.45">
      <c r="A74" t="s">
        <v>133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7.8399750729999997</v>
      </c>
      <c r="R74">
        <v>5.333621323</v>
      </c>
      <c r="S74">
        <v>7.5290754089999998</v>
      </c>
      <c r="T74">
        <v>8.9198965759999993</v>
      </c>
      <c r="U74">
        <v>4.5398871119999997</v>
      </c>
      <c r="V74">
        <v>7.3083871890000003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9.7258005890000003</v>
      </c>
      <c r="EE74">
        <v>5.3304793720000001</v>
      </c>
      <c r="EF74">
        <v>7.3084553100000003</v>
      </c>
    </row>
    <row r="75" spans="1:136" x14ac:dyDescent="0.45">
      <c r="A75" t="s">
        <v>59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9.8414748860000003</v>
      </c>
      <c r="X75">
        <v>5.5849406940000001</v>
      </c>
      <c r="Y75">
        <v>8.6922415199999996</v>
      </c>
      <c r="Z75">
        <v>9.5848574180000004</v>
      </c>
      <c r="AA75">
        <v>4.3820528449999996</v>
      </c>
      <c r="AB75">
        <v>8.8281303389999994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12.138308930000001</v>
      </c>
      <c r="EE75">
        <v>4.5703702320000001</v>
      </c>
      <c r="EF75">
        <v>8.6628341449999997</v>
      </c>
    </row>
    <row r="76" spans="1:136" x14ac:dyDescent="0.45">
      <c r="A76" t="s">
        <v>60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6.891591236</v>
      </c>
      <c r="AD76">
        <v>5.8553163450000003</v>
      </c>
      <c r="AE76">
        <v>9.2504555110000002</v>
      </c>
      <c r="AF76">
        <v>8.0720147610000001</v>
      </c>
      <c r="AG76">
        <v>4.7375795260000002</v>
      </c>
      <c r="AH76">
        <v>9.224290066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10.26962728</v>
      </c>
      <c r="EE76">
        <v>4.3650567320000002</v>
      </c>
      <c r="EF76">
        <v>7.4295215749999999</v>
      </c>
    </row>
    <row r="77" spans="1:136" x14ac:dyDescent="0.45">
      <c r="A77" t="s">
        <v>61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8.8863100510000006</v>
      </c>
      <c r="AD77">
        <v>5.2077340889999997</v>
      </c>
      <c r="AE77">
        <v>8.7054474929999994</v>
      </c>
      <c r="AF77">
        <v>9.0474950780000007</v>
      </c>
      <c r="AG77">
        <v>4.8593497770000003</v>
      </c>
      <c r="AH77">
        <v>9.3189855700000006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10.93448521</v>
      </c>
      <c r="EE77">
        <v>5.3296180609999997</v>
      </c>
      <c r="EF77">
        <v>8.3160264119999994</v>
      </c>
    </row>
    <row r="78" spans="1:136" x14ac:dyDescent="0.45">
      <c r="A78" t="s">
        <v>62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9.1176088960000001</v>
      </c>
      <c r="AJ78">
        <v>5.4169268710000003</v>
      </c>
      <c r="AK78">
        <v>7.6914950380000002</v>
      </c>
      <c r="AL78">
        <v>9.6336495430000006</v>
      </c>
      <c r="AM78">
        <v>4.7342949340000002</v>
      </c>
      <c r="AN78">
        <v>7.7310452219999997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10.39363425</v>
      </c>
      <c r="EE78">
        <v>4.5559651170000004</v>
      </c>
      <c r="EF78">
        <v>7.0710813430000004</v>
      </c>
    </row>
    <row r="79" spans="1:136" x14ac:dyDescent="0.45">
      <c r="A79" t="s">
        <v>63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10.62737551</v>
      </c>
      <c r="AJ79">
        <v>4.5974048520000004</v>
      </c>
      <c r="AK79">
        <v>8.1823292500000004</v>
      </c>
      <c r="AL79">
        <v>9.1145883669999996</v>
      </c>
      <c r="AM79">
        <v>5.2504138239999998</v>
      </c>
      <c r="AN79">
        <v>8.2014290439999993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10.6827843</v>
      </c>
      <c r="EE79">
        <v>4.2288482619999996</v>
      </c>
      <c r="EF79">
        <v>9.4994829759999995</v>
      </c>
    </row>
    <row r="80" spans="1:136" x14ac:dyDescent="0.45">
      <c r="A80" t="s">
        <v>64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8.3358384880000003</v>
      </c>
      <c r="AJ80">
        <v>4.9458490189999997</v>
      </c>
      <c r="AK80">
        <v>7.1808817170000001</v>
      </c>
      <c r="AL80">
        <v>7.0761806199999997</v>
      </c>
      <c r="AM80">
        <v>5.1249757029999996</v>
      </c>
      <c r="AN80">
        <v>7.6500480629999998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9.7578279200000004</v>
      </c>
      <c r="EE80">
        <v>4.7985820070000003</v>
      </c>
      <c r="EF80">
        <v>6.8855914370000004</v>
      </c>
    </row>
    <row r="81" spans="1:136" x14ac:dyDescent="0.45">
      <c r="A81" t="s">
        <v>65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8.3347678710000004</v>
      </c>
      <c r="AJ81">
        <v>4.7322161710000001</v>
      </c>
      <c r="AK81">
        <v>7.4014376119999996</v>
      </c>
      <c r="AL81">
        <v>8.2688538640000004</v>
      </c>
      <c r="AM81">
        <v>4.5417720849999998</v>
      </c>
      <c r="AN81">
        <v>7.8207629929999998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9.642513911</v>
      </c>
      <c r="EE81">
        <v>4.5589710620000004</v>
      </c>
      <c r="EF81">
        <v>7.2806670359999996</v>
      </c>
    </row>
    <row r="82" spans="1:136" x14ac:dyDescent="0.45">
      <c r="A82" t="s">
        <v>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8.4197010450000001</v>
      </c>
      <c r="AJ82">
        <v>5.7662878759999998</v>
      </c>
      <c r="AK82">
        <v>7.7119596579999996</v>
      </c>
      <c r="AL82">
        <v>8.4881404739999997</v>
      </c>
      <c r="AM82">
        <v>5.2295810630000004</v>
      </c>
      <c r="AN82">
        <v>7.7622370089999997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10.65996065</v>
      </c>
      <c r="EE82">
        <v>4.06350839</v>
      </c>
      <c r="EF82">
        <v>7.2398474330000004</v>
      </c>
    </row>
    <row r="83" spans="1:136" x14ac:dyDescent="0.45">
      <c r="A83" t="s">
        <v>67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8.3862616770000002</v>
      </c>
      <c r="AJ83">
        <v>4.9141731159999997</v>
      </c>
      <c r="AK83">
        <v>7.6755703080000002</v>
      </c>
      <c r="AL83">
        <v>6.9131190550000001</v>
      </c>
      <c r="AM83">
        <v>4.9216264570000003</v>
      </c>
      <c r="AN83">
        <v>7.8193931430000001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10.60711219</v>
      </c>
      <c r="EE83">
        <v>3.9556965499999999</v>
      </c>
      <c r="EF83">
        <v>6.9465084399999997</v>
      </c>
    </row>
    <row r="84" spans="1:136" x14ac:dyDescent="0.45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9.0900407619999992</v>
      </c>
      <c r="I84">
        <v>4.1354308299999998</v>
      </c>
      <c r="J84">
        <v>7.4966363510000003</v>
      </c>
      <c r="K84">
        <v>8.7068126140000004</v>
      </c>
      <c r="L84">
        <v>4.2520359379999997</v>
      </c>
      <c r="M84">
        <v>8.6457312159999997</v>
      </c>
      <c r="N84">
        <v>9.9325793749999995</v>
      </c>
      <c r="O84">
        <v>4.6548974769999996</v>
      </c>
      <c r="P84">
        <v>7.30072031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8.6760612469999998</v>
      </c>
      <c r="EE84">
        <v>3.942591803</v>
      </c>
      <c r="EF84">
        <v>8.5501105049999993</v>
      </c>
    </row>
    <row r="85" spans="1:136" x14ac:dyDescent="0.45">
      <c r="A85" t="s">
        <v>135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9.8281662060000006</v>
      </c>
      <c r="AP85">
        <v>3.9559291879999998</v>
      </c>
      <c r="AQ85">
        <v>8.2579078300000006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9.5752185950000008</v>
      </c>
      <c r="EE85">
        <v>3.9456727919999999</v>
      </c>
      <c r="EF85">
        <v>8.2392907389999994</v>
      </c>
    </row>
    <row r="86" spans="1:136" x14ac:dyDescent="0.45">
      <c r="A86" t="s">
        <v>136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9.4569548920000006</v>
      </c>
      <c r="AS86">
        <v>5.0861054489999997</v>
      </c>
      <c r="AT86">
        <v>9.3991026309999999</v>
      </c>
      <c r="AU86">
        <v>7.9136187900000001</v>
      </c>
      <c r="AV86">
        <v>5.344754505</v>
      </c>
      <c r="AW86">
        <v>8.8946725949999994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11.751835939999999</v>
      </c>
      <c r="EE86">
        <v>5.3358619940000001</v>
      </c>
      <c r="EF86">
        <v>7.8780436109999998</v>
      </c>
    </row>
    <row r="87" spans="1:136" x14ac:dyDescent="0.45">
      <c r="A87" t="s">
        <v>137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9.1931220430000007</v>
      </c>
      <c r="AS87">
        <v>4.677236046</v>
      </c>
      <c r="AT87">
        <v>9.3936275689999995</v>
      </c>
      <c r="AU87">
        <v>9.1608655910000003</v>
      </c>
      <c r="AV87">
        <v>5.2926956440000001</v>
      </c>
      <c r="AW87">
        <v>9.0563571649999997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12.006280329999999</v>
      </c>
      <c r="EE87">
        <v>4.7594360560000002</v>
      </c>
      <c r="EF87">
        <v>7.8558063469999997</v>
      </c>
    </row>
    <row r="88" spans="1:136" x14ac:dyDescent="0.45">
      <c r="A88" t="s">
        <v>138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8.2603753980000008</v>
      </c>
      <c r="AS88">
        <v>4.6411646949999996</v>
      </c>
      <c r="AT88">
        <v>9.3489908110000002</v>
      </c>
      <c r="AU88">
        <v>8.850947347</v>
      </c>
      <c r="AV88">
        <v>4.4482239400000001</v>
      </c>
      <c r="AW88">
        <v>8.5259539760000003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10.59718986</v>
      </c>
      <c r="EE88">
        <v>4.9790503230000001</v>
      </c>
      <c r="EF88">
        <v>8.5601460169999992</v>
      </c>
    </row>
    <row r="89" spans="1:136" x14ac:dyDescent="0.45">
      <c r="A89" t="s">
        <v>68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7.5798257109999998</v>
      </c>
      <c r="AY89">
        <v>5.7384248690000002</v>
      </c>
      <c r="AZ89">
        <v>8.0476273190000001</v>
      </c>
      <c r="BA89">
        <v>8.5372913659999998</v>
      </c>
      <c r="BB89">
        <v>5.3263435939999999</v>
      </c>
      <c r="BC89">
        <v>9.5899049660000006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9.2571052970000007</v>
      </c>
      <c r="EE89">
        <v>5.2054423109999997</v>
      </c>
      <c r="EF89">
        <v>9.0603674079999994</v>
      </c>
    </row>
    <row r="90" spans="1:136" x14ac:dyDescent="0.45">
      <c r="A90" t="s">
        <v>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8.9902689359999997</v>
      </c>
      <c r="BE90">
        <v>3.6845624410000002</v>
      </c>
      <c r="BF90">
        <v>6.9945108940000003</v>
      </c>
      <c r="BG90">
        <v>7.4233116739999998</v>
      </c>
      <c r="BH90">
        <v>4.3401165639999997</v>
      </c>
      <c r="BI90">
        <v>6.8097892870000001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11.172099559999999</v>
      </c>
      <c r="EE90">
        <v>4.0284604660000003</v>
      </c>
      <c r="EF90">
        <v>6.1324568360000002</v>
      </c>
    </row>
    <row r="91" spans="1:136" x14ac:dyDescent="0.45">
      <c r="A91" t="s">
        <v>70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8.9130490000000009</v>
      </c>
      <c r="BE91">
        <v>3.8247150190000001</v>
      </c>
      <c r="BF91">
        <v>8.1453832770000005</v>
      </c>
      <c r="BG91">
        <v>7.5336693979999998</v>
      </c>
      <c r="BH91">
        <v>4.6830214510000001</v>
      </c>
      <c r="BI91">
        <v>7.5778271210000003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11.35456707</v>
      </c>
      <c r="EE91">
        <v>3.578585559</v>
      </c>
      <c r="EF91">
        <v>6.1352703560000004</v>
      </c>
    </row>
    <row r="92" spans="1:136" x14ac:dyDescent="0.45">
      <c r="A92" t="s">
        <v>71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9.056043549</v>
      </c>
      <c r="BE92">
        <v>3.6302677980000002</v>
      </c>
      <c r="BF92">
        <v>7.8584911679999996</v>
      </c>
      <c r="BG92">
        <v>7.368150623</v>
      </c>
      <c r="BH92">
        <v>4.468188016</v>
      </c>
      <c r="BI92">
        <v>7.1584344399999997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11.423296089999999</v>
      </c>
      <c r="EE92">
        <v>4.0854602470000003</v>
      </c>
      <c r="EF92">
        <v>6.2113880579999998</v>
      </c>
    </row>
    <row r="93" spans="1:136" x14ac:dyDescent="0.45">
      <c r="A93" t="s">
        <v>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7.7734532989999998</v>
      </c>
      <c r="BK93">
        <v>3.6868920680000001</v>
      </c>
      <c r="BL93">
        <v>7.8740955350000004</v>
      </c>
      <c r="BM93">
        <v>8.4178415829999995</v>
      </c>
      <c r="BN93">
        <v>4.3666750839999997</v>
      </c>
      <c r="BO93">
        <v>11.080970819999999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13.357025699999999</v>
      </c>
      <c r="EE93">
        <v>4.1358459160000001</v>
      </c>
      <c r="EF93">
        <v>8.5087918840000007</v>
      </c>
    </row>
    <row r="94" spans="1:136" x14ac:dyDescent="0.45">
      <c r="A94" t="s">
        <v>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7.635780199</v>
      </c>
      <c r="BK94">
        <v>5.2372497960000004</v>
      </c>
      <c r="BL94">
        <v>8.4626673459999999</v>
      </c>
      <c r="BM94">
        <v>8.9025622070000008</v>
      </c>
      <c r="BN94">
        <v>4.5728065339999997</v>
      </c>
      <c r="BO94">
        <v>11.039114209999999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13.30501085</v>
      </c>
      <c r="EE94">
        <v>3.6774273750000002</v>
      </c>
      <c r="EF94">
        <v>8.6712121450000001</v>
      </c>
    </row>
    <row r="95" spans="1:136" x14ac:dyDescent="0.45">
      <c r="A95" t="s">
        <v>74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8.2894744710000001</v>
      </c>
      <c r="BK95">
        <v>5.1759681239999997</v>
      </c>
      <c r="BL95">
        <v>10.850461320000001</v>
      </c>
      <c r="BM95">
        <v>8.3388634980000003</v>
      </c>
      <c r="BN95">
        <v>4.8142329750000004</v>
      </c>
      <c r="BO95">
        <v>8.8229424470000009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13.87155287</v>
      </c>
      <c r="EE95">
        <v>3.703743459</v>
      </c>
      <c r="EF95">
        <v>8.3984161789999998</v>
      </c>
    </row>
    <row r="96" spans="1:136" x14ac:dyDescent="0.45">
      <c r="A96" t="s">
        <v>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10.12105154</v>
      </c>
      <c r="BK96">
        <v>4.8680569050000004</v>
      </c>
      <c r="BL96">
        <v>12.63929518</v>
      </c>
      <c r="BM96">
        <v>8.4248673580000002</v>
      </c>
      <c r="BN96">
        <v>5.2755050729999997</v>
      </c>
      <c r="BO96">
        <v>11.922189619999999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17.230802879999999</v>
      </c>
      <c r="EE96">
        <v>5.0517477309999999</v>
      </c>
      <c r="EF96">
        <v>11.96401713</v>
      </c>
    </row>
    <row r="97" spans="1:136" x14ac:dyDescent="0.45">
      <c r="A97" t="s">
        <v>76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9.0190321630000003</v>
      </c>
      <c r="BK97">
        <v>3.5318007649999998</v>
      </c>
      <c r="BL97">
        <v>10.999941379999999</v>
      </c>
      <c r="BM97">
        <v>7.3460976039999997</v>
      </c>
      <c r="BN97">
        <v>5.7570280399999998</v>
      </c>
      <c r="BO97">
        <v>9.8599905929999991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13.56357023</v>
      </c>
      <c r="EE97">
        <v>3.4609964209999999</v>
      </c>
      <c r="EF97">
        <v>9.6238103840000004</v>
      </c>
    </row>
    <row r="98" spans="1:136" x14ac:dyDescent="0.45">
      <c r="A98" t="s">
        <v>77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8.2971749799999994</v>
      </c>
      <c r="BK98">
        <v>5.2347731680000003</v>
      </c>
      <c r="BL98">
        <v>11.225717449999999</v>
      </c>
      <c r="BM98">
        <v>8.9354113179999999</v>
      </c>
      <c r="BN98">
        <v>4.416026199</v>
      </c>
      <c r="BO98">
        <v>10.43033582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14.094397750000001</v>
      </c>
      <c r="EE98">
        <v>4.6533459109999997</v>
      </c>
      <c r="EF98">
        <v>9.6189809509999993</v>
      </c>
    </row>
    <row r="99" spans="1:136" x14ac:dyDescent="0.45">
      <c r="A99" t="s">
        <v>78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8.7782644419999993</v>
      </c>
      <c r="BW99">
        <v>4.6456604529999996</v>
      </c>
      <c r="BX99">
        <v>9.9826253230000006</v>
      </c>
      <c r="BY99">
        <v>10.18649815</v>
      </c>
      <c r="BZ99">
        <v>5.5408641699999999</v>
      </c>
      <c r="CA99">
        <v>8.0073888600000007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11.65996161</v>
      </c>
      <c r="EE99">
        <v>3.759342658</v>
      </c>
      <c r="EF99">
        <v>9.8936357109999999</v>
      </c>
    </row>
    <row r="100" spans="1:136" x14ac:dyDescent="0.45">
      <c r="A100" t="s">
        <v>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8.841572717</v>
      </c>
      <c r="CC100">
        <v>5.1769902769999998</v>
      </c>
      <c r="CD100">
        <v>7.9944539450000001</v>
      </c>
      <c r="CE100">
        <v>8.3346074950000002</v>
      </c>
      <c r="CF100">
        <v>5.5440317549999998</v>
      </c>
      <c r="CG100">
        <v>7.9736119910000003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11.03566004</v>
      </c>
      <c r="EE100">
        <v>5.0613372940000003</v>
      </c>
      <c r="EF100">
        <v>6.7184648539999996</v>
      </c>
    </row>
    <row r="101" spans="1:136" x14ac:dyDescent="0.45">
      <c r="A101" t="s">
        <v>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8.9174007569999993</v>
      </c>
      <c r="CC101">
        <v>5.1953733580000003</v>
      </c>
      <c r="CD101">
        <v>8.3604228480000007</v>
      </c>
      <c r="CE101">
        <v>7.6675709960000002</v>
      </c>
      <c r="CF101">
        <v>5.3516993099999999</v>
      </c>
      <c r="CG101">
        <v>8.8090139730000008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11.525604899999999</v>
      </c>
      <c r="EE101">
        <v>4.268052451</v>
      </c>
      <c r="EF101">
        <v>8.9995008769999991</v>
      </c>
    </row>
    <row r="102" spans="1:136" x14ac:dyDescent="0.45">
      <c r="A102" t="s">
        <v>81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7.8572518130000004</v>
      </c>
      <c r="CC102">
        <v>4.2380645159999997</v>
      </c>
      <c r="CD102">
        <v>8.7105079700000001</v>
      </c>
      <c r="CE102">
        <v>9.7326605140000009</v>
      </c>
      <c r="CF102">
        <v>4.6171132620000002</v>
      </c>
      <c r="CG102">
        <v>8.5277284400000006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10.445100610000001</v>
      </c>
      <c r="EE102">
        <v>3.691296007</v>
      </c>
      <c r="EF102">
        <v>9.0508137449999992</v>
      </c>
    </row>
    <row r="103" spans="1:136" x14ac:dyDescent="0.45">
      <c r="A103" t="s">
        <v>82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6.5552654879999999</v>
      </c>
      <c r="CC103">
        <v>5.9248846459999998</v>
      </c>
      <c r="CD103">
        <v>8.3687614400000001</v>
      </c>
      <c r="CE103">
        <v>9.6723870180000002</v>
      </c>
      <c r="CF103">
        <v>3.2365539230000002</v>
      </c>
      <c r="CG103">
        <v>9.5912530220000001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8.4351270930000002</v>
      </c>
      <c r="EE103">
        <v>3.0338578150000002</v>
      </c>
      <c r="EF103">
        <v>9.3826416909999999</v>
      </c>
    </row>
    <row r="104" spans="1:136" x14ac:dyDescent="0.45">
      <c r="A104" t="s">
        <v>83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11.14040147</v>
      </c>
      <c r="CC104">
        <v>5.599631327</v>
      </c>
      <c r="CD104">
        <v>11.544741139999999</v>
      </c>
      <c r="CE104">
        <v>12.52744905</v>
      </c>
      <c r="CF104">
        <v>4.5850215189999997</v>
      </c>
      <c r="CG104">
        <v>9.3428803990000002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11.11348491</v>
      </c>
      <c r="EE104">
        <v>4.5820743840000002</v>
      </c>
      <c r="EF104">
        <v>11.094075159999999</v>
      </c>
    </row>
    <row r="105" spans="1:136" x14ac:dyDescent="0.45">
      <c r="A105" t="s">
        <v>84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7.5408372400000001</v>
      </c>
      <c r="AY105">
        <v>5.6142378019999999</v>
      </c>
      <c r="AZ105">
        <v>7.4662284479999999</v>
      </c>
      <c r="BA105">
        <v>7.3636384179999999</v>
      </c>
      <c r="BB105">
        <v>5.7702858920000004</v>
      </c>
      <c r="BC105">
        <v>7.5942221459999999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9.5877403969999992</v>
      </c>
      <c r="EE105">
        <v>5.3092220220000002</v>
      </c>
      <c r="EF105">
        <v>6.9246142510000004</v>
      </c>
    </row>
    <row r="106" spans="1:136" x14ac:dyDescent="0.45">
      <c r="A106" t="s">
        <v>139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9.1072264520000008</v>
      </c>
      <c r="CO106">
        <v>4.0436850370000004</v>
      </c>
      <c r="CP106">
        <v>9.1749854469999992</v>
      </c>
      <c r="CQ106">
        <v>6.9572569350000002</v>
      </c>
      <c r="CR106">
        <v>4.6161626419999999</v>
      </c>
      <c r="CS106">
        <v>9.2330070289999995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9.5372414079999999</v>
      </c>
      <c r="EE106">
        <v>4.9967437400000003</v>
      </c>
      <c r="EF106">
        <v>9.0120280840000007</v>
      </c>
    </row>
    <row r="107" spans="1:136" x14ac:dyDescent="0.45">
      <c r="A107" t="s">
        <v>140</v>
      </c>
      <c r="B107">
        <v>8.3987659990000001</v>
      </c>
      <c r="C107">
        <v>4.7239149930000002</v>
      </c>
      <c r="D107">
        <v>10.107626679999999</v>
      </c>
      <c r="E107">
        <v>7.3078184950000002</v>
      </c>
      <c r="F107">
        <v>4.4202794750000001</v>
      </c>
      <c r="G107">
        <v>10.930350109999999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14.079866640000001</v>
      </c>
      <c r="EE107">
        <v>4.2283168870000001</v>
      </c>
      <c r="EF107">
        <v>7.6657780620000002</v>
      </c>
    </row>
    <row r="108" spans="1:136" x14ac:dyDescent="0.45">
      <c r="A108" t="s">
        <v>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10.200169949999999</v>
      </c>
      <c r="AJ108">
        <v>5.212195242</v>
      </c>
      <c r="AK108">
        <v>7.731605858</v>
      </c>
      <c r="AL108">
        <v>8.6409455039999994</v>
      </c>
      <c r="AM108">
        <v>5.4322790440000004</v>
      </c>
      <c r="AN108">
        <v>8.3305329889999999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10.31811931</v>
      </c>
      <c r="EE108">
        <v>4.7962491500000004</v>
      </c>
      <c r="EF108">
        <v>9.2897038950000006</v>
      </c>
    </row>
    <row r="109" spans="1:136" x14ac:dyDescent="0.45">
      <c r="A109" t="s">
        <v>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7.3857383700000003</v>
      </c>
      <c r="AJ109">
        <v>5.2287438799999997</v>
      </c>
      <c r="AK109">
        <v>7.6554039600000001</v>
      </c>
      <c r="AL109">
        <v>7.7212121619999996</v>
      </c>
      <c r="AM109">
        <v>4.7939144479999998</v>
      </c>
      <c r="AN109">
        <v>7.5972851759999998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10.27291041</v>
      </c>
      <c r="EE109">
        <v>4.7537160949999997</v>
      </c>
      <c r="EF109">
        <v>6.8846911730000002</v>
      </c>
    </row>
    <row r="110" spans="1:136" x14ac:dyDescent="0.45">
      <c r="A110" t="s">
        <v>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8.3869481710000002</v>
      </c>
      <c r="AJ110">
        <v>4.9938015230000001</v>
      </c>
      <c r="AK110">
        <v>7.5989312680000003</v>
      </c>
      <c r="AL110">
        <v>8.2370239850000004</v>
      </c>
      <c r="AM110">
        <v>5.1608480930000002</v>
      </c>
      <c r="AN110">
        <v>7.4039838270000002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9.8452701339999997</v>
      </c>
      <c r="EE110">
        <v>4.860797893</v>
      </c>
      <c r="EF110">
        <v>6.9530316670000003</v>
      </c>
    </row>
    <row r="111" spans="1:136" x14ac:dyDescent="0.45">
      <c r="A111" t="s">
        <v>88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9.7006627850000005</v>
      </c>
      <c r="AY111">
        <v>5.1204419330000004</v>
      </c>
      <c r="AZ111">
        <v>8.6013619460000008</v>
      </c>
      <c r="BA111">
        <v>9.7250536990000001</v>
      </c>
      <c r="BB111">
        <v>5.3934520099999999</v>
      </c>
      <c r="BC111">
        <v>8.6597508360000006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11.567584</v>
      </c>
      <c r="EE111">
        <v>4.3351766659999997</v>
      </c>
      <c r="EF111">
        <v>7.0957287139999998</v>
      </c>
    </row>
    <row r="112" spans="1:136" x14ac:dyDescent="0.45">
      <c r="A112" t="s">
        <v>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9.3852015400000006</v>
      </c>
      <c r="AY112">
        <v>5.3700553820000003</v>
      </c>
      <c r="AZ112">
        <v>7.9404635060000004</v>
      </c>
      <c r="BA112">
        <v>8.1572894080000005</v>
      </c>
      <c r="BB112">
        <v>5.2611315080000001</v>
      </c>
      <c r="BC112">
        <v>8.4886055850000002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10.006142929999999</v>
      </c>
      <c r="EE112">
        <v>4.5679649219999998</v>
      </c>
      <c r="EF112">
        <v>7.6625626479999998</v>
      </c>
    </row>
    <row r="113" spans="1:136" x14ac:dyDescent="0.45">
      <c r="A113" t="s">
        <v>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9.9731210860000008</v>
      </c>
      <c r="CU113">
        <v>4.5297396970000001</v>
      </c>
      <c r="CV113">
        <v>9.0471310369999998</v>
      </c>
      <c r="CW113">
        <v>7.3856113649999999</v>
      </c>
      <c r="CX113">
        <v>4.6231148480000002</v>
      </c>
      <c r="CY113">
        <v>9.0146847109999992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11.402608669999999</v>
      </c>
      <c r="EE113">
        <v>4.7699558809999996</v>
      </c>
      <c r="EF113">
        <v>8.3456842130000002</v>
      </c>
    </row>
    <row r="114" spans="1:136" x14ac:dyDescent="0.45">
      <c r="A114" t="s">
        <v>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8.7179606340000007</v>
      </c>
      <c r="CU114">
        <v>5.875002072</v>
      </c>
      <c r="CV114">
        <v>9.0629394889999997</v>
      </c>
      <c r="CW114">
        <v>9.7559941489999993</v>
      </c>
      <c r="CX114">
        <v>5.1968694150000001</v>
      </c>
      <c r="CY114">
        <v>8.9124313080000004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11.27269978</v>
      </c>
      <c r="EE114">
        <v>5.1268671640000001</v>
      </c>
      <c r="EF114">
        <v>8.6328365389999995</v>
      </c>
    </row>
    <row r="115" spans="1:136" x14ac:dyDescent="0.45">
      <c r="A115" t="s">
        <v>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8.5506853839999994</v>
      </c>
      <c r="CU115">
        <v>5.2944269469999998</v>
      </c>
      <c r="CV115">
        <v>9.1296132419999996</v>
      </c>
      <c r="CW115">
        <v>8.8470036000000007</v>
      </c>
      <c r="CX115">
        <v>5.2517316740000002</v>
      </c>
      <c r="CY115">
        <v>9.081683902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11.097883400000001</v>
      </c>
      <c r="EE115">
        <v>4.7258995710000002</v>
      </c>
      <c r="EF115">
        <v>7.7647256999999996</v>
      </c>
    </row>
    <row r="116" spans="1:136" x14ac:dyDescent="0.45">
      <c r="A116" t="s">
        <v>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10.10853968</v>
      </c>
      <c r="CU116">
        <v>5.4974079920000003</v>
      </c>
      <c r="CV116">
        <v>9.0846298549999993</v>
      </c>
      <c r="CW116">
        <v>9.8700379030000001</v>
      </c>
      <c r="CX116">
        <v>5.5121363209999998</v>
      </c>
      <c r="CY116">
        <v>9.1322466450000004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11.066173340000001</v>
      </c>
      <c r="EE116">
        <v>4.9111033099999997</v>
      </c>
      <c r="EF116">
        <v>8.5561981209999995</v>
      </c>
    </row>
    <row r="117" spans="1:136" x14ac:dyDescent="0.45">
      <c r="A117" t="s">
        <v>94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7.51666597</v>
      </c>
      <c r="CU117">
        <v>4.8844471839999999</v>
      </c>
      <c r="CV117">
        <v>9.0848686779999994</v>
      </c>
      <c r="CW117">
        <v>7.9025746459999997</v>
      </c>
      <c r="CX117">
        <v>4.8500452259999998</v>
      </c>
      <c r="CY117">
        <v>9.1023847809999996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11.06720288</v>
      </c>
      <c r="EE117">
        <v>5.4388976490000003</v>
      </c>
      <c r="EF117">
        <v>7.1029460560000004</v>
      </c>
    </row>
    <row r="118" spans="1:136" x14ac:dyDescent="0.45">
      <c r="A118" t="s">
        <v>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8.7530392789999993</v>
      </c>
      <c r="CU118">
        <v>4.6528104099999998</v>
      </c>
      <c r="CV118">
        <v>9.1042183110000003</v>
      </c>
      <c r="CW118">
        <v>7.823306165</v>
      </c>
      <c r="CX118">
        <v>4.9734236589999998</v>
      </c>
      <c r="CY118">
        <v>9.1060739900000005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11.40078651</v>
      </c>
      <c r="EE118">
        <v>4.676182335</v>
      </c>
      <c r="EF118">
        <v>7.3475376969999999</v>
      </c>
    </row>
    <row r="119" spans="1:136" x14ac:dyDescent="0.45">
      <c r="A119" t="s">
        <v>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8.6565367640000002</v>
      </c>
      <c r="CU119">
        <v>4.8212980060000001</v>
      </c>
      <c r="CV119">
        <v>9.0976591980000006</v>
      </c>
      <c r="CW119">
        <v>8.0317228119999999</v>
      </c>
      <c r="CX119">
        <v>4.7310070560000002</v>
      </c>
      <c r="CY119">
        <v>9.1291566300000007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11.24875724</v>
      </c>
      <c r="EE119">
        <v>4.815935122</v>
      </c>
      <c r="EF119">
        <v>7.2564723469999999</v>
      </c>
    </row>
    <row r="120" spans="1:136" x14ac:dyDescent="0.45">
      <c r="A120" t="s">
        <v>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7.7929589569999997</v>
      </c>
      <c r="CU120">
        <v>4.8222603460000002</v>
      </c>
      <c r="CV120">
        <v>8.3208372229999998</v>
      </c>
      <c r="CW120">
        <v>8.6348216789999999</v>
      </c>
      <c r="CX120">
        <v>4.887502553</v>
      </c>
      <c r="CY120">
        <v>8.3451652359999997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12.432476339999999</v>
      </c>
      <c r="EE120">
        <v>4.1788865370000003</v>
      </c>
      <c r="EF120">
        <v>7.1667982730000004</v>
      </c>
    </row>
    <row r="121" spans="1:136" x14ac:dyDescent="0.45">
      <c r="A121" t="s">
        <v>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9.7607616569999998</v>
      </c>
      <c r="DA121">
        <v>4.7642459620000004</v>
      </c>
      <c r="DB121">
        <v>8.3005840580000001</v>
      </c>
      <c r="DC121">
        <v>9.0606051450000002</v>
      </c>
      <c r="DD121">
        <v>4.5185068299999998</v>
      </c>
      <c r="DE121">
        <v>8.1862383899999998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11.33767226</v>
      </c>
      <c r="EE121">
        <v>5.1961213050000001</v>
      </c>
      <c r="EF121">
        <v>8.4047715820000004</v>
      </c>
    </row>
    <row r="122" spans="1:136" x14ac:dyDescent="0.45">
      <c r="A122" t="s">
        <v>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9.0715183899999996</v>
      </c>
      <c r="DG122">
        <v>4.4486898249999998</v>
      </c>
      <c r="DH122">
        <v>8.1988529410000002</v>
      </c>
      <c r="DI122">
        <v>8.8863858199999992</v>
      </c>
      <c r="DJ122">
        <v>3.9719159839999998</v>
      </c>
      <c r="DK122">
        <v>8.3356151159999996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11.40932963</v>
      </c>
      <c r="EE122">
        <v>4.1390699040000003</v>
      </c>
      <c r="EF122">
        <v>7.5900182420000002</v>
      </c>
    </row>
    <row r="123" spans="1:136" x14ac:dyDescent="0.45">
      <c r="A123" t="s">
        <v>100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9.4338202990000006</v>
      </c>
      <c r="CC123">
        <v>3.0387295860000001</v>
      </c>
      <c r="CD123">
        <v>8.0586048740000003</v>
      </c>
      <c r="CE123">
        <v>6.7829704629999998</v>
      </c>
      <c r="CF123">
        <v>5.0900669719999998</v>
      </c>
      <c r="CG123">
        <v>8.2374374649999993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10.25822833</v>
      </c>
      <c r="EE123">
        <v>2.4466371159999998</v>
      </c>
      <c r="EF123">
        <v>7.4932051990000001</v>
      </c>
    </row>
    <row r="124" spans="1:136" x14ac:dyDescent="0.45">
      <c r="A124" t="s">
        <v>101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9.7150799780000003</v>
      </c>
      <c r="DM124">
        <v>2.7687328409999998</v>
      </c>
      <c r="DN124">
        <v>9.5713571139999996</v>
      </c>
      <c r="DO124">
        <v>8.5043230689999998</v>
      </c>
      <c r="DP124">
        <v>4.9672863039999999</v>
      </c>
      <c r="DQ124">
        <v>9.192529961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11.82276924</v>
      </c>
      <c r="EE124">
        <v>3.0360035860000001</v>
      </c>
      <c r="EF124">
        <v>9.480086708</v>
      </c>
    </row>
    <row r="125" spans="1:136" x14ac:dyDescent="0.45">
      <c r="A125" t="s">
        <v>102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7.7374426270000001</v>
      </c>
      <c r="DS125">
        <v>4.7803462129999996</v>
      </c>
      <c r="DT125">
        <v>8.2082140199999998</v>
      </c>
      <c r="DU125">
        <v>8.3088974679999996</v>
      </c>
      <c r="DV125">
        <v>4.2029186200000002</v>
      </c>
      <c r="DW125">
        <v>8.5836639350000006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9.8222593669999991</v>
      </c>
      <c r="EE125">
        <v>4.9071821780000002</v>
      </c>
      <c r="EF125">
        <v>8.9243373800000008</v>
      </c>
    </row>
    <row r="126" spans="1:136" x14ac:dyDescent="0.45">
      <c r="A126" t="s">
        <v>103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8.5188057280000002</v>
      </c>
      <c r="DS126">
        <v>4.5880813739999997</v>
      </c>
      <c r="DT126">
        <v>8.4287099800000007</v>
      </c>
      <c r="DU126">
        <v>8.845702051</v>
      </c>
      <c r="DV126">
        <v>4.9282644209999997</v>
      </c>
      <c r="DW126">
        <v>9.6239609070000007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11.373493030000001</v>
      </c>
      <c r="EE126">
        <v>4.4801923449999999</v>
      </c>
      <c r="EF126">
        <v>7.4994484950000002</v>
      </c>
    </row>
    <row r="127" spans="1:136" x14ac:dyDescent="0.45">
      <c r="A127" t="s">
        <v>104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8.2371588169999992</v>
      </c>
      <c r="DS127">
        <v>4.9052496469999998</v>
      </c>
      <c r="DT127">
        <v>9.229012504</v>
      </c>
      <c r="DU127">
        <v>7.7019569819999996</v>
      </c>
      <c r="DV127">
        <v>5.1642658199999998</v>
      </c>
      <c r="DW127">
        <v>9.3362146129999992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9.9827814010000004</v>
      </c>
      <c r="EE127">
        <v>4.8583196219999998</v>
      </c>
      <c r="EF127">
        <v>8.3907663459999995</v>
      </c>
    </row>
    <row r="128" spans="1:136" x14ac:dyDescent="0.45">
      <c r="A128" t="s">
        <v>105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6.8714248480000002</v>
      </c>
      <c r="DS128">
        <v>6.0223638920000004</v>
      </c>
      <c r="DT128">
        <v>8.4889691359999997</v>
      </c>
      <c r="DU128">
        <v>9.2716370430000001</v>
      </c>
      <c r="DV128">
        <v>4.4125083390000004</v>
      </c>
      <c r="DW128">
        <v>7.2731068719999996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9.5242654449999993</v>
      </c>
      <c r="EE128">
        <v>3.5628241620000001</v>
      </c>
      <c r="EF128">
        <v>7.9359126980000001</v>
      </c>
    </row>
    <row r="129" spans="1:136" x14ac:dyDescent="0.45">
      <c r="A129" t="s">
        <v>106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10.638020259999999</v>
      </c>
      <c r="DS129">
        <v>4.6036468529999999</v>
      </c>
      <c r="DT129">
        <v>6.8068836570000002</v>
      </c>
      <c r="DU129">
        <v>6.9991576259999997</v>
      </c>
      <c r="DV129">
        <v>4.816688547</v>
      </c>
      <c r="DW129">
        <v>11.51434504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12.25445996</v>
      </c>
      <c r="EE129">
        <v>4.5801086959999999</v>
      </c>
      <c r="EF129">
        <v>7.146219243</v>
      </c>
    </row>
    <row r="130" spans="1:136" x14ac:dyDescent="0.45">
      <c r="A130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8.7108155489999994</v>
      </c>
      <c r="DY130">
        <v>4.1603050159999997</v>
      </c>
      <c r="DZ130">
        <v>7.2467227159999998</v>
      </c>
      <c r="EA130">
        <v>9.1933547260000008</v>
      </c>
      <c r="EB130">
        <v>4.1970009959999999</v>
      </c>
      <c r="EC130">
        <v>7.2225226579999999</v>
      </c>
      <c r="ED130">
        <v>7.6747845149999998</v>
      </c>
      <c r="EE130">
        <v>3.4212400160000001</v>
      </c>
      <c r="EF130">
        <v>7.6485996390000004</v>
      </c>
    </row>
    <row r="131" spans="1:136" x14ac:dyDescent="0.45">
      <c r="A131" t="s">
        <v>142</v>
      </c>
      <c r="B131">
        <v>7.6689879019999996</v>
      </c>
      <c r="C131">
        <v>4.6073237540000003</v>
      </c>
      <c r="D131">
        <v>7.2411556480000003</v>
      </c>
      <c r="E131">
        <v>9.0013603549999992</v>
      </c>
      <c r="F131">
        <v>4.2617531919999996</v>
      </c>
      <c r="G131">
        <v>7.2516720320000001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8.7644139849999991</v>
      </c>
      <c r="EE131">
        <v>4.2430671049999997</v>
      </c>
      <c r="EF131">
        <v>7.891227743</v>
      </c>
    </row>
    <row r="132" spans="1:136" x14ac:dyDescent="0.45">
      <c r="A132" t="s">
        <v>107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9.1048269879999992</v>
      </c>
      <c r="AY132">
        <v>4.5382858590000001</v>
      </c>
      <c r="AZ132">
        <v>8.775692458</v>
      </c>
      <c r="BA132">
        <v>7.9499539060000002</v>
      </c>
      <c r="BB132">
        <v>4.9768506600000002</v>
      </c>
      <c r="BC132">
        <v>8.5404860940000003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11.945681820000001</v>
      </c>
      <c r="EE132">
        <v>4.4591111740000002</v>
      </c>
      <c r="EF132">
        <v>7.0275222240000002</v>
      </c>
    </row>
    <row r="133" spans="1:136" x14ac:dyDescent="0.45">
      <c r="A133" t="s">
        <v>108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8.4543245010000003</v>
      </c>
      <c r="AY133">
        <v>5.8438451709999999</v>
      </c>
      <c r="AZ133">
        <v>7.943100233</v>
      </c>
      <c r="BA133">
        <v>8.6923716750000004</v>
      </c>
      <c r="BB133">
        <v>5.4693785860000004</v>
      </c>
      <c r="BC133">
        <v>8.6308013110000008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9.6849137479999996</v>
      </c>
      <c r="EE133">
        <v>5.395055084</v>
      </c>
      <c r="EF133">
        <v>7.9408092689999998</v>
      </c>
    </row>
    <row r="134" spans="1:136" x14ac:dyDescent="0.45">
      <c r="A134" t="s">
        <v>109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7.9095560650000003</v>
      </c>
      <c r="AY134">
        <v>5.8480587149999996</v>
      </c>
      <c r="AZ134">
        <v>7.7919097580000001</v>
      </c>
      <c r="BA134">
        <v>7.8882449169999997</v>
      </c>
      <c r="BB134">
        <v>5.0620237179999998</v>
      </c>
      <c r="BC134">
        <v>8.5686044199999998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9.6815223150000005</v>
      </c>
      <c r="EE134">
        <v>5.2664667469999999</v>
      </c>
      <c r="EF134">
        <v>7.7977200560000002</v>
      </c>
    </row>
    <row r="135" spans="1:136" x14ac:dyDescent="0.45">
      <c r="A135" t="s">
        <v>110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8.5002622460000001</v>
      </c>
      <c r="AY135">
        <v>4.8752021440000002</v>
      </c>
      <c r="AZ135">
        <v>8.7041215580000006</v>
      </c>
      <c r="BA135">
        <v>7.7171356759999998</v>
      </c>
      <c r="BB135">
        <v>5.1348457999999999</v>
      </c>
      <c r="BC135">
        <v>8.7215164269999992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12.02282653</v>
      </c>
      <c r="EE135">
        <v>4.5267823199999997</v>
      </c>
      <c r="EF135">
        <v>7.3981672500000002</v>
      </c>
    </row>
    <row r="136" spans="1:136" x14ac:dyDescent="0.45">
      <c r="A136" t="s">
        <v>111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7.3590002700000001</v>
      </c>
      <c r="BK136">
        <v>5.3057760500000004</v>
      </c>
      <c r="BL136">
        <v>9.8824418789999999</v>
      </c>
      <c r="BM136">
        <v>9.0480119880000007</v>
      </c>
      <c r="BN136">
        <v>4.3299191840000004</v>
      </c>
      <c r="BO136">
        <v>9.8015399120000009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13.70625179</v>
      </c>
      <c r="EE136">
        <v>5.3334764149999998</v>
      </c>
      <c r="EF136">
        <v>9.1043036439999998</v>
      </c>
    </row>
    <row r="137" spans="1:136" x14ac:dyDescent="0.45">
      <c r="A137" t="s">
        <v>112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8.3533666889999996</v>
      </c>
      <c r="BK137">
        <v>4.7184935340000003</v>
      </c>
      <c r="BL137">
        <v>9.7895997749999992</v>
      </c>
      <c r="BM137">
        <v>8.1781018490000008</v>
      </c>
      <c r="BN137">
        <v>4.5995274669999997</v>
      </c>
      <c r="BO137">
        <v>9.7738733209999999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13.748822820000001</v>
      </c>
      <c r="EE137">
        <v>5.1078355809999998</v>
      </c>
      <c r="EF137">
        <v>8.4607352129999995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xTB vs DFT Sterimol diazo L</vt:lpstr>
      <vt:lpstr>xTB vs DFT Sterimol diazo B1</vt:lpstr>
      <vt:lpstr>xTB vs DFT Sterimol diazo B5</vt:lpstr>
      <vt:lpstr>xTB-sterimol</vt:lpstr>
      <vt:lpstr>DFT-sterimol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2026-06-08T12:04:32Z</dcterms:modified>
</cp:coreProperties>
</file>