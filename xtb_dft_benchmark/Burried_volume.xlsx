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rushityagi_iisc_ac_in/Documents/Desktop/PhD_2025/SMILES_project/P1_updated_work_in_this/SMILES_project/xTB_22may2026/Descriptors/"/>
    </mc:Choice>
  </mc:AlternateContent>
  <xr:revisionPtr revIDLastSave="1911" documentId="13_ncr:1_{C2F42A1A-F3AD-459C-B9F6-1A17F21557F3}" xr6:coauthVersionLast="47" xr6:coauthVersionMax="47" xr10:uidLastSave="{54008FE9-A1E8-4700-8F4A-1D3327101C76}"/>
  <bookViews>
    <workbookView xWindow="-98" yWindow="-98" windowWidth="19396" windowHeight="11596" xr2:uid="{00000000-000D-0000-FFFF-FFFF00000000}"/>
  </bookViews>
  <sheets>
    <sheet name="xTB vs DFT Buried Volume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6" l="1"/>
  <c r="H2" i="26" s="1"/>
  <c r="C140" i="26"/>
  <c r="C139" i="26"/>
  <c r="B140" i="26"/>
  <c r="B139" i="26"/>
  <c r="D138" i="26"/>
  <c r="E15" i="26"/>
  <c r="F15" i="26" s="1"/>
  <c r="E16" i="26"/>
  <c r="F16" i="26" s="1"/>
  <c r="E17" i="26"/>
  <c r="F17" i="26" s="1"/>
  <c r="E18" i="26"/>
  <c r="F18" i="26" s="1"/>
  <c r="E19" i="26"/>
  <c r="F19" i="26" s="1"/>
  <c r="E20" i="26"/>
  <c r="F20" i="26" s="1"/>
  <c r="E22" i="26"/>
  <c r="F22" i="26" s="1"/>
  <c r="E23" i="26"/>
  <c r="F23" i="26" s="1"/>
  <c r="E24" i="26"/>
  <c r="F24" i="26" s="1"/>
  <c r="E25" i="26"/>
  <c r="F25" i="26" s="1"/>
  <c r="E26" i="26"/>
  <c r="F26" i="26" s="1"/>
  <c r="E27" i="26"/>
  <c r="F27" i="26" s="1"/>
  <c r="E28" i="26"/>
  <c r="F28" i="26" s="1"/>
  <c r="E29" i="26"/>
  <c r="F29" i="26" s="1"/>
  <c r="E30" i="26"/>
  <c r="F30" i="26" s="1"/>
  <c r="D11" i="26"/>
  <c r="E11" i="26" s="1"/>
  <c r="F11" i="26" s="1"/>
  <c r="D12" i="26"/>
  <c r="E12" i="26" s="1"/>
  <c r="F12" i="26" s="1"/>
  <c r="D13" i="26"/>
  <c r="E13" i="26" s="1"/>
  <c r="F13" i="26" s="1"/>
  <c r="D14" i="26"/>
  <c r="E14" i="26" s="1"/>
  <c r="F14" i="26" s="1"/>
  <c r="D15" i="26"/>
  <c r="D16" i="26"/>
  <c r="D17" i="26"/>
  <c r="D18" i="26"/>
  <c r="D19" i="26"/>
  <c r="D20" i="26"/>
  <c r="D21" i="26"/>
  <c r="E21" i="26" s="1"/>
  <c r="F21" i="26" s="1"/>
  <c r="D22" i="26"/>
  <c r="D23" i="26"/>
  <c r="D24" i="26"/>
  <c r="D25" i="26"/>
  <c r="D26" i="26"/>
  <c r="D27" i="26"/>
  <c r="D28" i="26"/>
  <c r="D29" i="26"/>
  <c r="D30" i="26"/>
  <c r="D31" i="26"/>
  <c r="E31" i="26" s="1"/>
  <c r="F31" i="26" s="1"/>
  <c r="D32" i="26"/>
  <c r="E32" i="26" s="1"/>
  <c r="F32" i="26" s="1"/>
  <c r="D33" i="26"/>
  <c r="E33" i="26" s="1"/>
  <c r="F33" i="26" s="1"/>
  <c r="D34" i="26"/>
  <c r="E34" i="26" s="1"/>
  <c r="F34" i="26" s="1"/>
  <c r="D35" i="26"/>
  <c r="E35" i="26" s="1"/>
  <c r="F35" i="26" s="1"/>
  <c r="D36" i="26"/>
  <c r="E36" i="26" s="1"/>
  <c r="F36" i="26" s="1"/>
  <c r="D37" i="26"/>
  <c r="E37" i="26" s="1"/>
  <c r="F37" i="26" s="1"/>
  <c r="D38" i="26"/>
  <c r="E38" i="26" s="1"/>
  <c r="F38" i="26" s="1"/>
  <c r="D39" i="26"/>
  <c r="E39" i="26" s="1"/>
  <c r="F39" i="26" s="1"/>
  <c r="D40" i="26"/>
  <c r="E40" i="26" s="1"/>
  <c r="F40" i="26" s="1"/>
  <c r="D41" i="26"/>
  <c r="E41" i="26" s="1"/>
  <c r="F41" i="26" s="1"/>
  <c r="D42" i="26"/>
  <c r="E42" i="26" s="1"/>
  <c r="F42" i="26" s="1"/>
  <c r="D43" i="26"/>
  <c r="E43" i="26" s="1"/>
  <c r="F43" i="26" s="1"/>
  <c r="D44" i="26"/>
  <c r="E44" i="26" s="1"/>
  <c r="F44" i="26" s="1"/>
  <c r="D45" i="26"/>
  <c r="E45" i="26" s="1"/>
  <c r="F45" i="26" s="1"/>
  <c r="D46" i="26"/>
  <c r="E46" i="26" s="1"/>
  <c r="F46" i="26" s="1"/>
  <c r="D47" i="26"/>
  <c r="E47" i="26" s="1"/>
  <c r="F47" i="26" s="1"/>
  <c r="D48" i="26"/>
  <c r="E48" i="26" s="1"/>
  <c r="F48" i="26" s="1"/>
  <c r="D49" i="26"/>
  <c r="E49" i="26" s="1"/>
  <c r="F49" i="26" s="1"/>
  <c r="D50" i="26"/>
  <c r="E50" i="26" s="1"/>
  <c r="F50" i="26" s="1"/>
  <c r="D51" i="26"/>
  <c r="E51" i="26" s="1"/>
  <c r="F51" i="26" s="1"/>
  <c r="D52" i="26"/>
  <c r="E52" i="26" s="1"/>
  <c r="F52" i="26" s="1"/>
  <c r="D53" i="26"/>
  <c r="E53" i="26" s="1"/>
  <c r="F53" i="26" s="1"/>
  <c r="D54" i="26"/>
  <c r="E54" i="26" s="1"/>
  <c r="F54" i="26" s="1"/>
  <c r="D55" i="26"/>
  <c r="E55" i="26" s="1"/>
  <c r="F55" i="26" s="1"/>
  <c r="D56" i="26"/>
  <c r="E56" i="26" s="1"/>
  <c r="F56" i="26" s="1"/>
  <c r="D57" i="26"/>
  <c r="E57" i="26" s="1"/>
  <c r="F57" i="26" s="1"/>
  <c r="D58" i="26"/>
  <c r="E58" i="26" s="1"/>
  <c r="F58" i="26" s="1"/>
  <c r="D59" i="26"/>
  <c r="E59" i="26" s="1"/>
  <c r="F59" i="26" s="1"/>
  <c r="D60" i="26"/>
  <c r="E60" i="26" s="1"/>
  <c r="F60" i="26" s="1"/>
  <c r="D61" i="26"/>
  <c r="E61" i="26" s="1"/>
  <c r="F61" i="26" s="1"/>
  <c r="D62" i="26"/>
  <c r="E62" i="26" s="1"/>
  <c r="F62" i="26" s="1"/>
  <c r="D63" i="26"/>
  <c r="E63" i="26" s="1"/>
  <c r="F63" i="26" s="1"/>
  <c r="D64" i="26"/>
  <c r="E64" i="26" s="1"/>
  <c r="F64" i="26" s="1"/>
  <c r="D65" i="26"/>
  <c r="E65" i="26" s="1"/>
  <c r="F65" i="26" s="1"/>
  <c r="D66" i="26"/>
  <c r="E66" i="26" s="1"/>
  <c r="F66" i="26" s="1"/>
  <c r="D67" i="26"/>
  <c r="E67" i="26" s="1"/>
  <c r="F67" i="26" s="1"/>
  <c r="D68" i="26"/>
  <c r="E68" i="26" s="1"/>
  <c r="F68" i="26" s="1"/>
  <c r="D69" i="26"/>
  <c r="E69" i="26" s="1"/>
  <c r="F69" i="26" s="1"/>
  <c r="D70" i="26"/>
  <c r="E70" i="26" s="1"/>
  <c r="F70" i="26" s="1"/>
  <c r="D71" i="26"/>
  <c r="E71" i="26" s="1"/>
  <c r="F71" i="26" s="1"/>
  <c r="D72" i="26"/>
  <c r="E72" i="26" s="1"/>
  <c r="F72" i="26" s="1"/>
  <c r="D73" i="26"/>
  <c r="E73" i="26" s="1"/>
  <c r="F73" i="26" s="1"/>
  <c r="D74" i="26"/>
  <c r="E74" i="26" s="1"/>
  <c r="F74" i="26" s="1"/>
  <c r="D75" i="26"/>
  <c r="E75" i="26" s="1"/>
  <c r="F75" i="26" s="1"/>
  <c r="D76" i="26"/>
  <c r="E76" i="26" s="1"/>
  <c r="F76" i="26" s="1"/>
  <c r="D77" i="26"/>
  <c r="E77" i="26" s="1"/>
  <c r="F77" i="26" s="1"/>
  <c r="D78" i="26"/>
  <c r="E78" i="26" s="1"/>
  <c r="F78" i="26" s="1"/>
  <c r="D79" i="26"/>
  <c r="E79" i="26" s="1"/>
  <c r="F79" i="26" s="1"/>
  <c r="D80" i="26"/>
  <c r="E80" i="26" s="1"/>
  <c r="F80" i="26" s="1"/>
  <c r="D81" i="26"/>
  <c r="E81" i="26" s="1"/>
  <c r="F81" i="26" s="1"/>
  <c r="D82" i="26"/>
  <c r="E82" i="26" s="1"/>
  <c r="F82" i="26" s="1"/>
  <c r="D83" i="26"/>
  <c r="E83" i="26" s="1"/>
  <c r="F83" i="26" s="1"/>
  <c r="D84" i="26"/>
  <c r="E84" i="26" s="1"/>
  <c r="F84" i="26" s="1"/>
  <c r="D85" i="26"/>
  <c r="E85" i="26" s="1"/>
  <c r="F85" i="26" s="1"/>
  <c r="D86" i="26"/>
  <c r="E86" i="26" s="1"/>
  <c r="F86" i="26" s="1"/>
  <c r="D87" i="26"/>
  <c r="E87" i="26" s="1"/>
  <c r="F87" i="26" s="1"/>
  <c r="D88" i="26"/>
  <c r="E88" i="26" s="1"/>
  <c r="F88" i="26" s="1"/>
  <c r="D89" i="26"/>
  <c r="E89" i="26" s="1"/>
  <c r="F89" i="26" s="1"/>
  <c r="D90" i="26"/>
  <c r="E90" i="26" s="1"/>
  <c r="F90" i="26" s="1"/>
  <c r="D91" i="26"/>
  <c r="E91" i="26" s="1"/>
  <c r="F91" i="26" s="1"/>
  <c r="D92" i="26"/>
  <c r="E92" i="26" s="1"/>
  <c r="F92" i="26" s="1"/>
  <c r="D93" i="26"/>
  <c r="E93" i="26" s="1"/>
  <c r="F93" i="26" s="1"/>
  <c r="D94" i="26"/>
  <c r="E94" i="26" s="1"/>
  <c r="F94" i="26" s="1"/>
  <c r="D95" i="26"/>
  <c r="E95" i="26" s="1"/>
  <c r="F95" i="26" s="1"/>
  <c r="D96" i="26"/>
  <c r="E96" i="26" s="1"/>
  <c r="F96" i="26" s="1"/>
  <c r="D97" i="26"/>
  <c r="E97" i="26" s="1"/>
  <c r="F97" i="26" s="1"/>
  <c r="D98" i="26"/>
  <c r="E98" i="26" s="1"/>
  <c r="F98" i="26" s="1"/>
  <c r="D99" i="26"/>
  <c r="E99" i="26" s="1"/>
  <c r="F99" i="26" s="1"/>
  <c r="D100" i="26"/>
  <c r="E100" i="26" s="1"/>
  <c r="F100" i="26" s="1"/>
  <c r="D101" i="26"/>
  <c r="E101" i="26" s="1"/>
  <c r="F101" i="26" s="1"/>
  <c r="D102" i="26"/>
  <c r="E102" i="26" s="1"/>
  <c r="F102" i="26" s="1"/>
  <c r="D103" i="26"/>
  <c r="E103" i="26" s="1"/>
  <c r="F103" i="26" s="1"/>
  <c r="D104" i="26"/>
  <c r="E104" i="26" s="1"/>
  <c r="F104" i="26" s="1"/>
  <c r="D105" i="26"/>
  <c r="E105" i="26" s="1"/>
  <c r="F105" i="26" s="1"/>
  <c r="D106" i="26"/>
  <c r="E106" i="26" s="1"/>
  <c r="F106" i="26" s="1"/>
  <c r="D107" i="26"/>
  <c r="E107" i="26" s="1"/>
  <c r="F107" i="26" s="1"/>
  <c r="D108" i="26"/>
  <c r="E108" i="26" s="1"/>
  <c r="F108" i="26" s="1"/>
  <c r="D109" i="26"/>
  <c r="E109" i="26" s="1"/>
  <c r="F109" i="26" s="1"/>
  <c r="D110" i="26"/>
  <c r="E110" i="26" s="1"/>
  <c r="F110" i="26" s="1"/>
  <c r="D111" i="26"/>
  <c r="E111" i="26" s="1"/>
  <c r="F111" i="26" s="1"/>
  <c r="D112" i="26"/>
  <c r="E112" i="26" s="1"/>
  <c r="F112" i="26" s="1"/>
  <c r="D113" i="26"/>
  <c r="E113" i="26" s="1"/>
  <c r="F113" i="26" s="1"/>
  <c r="D114" i="26"/>
  <c r="E114" i="26" s="1"/>
  <c r="F114" i="26" s="1"/>
  <c r="D115" i="26"/>
  <c r="E115" i="26" s="1"/>
  <c r="F115" i="26" s="1"/>
  <c r="D116" i="26"/>
  <c r="E116" i="26" s="1"/>
  <c r="F116" i="26" s="1"/>
  <c r="D117" i="26"/>
  <c r="E117" i="26" s="1"/>
  <c r="F117" i="26" s="1"/>
  <c r="D118" i="26"/>
  <c r="E118" i="26" s="1"/>
  <c r="F118" i="26" s="1"/>
  <c r="D119" i="26"/>
  <c r="E119" i="26" s="1"/>
  <c r="F119" i="26" s="1"/>
  <c r="D120" i="26"/>
  <c r="E120" i="26" s="1"/>
  <c r="F120" i="26" s="1"/>
  <c r="D121" i="26"/>
  <c r="E121" i="26" s="1"/>
  <c r="F121" i="26" s="1"/>
  <c r="D122" i="26"/>
  <c r="E122" i="26" s="1"/>
  <c r="F122" i="26" s="1"/>
  <c r="D123" i="26"/>
  <c r="E123" i="26" s="1"/>
  <c r="F123" i="26" s="1"/>
  <c r="D124" i="26"/>
  <c r="E124" i="26" s="1"/>
  <c r="F124" i="26" s="1"/>
  <c r="D125" i="26"/>
  <c r="E125" i="26" s="1"/>
  <c r="F125" i="26" s="1"/>
  <c r="D126" i="26"/>
  <c r="E126" i="26" s="1"/>
  <c r="F126" i="26" s="1"/>
  <c r="D127" i="26"/>
  <c r="E127" i="26" s="1"/>
  <c r="F127" i="26" s="1"/>
  <c r="D128" i="26"/>
  <c r="E128" i="26" s="1"/>
  <c r="F128" i="26" s="1"/>
  <c r="D129" i="26"/>
  <c r="E129" i="26" s="1"/>
  <c r="F129" i="26" s="1"/>
  <c r="D130" i="26"/>
  <c r="E130" i="26" s="1"/>
  <c r="F130" i="26" s="1"/>
  <c r="D131" i="26"/>
  <c r="E131" i="26" s="1"/>
  <c r="F131" i="26" s="1"/>
  <c r="D132" i="26"/>
  <c r="E132" i="26" s="1"/>
  <c r="F132" i="26" s="1"/>
  <c r="D133" i="26"/>
  <c r="E133" i="26" s="1"/>
  <c r="F133" i="26" s="1"/>
  <c r="D134" i="26"/>
  <c r="E134" i="26" s="1"/>
  <c r="F134" i="26" s="1"/>
  <c r="D135" i="26"/>
  <c r="E135" i="26" s="1"/>
  <c r="F135" i="26" s="1"/>
  <c r="D136" i="26"/>
  <c r="E136" i="26" s="1"/>
  <c r="F136" i="26" s="1"/>
  <c r="D137" i="26"/>
  <c r="E137" i="26" s="1"/>
  <c r="F137" i="26" s="1"/>
  <c r="D3" i="26"/>
  <c r="E3" i="26" s="1"/>
  <c r="F3" i="26" s="1"/>
  <c r="D4" i="26"/>
  <c r="E4" i="26" s="1"/>
  <c r="F4" i="26" s="1"/>
  <c r="D5" i="26"/>
  <c r="E5" i="26" s="1"/>
  <c r="F5" i="26" s="1"/>
  <c r="D6" i="26"/>
  <c r="E6" i="26" s="1"/>
  <c r="F6" i="26" s="1"/>
  <c r="D7" i="26"/>
  <c r="E7" i="26" s="1"/>
  <c r="F7" i="26" s="1"/>
  <c r="D8" i="26"/>
  <c r="E8" i="26" s="1"/>
  <c r="F8" i="26" s="1"/>
  <c r="D9" i="26"/>
  <c r="E9" i="26" s="1"/>
  <c r="F9" i="26" s="1"/>
  <c r="D10" i="26"/>
  <c r="D2" i="26"/>
  <c r="E10" i="26"/>
  <c r="F10" i="26" s="1"/>
  <c r="E2" i="26" l="1"/>
  <c r="E138" i="26" s="1"/>
  <c r="F2" i="26" l="1"/>
  <c r="F138" i="26" s="1"/>
</calcChain>
</file>

<file path=xl/sharedStrings.xml><?xml version="1.0" encoding="utf-8"?>
<sst xmlns="http://schemas.openxmlformats.org/spreadsheetml/2006/main" count="145" uniqueCount="145">
  <si>
    <t>Bias</t>
  </si>
  <si>
    <t>MAE</t>
  </si>
  <si>
    <t>RMSE</t>
  </si>
  <si>
    <t>R</t>
  </si>
  <si>
    <t>R2</t>
  </si>
  <si>
    <t>Perfect line</t>
  </si>
  <si>
    <t>Name</t>
  </si>
  <si>
    <t>M4_L8_D1</t>
  </si>
  <si>
    <t>M4_L9_D1</t>
  </si>
  <si>
    <t>M4_L10_D1</t>
  </si>
  <si>
    <t>M4_L11_D1</t>
  </si>
  <si>
    <t>M4_L12_D1</t>
  </si>
  <si>
    <t>M4_L13_D1</t>
  </si>
  <si>
    <t>M4_L14_D1</t>
  </si>
  <si>
    <t>M4_L16_D1</t>
  </si>
  <si>
    <t>M4_L23_D1</t>
  </si>
  <si>
    <t>M4_L24_D1</t>
  </si>
  <si>
    <t>M4_L25_D1</t>
  </si>
  <si>
    <t>M4_L26_D1</t>
  </si>
  <si>
    <t>M4_L27_D1</t>
  </si>
  <si>
    <t>M4_L28_D1</t>
  </si>
  <si>
    <t>M4_L29_D1</t>
  </si>
  <si>
    <t>M4_L30_D1</t>
  </si>
  <si>
    <t>M4_L31_D1</t>
  </si>
  <si>
    <t>M4_L32_D1</t>
  </si>
  <si>
    <t>M4_L35_D1</t>
  </si>
  <si>
    <t>M4_L36_D1</t>
  </si>
  <si>
    <t>M4_L37_D1</t>
  </si>
  <si>
    <t>M4_L38_D1</t>
  </si>
  <si>
    <t>M4_L40_D1</t>
  </si>
  <si>
    <t>M4_L41_D1</t>
  </si>
  <si>
    <t>M4_L42_D1</t>
  </si>
  <si>
    <t>M4_L46_D1</t>
  </si>
  <si>
    <t>M4_L47_D1</t>
  </si>
  <si>
    <t>M4_L48_D1</t>
  </si>
  <si>
    <t>M4_L49_D1</t>
  </si>
  <si>
    <t>M4_L50_D1</t>
  </si>
  <si>
    <t>M4_L51_D1</t>
  </si>
  <si>
    <t>M4_L52_D1</t>
  </si>
  <si>
    <t>M4_L53_D1</t>
  </si>
  <si>
    <t>M4_L54_D1</t>
  </si>
  <si>
    <t>M4_L55_D1</t>
  </si>
  <si>
    <t>M4_L56_D1</t>
  </si>
  <si>
    <t>M4_L57_D1</t>
  </si>
  <si>
    <t>M4_L58_D1</t>
  </si>
  <si>
    <t>M4_L59_D1</t>
  </si>
  <si>
    <t>M4_L60_D1</t>
  </si>
  <si>
    <t>M4_L61_D1</t>
  </si>
  <si>
    <t>M4_L62_D1</t>
  </si>
  <si>
    <t>M4_L63_D1</t>
  </si>
  <si>
    <t>M4_L64_D1</t>
  </si>
  <si>
    <t>M4_L65_D1</t>
  </si>
  <si>
    <t>M4_L66_D1</t>
  </si>
  <si>
    <t>M4_L67_D1</t>
  </si>
  <si>
    <t>M4_L70_D1</t>
  </si>
  <si>
    <t>M4_L71_D1</t>
  </si>
  <si>
    <t>M4_L72_D1</t>
  </si>
  <si>
    <t>M4_L73_D1</t>
  </si>
  <si>
    <t>M4_L74_D1</t>
  </si>
  <si>
    <t>M4_L78_D1</t>
  </si>
  <si>
    <t>M4_L79_D1</t>
  </si>
  <si>
    <t>M4_L80_D1</t>
  </si>
  <si>
    <t>M4_L81_D1</t>
  </si>
  <si>
    <t>M4_L82_D1</t>
  </si>
  <si>
    <t>M4_L83_D1</t>
  </si>
  <si>
    <t>M4_L84_D1</t>
  </si>
  <si>
    <t>M4_L85_D1</t>
  </si>
  <si>
    <t>M4_L86_D1</t>
  </si>
  <si>
    <t>M4_L92_D1</t>
  </si>
  <si>
    <t>M4_L93_D1</t>
  </si>
  <si>
    <t>M4_L94_D1</t>
  </si>
  <si>
    <t>M4_L95_D1</t>
  </si>
  <si>
    <t>M4_L96_D1</t>
  </si>
  <si>
    <t>M4_L97_D1</t>
  </si>
  <si>
    <t>M4_L98_D1</t>
  </si>
  <si>
    <t>M4_L99_D1</t>
  </si>
  <si>
    <t>M4_L100_D1</t>
  </si>
  <si>
    <t>M4_L101_D1</t>
  </si>
  <si>
    <t>M4_L102_D1</t>
  </si>
  <si>
    <t>M4_L103_D1</t>
  </si>
  <si>
    <t>M4_L104_D1</t>
  </si>
  <si>
    <t>M4_L106_D1</t>
  </si>
  <si>
    <t>M4_L108_D1</t>
  </si>
  <si>
    <t>M4_L109_D1</t>
  </si>
  <si>
    <t>M4_L110_D1</t>
  </si>
  <si>
    <t>M4_L113_D1</t>
  </si>
  <si>
    <t>M4_L114_D1</t>
  </si>
  <si>
    <t>M4_L115_D1</t>
  </si>
  <si>
    <t>M4_L116_D1</t>
  </si>
  <si>
    <t>M4_L117_D1</t>
  </si>
  <si>
    <t>M4_L118_D1</t>
  </si>
  <si>
    <t>M4_L119_D1</t>
  </si>
  <si>
    <t>M4_L120_D1</t>
  </si>
  <si>
    <t>M4_L121_D1</t>
  </si>
  <si>
    <t>M4_L122_D1</t>
  </si>
  <si>
    <t>M4_L123_D1</t>
  </si>
  <si>
    <t>M4_L124_D1</t>
  </si>
  <si>
    <t>M4_L125_D1</t>
  </si>
  <si>
    <t>M4_L126_D1</t>
  </si>
  <si>
    <t>M4_L127_D1</t>
  </si>
  <si>
    <t>M4_L128_D1</t>
  </si>
  <si>
    <t>M4_L129_D1</t>
  </si>
  <si>
    <t>M4_L130_D1</t>
  </si>
  <si>
    <t>M4_L131_D1</t>
  </si>
  <si>
    <t>M4_L132_D1</t>
  </si>
  <si>
    <t>M4_L133_D1</t>
  </si>
  <si>
    <t>M4_L134_D1</t>
  </si>
  <si>
    <t>M4_L137_D1</t>
  </si>
  <si>
    <t>M4_L138_D1</t>
  </si>
  <si>
    <t>M4_L139_D1</t>
  </si>
  <si>
    <t>M4_L140_D1</t>
  </si>
  <si>
    <t>M4_L141_D1</t>
  </si>
  <si>
    <t>M4_L142_D1</t>
  </si>
  <si>
    <t>M4_L1_D1</t>
  </si>
  <si>
    <t>M4_L2_D1</t>
  </si>
  <si>
    <t>M4_L3_D1</t>
  </si>
  <si>
    <t>M4_L4_D1</t>
  </si>
  <si>
    <t>M4_L5_D1</t>
  </si>
  <si>
    <t>M4_L7_D1</t>
  </si>
  <si>
    <t>M4_L15_D1</t>
  </si>
  <si>
    <t>M4_L17_D1</t>
  </si>
  <si>
    <t>M4_L18_D1</t>
  </si>
  <si>
    <t>M4_L19_D1</t>
  </si>
  <si>
    <t>M4_L20_D1</t>
  </si>
  <si>
    <t>M4_L21_D1</t>
  </si>
  <si>
    <t>M4_L22_D1</t>
  </si>
  <si>
    <t>M4_L39_D1</t>
  </si>
  <si>
    <t>M4_L43_D1</t>
  </si>
  <si>
    <t>M4_L44_D1</t>
  </si>
  <si>
    <t>M4_L68_D1</t>
  </si>
  <si>
    <t>M4_L69_D1</t>
  </si>
  <si>
    <t>M4_L75_D1</t>
  </si>
  <si>
    <t>M4_L76_D1</t>
  </si>
  <si>
    <t>M4_L77_D1</t>
  </si>
  <si>
    <t>M4_L87_D1</t>
  </si>
  <si>
    <t>M4_L88_D1</t>
  </si>
  <si>
    <t>M4_L89_D1</t>
  </si>
  <si>
    <t>M4_L90_D1</t>
  </si>
  <si>
    <t>M4_L91_D1</t>
  </si>
  <si>
    <t>M4_L111_D1</t>
  </si>
  <si>
    <t>M4_L112_D1</t>
  </si>
  <si>
    <t>M4_L135_D1</t>
  </si>
  <si>
    <t>M4_L136_D1</t>
  </si>
  <si>
    <t>xTB_Burried Volume</t>
  </si>
  <si>
    <t>DFT_Burried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</si>
</sst>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Buried Volume</a:t>
            </a:r>
          </a:p>
        </c:rich>
      </c:tx>
      <c:layout>
        <c:manualLayout>
          <c:xMode val="edge"/>
          <c:yMode val="edge"/>
          <c:x val="0.39530285656040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92301811788"/>
          <c:y val="0.1737499999999999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6789570501871067"/>
                  <c:y val="-9.504629629629629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 i="0" u="none" strike="noStrike" baseline="0">
                        <a:effectLst/>
                      </a:rPr>
                      <a:t> %V</a:t>
                    </a:r>
                    <a:r>
                      <a:rPr lang="en-US" sz="1000" b="1" i="0" u="none" strike="noStrike" baseline="-25000">
                        <a:effectLst/>
                      </a:rPr>
                      <a:t>bur,DFT</a:t>
                    </a:r>
                    <a:r>
                      <a:rPr lang="en-US" sz="1000" b="1" baseline="0"/>
                      <a:t> = 0.96 %V</a:t>
                    </a:r>
                    <a:r>
                      <a:rPr lang="en-US" sz="1000" b="1" baseline="-25000"/>
                      <a:t>bur,xTB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 + 0.02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0.90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0.95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0.02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0.03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136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Buried Volume'!$B$2:$B$137</c:f>
              <c:numCache>
                <c:formatCode>General</c:formatCode>
                <c:ptCount val="136"/>
                <c:pt idx="0">
                  <c:v>0.75684867700000003</c:v>
                </c:pt>
                <c:pt idx="1">
                  <c:v>0.78757454299999996</c:v>
                </c:pt>
                <c:pt idx="2">
                  <c:v>0.746220416</c:v>
                </c:pt>
                <c:pt idx="3">
                  <c:v>0.74761810500000003</c:v>
                </c:pt>
                <c:pt idx="4">
                  <c:v>0.78442974300000001</c:v>
                </c:pt>
                <c:pt idx="5">
                  <c:v>0.75592270800000005</c:v>
                </c:pt>
                <c:pt idx="6">
                  <c:v>0.83368081400000005</c:v>
                </c:pt>
                <c:pt idx="7">
                  <c:v>0.85411619500000002</c:v>
                </c:pt>
                <c:pt idx="8">
                  <c:v>0.89966338999999995</c:v>
                </c:pt>
                <c:pt idx="9">
                  <c:v>0.86327688199999997</c:v>
                </c:pt>
                <c:pt idx="10">
                  <c:v>0.83374487500000005</c:v>
                </c:pt>
                <c:pt idx="11">
                  <c:v>0.93171706099999996</c:v>
                </c:pt>
                <c:pt idx="12">
                  <c:v>0.86608390800000001</c:v>
                </c:pt>
                <c:pt idx="13">
                  <c:v>0.81629705600000002</c:v>
                </c:pt>
                <c:pt idx="14">
                  <c:v>0.76155423</c:v>
                </c:pt>
                <c:pt idx="15">
                  <c:v>0.81555744500000005</c:v>
                </c:pt>
                <c:pt idx="16">
                  <c:v>0.76832719900000002</c:v>
                </c:pt>
                <c:pt idx="17">
                  <c:v>0.91355874999999997</c:v>
                </c:pt>
                <c:pt idx="18">
                  <c:v>0.80505148199999998</c:v>
                </c:pt>
                <c:pt idx="19">
                  <c:v>0.74827036000000002</c:v>
                </c:pt>
                <c:pt idx="20">
                  <c:v>0.83430395099999999</c:v>
                </c:pt>
                <c:pt idx="21">
                  <c:v>0.91113608800000001</c:v>
                </c:pt>
                <c:pt idx="22">
                  <c:v>0.64562756200000004</c:v>
                </c:pt>
                <c:pt idx="23">
                  <c:v>0.63755590799999995</c:v>
                </c:pt>
                <c:pt idx="24">
                  <c:v>0.65597046199999998</c:v>
                </c:pt>
                <c:pt idx="25">
                  <c:v>0.66615612199999996</c:v>
                </c:pt>
                <c:pt idx="26">
                  <c:v>0.68851914800000003</c:v>
                </c:pt>
                <c:pt idx="27">
                  <c:v>0.68386600799999997</c:v>
                </c:pt>
                <c:pt idx="28">
                  <c:v>0.71707859699999998</c:v>
                </c:pt>
                <c:pt idx="29">
                  <c:v>0.75224212599999996</c:v>
                </c:pt>
                <c:pt idx="30">
                  <c:v>0.72109695299999998</c:v>
                </c:pt>
                <c:pt idx="31">
                  <c:v>0.67959140900000004</c:v>
                </c:pt>
                <c:pt idx="32">
                  <c:v>0.75787364899999998</c:v>
                </c:pt>
                <c:pt idx="33">
                  <c:v>0.73371109800000001</c:v>
                </c:pt>
                <c:pt idx="34">
                  <c:v>0.72246552399999997</c:v>
                </c:pt>
                <c:pt idx="35">
                  <c:v>0.77480898200000003</c:v>
                </c:pt>
                <c:pt idx="36">
                  <c:v>0.700020965</c:v>
                </c:pt>
                <c:pt idx="37">
                  <c:v>0.81648341400000002</c:v>
                </c:pt>
                <c:pt idx="38">
                  <c:v>0.90763604200000003</c:v>
                </c:pt>
                <c:pt idx="39">
                  <c:v>0.66760622400000003</c:v>
                </c:pt>
                <c:pt idx="40">
                  <c:v>0.74570210599999998</c:v>
                </c:pt>
                <c:pt idx="41">
                  <c:v>0.86887346300000001</c:v>
                </c:pt>
                <c:pt idx="42">
                  <c:v>0.88669399900000001</c:v>
                </c:pt>
                <c:pt idx="43">
                  <c:v>0.90636064999999999</c:v>
                </c:pt>
                <c:pt idx="44">
                  <c:v>0.87295588000000002</c:v>
                </c:pt>
                <c:pt idx="45">
                  <c:v>0.72575591699999997</c:v>
                </c:pt>
                <c:pt idx="46">
                  <c:v>0.79704388699999995</c:v>
                </c:pt>
                <c:pt idx="47">
                  <c:v>0.74596999600000002</c:v>
                </c:pt>
                <c:pt idx="48">
                  <c:v>0.73245317700000001</c:v>
                </c:pt>
                <c:pt idx="49">
                  <c:v>0.74874207999999998</c:v>
                </c:pt>
                <c:pt idx="50">
                  <c:v>0.76992871799999996</c:v>
                </c:pt>
                <c:pt idx="51">
                  <c:v>0.74666301700000004</c:v>
                </c:pt>
                <c:pt idx="52">
                  <c:v>0.77278815700000003</c:v>
                </c:pt>
                <c:pt idx="53">
                  <c:v>0.78616520700000003</c:v>
                </c:pt>
                <c:pt idx="54">
                  <c:v>0.79324100799999997</c:v>
                </c:pt>
                <c:pt idx="55">
                  <c:v>0.62099911500000005</c:v>
                </c:pt>
                <c:pt idx="56">
                  <c:v>0.80190668099999995</c:v>
                </c:pt>
                <c:pt idx="57">
                  <c:v>0.64928484900000005</c:v>
                </c:pt>
                <c:pt idx="58">
                  <c:v>0.87278699199999998</c:v>
                </c:pt>
                <c:pt idx="59">
                  <c:v>0.903763278</c:v>
                </c:pt>
                <c:pt idx="60">
                  <c:v>0.82669819200000005</c:v>
                </c:pt>
                <c:pt idx="61">
                  <c:v>0.75810659700000005</c:v>
                </c:pt>
                <c:pt idx="62">
                  <c:v>0.76185123899999996</c:v>
                </c:pt>
                <c:pt idx="63">
                  <c:v>0.70848280799999996</c:v>
                </c:pt>
                <c:pt idx="64">
                  <c:v>0.775408824</c:v>
                </c:pt>
                <c:pt idx="65">
                  <c:v>0.88777720800000004</c:v>
                </c:pt>
                <c:pt idx="66">
                  <c:v>0.850621972</c:v>
                </c:pt>
                <c:pt idx="67">
                  <c:v>0.85243896799999996</c:v>
                </c:pt>
                <c:pt idx="68">
                  <c:v>0.86712635100000002</c:v>
                </c:pt>
                <c:pt idx="69">
                  <c:v>0.65060682999999997</c:v>
                </c:pt>
                <c:pt idx="70">
                  <c:v>0.786287505</c:v>
                </c:pt>
                <c:pt idx="71">
                  <c:v>0.72523178300000002</c:v>
                </c:pt>
                <c:pt idx="72">
                  <c:v>0.77829155800000005</c:v>
                </c:pt>
                <c:pt idx="73">
                  <c:v>0.81942438500000003</c:v>
                </c:pt>
                <c:pt idx="74">
                  <c:v>0.83909103600000001</c:v>
                </c:pt>
                <c:pt idx="75">
                  <c:v>0.86098234299999998</c:v>
                </c:pt>
                <c:pt idx="76">
                  <c:v>0.87024785699999996</c:v>
                </c:pt>
                <c:pt idx="77">
                  <c:v>0.82316902700000005</c:v>
                </c:pt>
                <c:pt idx="78">
                  <c:v>0.88788203499999996</c:v>
                </c:pt>
                <c:pt idx="79">
                  <c:v>0.91825265599999994</c:v>
                </c:pt>
                <c:pt idx="80">
                  <c:v>0.84908451399999996</c:v>
                </c:pt>
                <c:pt idx="81">
                  <c:v>0.76151928800000002</c:v>
                </c:pt>
                <c:pt idx="82">
                  <c:v>0.77855944799999999</c:v>
                </c:pt>
                <c:pt idx="83">
                  <c:v>0.802098863</c:v>
                </c:pt>
                <c:pt idx="84">
                  <c:v>0.81647758999999998</c:v>
                </c:pt>
                <c:pt idx="85">
                  <c:v>0.75137439399999995</c:v>
                </c:pt>
                <c:pt idx="86">
                  <c:v>0.82678554800000004</c:v>
                </c:pt>
                <c:pt idx="87">
                  <c:v>0.95056839400000004</c:v>
                </c:pt>
                <c:pt idx="88">
                  <c:v>0.64634387800000004</c:v>
                </c:pt>
                <c:pt idx="89">
                  <c:v>0.65857948200000005</c:v>
                </c:pt>
                <c:pt idx="90">
                  <c:v>0.63394521100000001</c:v>
                </c:pt>
                <c:pt idx="91">
                  <c:v>0.66852637000000004</c:v>
                </c:pt>
                <c:pt idx="92">
                  <c:v>0.69392936999999999</c:v>
                </c:pt>
                <c:pt idx="93">
                  <c:v>0.68295168699999997</c:v>
                </c:pt>
                <c:pt idx="94">
                  <c:v>0.72176667900000002</c:v>
                </c:pt>
                <c:pt idx="95">
                  <c:v>0.679964126</c:v>
                </c:pt>
                <c:pt idx="96">
                  <c:v>0.69477963099999995</c:v>
                </c:pt>
                <c:pt idx="97">
                  <c:v>0.71717759999999997</c:v>
                </c:pt>
                <c:pt idx="98">
                  <c:v>0.84132151499999996</c:v>
                </c:pt>
                <c:pt idx="99">
                  <c:v>0.80590756600000002</c:v>
                </c:pt>
                <c:pt idx="100">
                  <c:v>0.829709048</c:v>
                </c:pt>
                <c:pt idx="101">
                  <c:v>0.76281797399999995</c:v>
                </c:pt>
                <c:pt idx="102">
                  <c:v>0.70683470000000004</c:v>
                </c:pt>
                <c:pt idx="103">
                  <c:v>0.90034476299999999</c:v>
                </c:pt>
                <c:pt idx="104">
                  <c:v>0.66601052900000002</c:v>
                </c:pt>
                <c:pt idx="105">
                  <c:v>0.74184681299999999</c:v>
                </c:pt>
                <c:pt idx="106">
                  <c:v>0.85578759800000004</c:v>
                </c:pt>
                <c:pt idx="107">
                  <c:v>0.87191343600000004</c:v>
                </c:pt>
                <c:pt idx="108">
                  <c:v>0.91217853100000001</c:v>
                </c:pt>
                <c:pt idx="109">
                  <c:v>0.85286409799999996</c:v>
                </c:pt>
                <c:pt idx="110">
                  <c:v>0.87688688000000004</c:v>
                </c:pt>
                <c:pt idx="111">
                  <c:v>0.73489913299999998</c:v>
                </c:pt>
                <c:pt idx="112">
                  <c:v>0.780696748</c:v>
                </c:pt>
                <c:pt idx="113">
                  <c:v>0.75825801299999995</c:v>
                </c:pt>
                <c:pt idx="114">
                  <c:v>0.75750093200000002</c:v>
                </c:pt>
                <c:pt idx="115">
                  <c:v>0.74248159700000005</c:v>
                </c:pt>
                <c:pt idx="116">
                  <c:v>0.74778116800000005</c:v>
                </c:pt>
                <c:pt idx="117">
                  <c:v>0.75044842499999997</c:v>
                </c:pt>
                <c:pt idx="118">
                  <c:v>0.737653746</c:v>
                </c:pt>
                <c:pt idx="119">
                  <c:v>0.77584560199999997</c:v>
                </c:pt>
                <c:pt idx="120">
                  <c:v>0.79211703300000003</c:v>
                </c:pt>
                <c:pt idx="121">
                  <c:v>0.62017214899999995</c:v>
                </c:pt>
                <c:pt idx="122">
                  <c:v>0.694494269</c:v>
                </c:pt>
                <c:pt idx="123">
                  <c:v>0.81606410699999998</c:v>
                </c:pt>
                <c:pt idx="124">
                  <c:v>0.86037085400000002</c:v>
                </c:pt>
                <c:pt idx="125">
                  <c:v>0.75931210400000004</c:v>
                </c:pt>
                <c:pt idx="126">
                  <c:v>0.857843366</c:v>
                </c:pt>
                <c:pt idx="127">
                  <c:v>0.81871971700000001</c:v>
                </c:pt>
                <c:pt idx="128">
                  <c:v>0.71541884099999997</c:v>
                </c:pt>
                <c:pt idx="129">
                  <c:v>0.76768076799999996</c:v>
                </c:pt>
                <c:pt idx="130">
                  <c:v>0.88271058499999999</c:v>
                </c:pt>
                <c:pt idx="131">
                  <c:v>0.89544120400000005</c:v>
                </c:pt>
                <c:pt idx="132">
                  <c:v>0.90212099300000004</c:v>
                </c:pt>
                <c:pt idx="133">
                  <c:v>0.88315318700000001</c:v>
                </c:pt>
                <c:pt idx="134">
                  <c:v>0.620265328</c:v>
                </c:pt>
                <c:pt idx="135">
                  <c:v>0.61997996600000005</c:v>
                </c:pt>
              </c:numCache>
            </c:numRef>
          </c:xVal>
          <c:yVal>
            <c:numRef>
              <c:f>'xTB vs DFT Buried Volume'!$C$2:$C$137</c:f>
              <c:numCache>
                <c:formatCode>General</c:formatCode>
                <c:ptCount val="136"/>
                <c:pt idx="0">
                  <c:v>0.75145010199999995</c:v>
                </c:pt>
                <c:pt idx="1">
                  <c:v>0.76536875699999996</c:v>
                </c:pt>
                <c:pt idx="2">
                  <c:v>0.71266422799999996</c:v>
                </c:pt>
                <c:pt idx="3">
                  <c:v>0.70278140099999997</c:v>
                </c:pt>
                <c:pt idx="4">
                  <c:v>0.76703433700000001</c:v>
                </c:pt>
                <c:pt idx="5">
                  <c:v>0.74521291499999998</c:v>
                </c:pt>
                <c:pt idx="6">
                  <c:v>0.80384015099999995</c:v>
                </c:pt>
                <c:pt idx="7">
                  <c:v>0.84683656399999996</c:v>
                </c:pt>
                <c:pt idx="8">
                  <c:v>0.86088334</c:v>
                </c:pt>
                <c:pt idx="9">
                  <c:v>0.84914857399999999</c:v>
                </c:pt>
                <c:pt idx="10">
                  <c:v>0.816582417</c:v>
                </c:pt>
                <c:pt idx="11">
                  <c:v>0.87819139000000002</c:v>
                </c:pt>
                <c:pt idx="12">
                  <c:v>0.86005637300000004</c:v>
                </c:pt>
                <c:pt idx="13">
                  <c:v>0.80826034300000005</c:v>
                </c:pt>
                <c:pt idx="14">
                  <c:v>0.75027953800000002</c:v>
                </c:pt>
                <c:pt idx="15">
                  <c:v>0.78642727400000001</c:v>
                </c:pt>
                <c:pt idx="16">
                  <c:v>0.75506662300000005</c:v>
                </c:pt>
                <c:pt idx="17">
                  <c:v>0.88600680200000004</c:v>
                </c:pt>
                <c:pt idx="18">
                  <c:v>0.795355013</c:v>
                </c:pt>
                <c:pt idx="19">
                  <c:v>0.73880683899999999</c:v>
                </c:pt>
                <c:pt idx="20">
                  <c:v>0.82485207800000004</c:v>
                </c:pt>
                <c:pt idx="21">
                  <c:v>0.886606644</c:v>
                </c:pt>
                <c:pt idx="22">
                  <c:v>0.62741683699999995</c:v>
                </c:pt>
                <c:pt idx="23">
                  <c:v>0.62431862699999996</c:v>
                </c:pt>
                <c:pt idx="24">
                  <c:v>0.62105735200000001</c:v>
                </c:pt>
                <c:pt idx="25">
                  <c:v>0.63327548499999997</c:v>
                </c:pt>
                <c:pt idx="26">
                  <c:v>0.67802483199999997</c:v>
                </c:pt>
                <c:pt idx="27">
                  <c:v>0.67530516200000001</c:v>
                </c:pt>
                <c:pt idx="28">
                  <c:v>0.69651509499999997</c:v>
                </c:pt>
                <c:pt idx="29">
                  <c:v>0.72121342700000002</c:v>
                </c:pt>
                <c:pt idx="30">
                  <c:v>0.69716152600000003</c:v>
                </c:pt>
                <c:pt idx="31">
                  <c:v>0.66589405499999998</c:v>
                </c:pt>
                <c:pt idx="32">
                  <c:v>0.86021361299999999</c:v>
                </c:pt>
                <c:pt idx="33">
                  <c:v>0.74760645699999995</c:v>
                </c:pt>
                <c:pt idx="34">
                  <c:v>0.74515467800000001</c:v>
                </c:pt>
                <c:pt idx="35">
                  <c:v>0.59941064099999997</c:v>
                </c:pt>
                <c:pt idx="36">
                  <c:v>0.69384201499999998</c:v>
                </c:pt>
                <c:pt idx="37">
                  <c:v>0.85020266499999997</c:v>
                </c:pt>
                <c:pt idx="38">
                  <c:v>0.90431070599999996</c:v>
                </c:pt>
                <c:pt idx="39">
                  <c:v>0.66502049900000004</c:v>
                </c:pt>
                <c:pt idx="40">
                  <c:v>0.73138161599999996</c:v>
                </c:pt>
                <c:pt idx="41">
                  <c:v>0.85272432899999995</c:v>
                </c:pt>
                <c:pt idx="42">
                  <c:v>0.86954901200000001</c:v>
                </c:pt>
                <c:pt idx="43">
                  <c:v>0.94929882600000004</c:v>
                </c:pt>
                <c:pt idx="44">
                  <c:v>0.85473933099999999</c:v>
                </c:pt>
                <c:pt idx="45">
                  <c:v>0.71143542699999995</c:v>
                </c:pt>
                <c:pt idx="46">
                  <c:v>0.78243803599999995</c:v>
                </c:pt>
                <c:pt idx="47">
                  <c:v>0.72166185199999999</c:v>
                </c:pt>
                <c:pt idx="48">
                  <c:v>0.72113189499999997</c:v>
                </c:pt>
                <c:pt idx="49">
                  <c:v>0.74113632100000004</c:v>
                </c:pt>
                <c:pt idx="50">
                  <c:v>0.75566646500000001</c:v>
                </c:pt>
                <c:pt idx="51">
                  <c:v>0.72747390999999995</c:v>
                </c:pt>
                <c:pt idx="52">
                  <c:v>0.76063408499999996</c:v>
                </c:pt>
                <c:pt idx="53">
                  <c:v>0.76169982300000005</c:v>
                </c:pt>
                <c:pt idx="54">
                  <c:v>0.77475074499999996</c:v>
                </c:pt>
                <c:pt idx="55">
                  <c:v>0.68212472000000002</c:v>
                </c:pt>
                <c:pt idx="56">
                  <c:v>0.77291627799999996</c:v>
                </c:pt>
                <c:pt idx="57">
                  <c:v>0.63299012300000002</c:v>
                </c:pt>
                <c:pt idx="58">
                  <c:v>0.85698145699999995</c:v>
                </c:pt>
                <c:pt idx="59">
                  <c:v>0.83084466999999995</c:v>
                </c:pt>
                <c:pt idx="60">
                  <c:v>0.80157473000000001</c:v>
                </c:pt>
                <c:pt idx="61">
                  <c:v>0.73808470000000004</c:v>
                </c:pt>
                <c:pt idx="62">
                  <c:v>0.74777534499999998</c:v>
                </c:pt>
                <c:pt idx="63">
                  <c:v>0.68404654300000001</c:v>
                </c:pt>
                <c:pt idx="64">
                  <c:v>0.76373811999999996</c:v>
                </c:pt>
                <c:pt idx="65">
                  <c:v>0.91037318300000003</c:v>
                </c:pt>
                <c:pt idx="66">
                  <c:v>0.84621925099999995</c:v>
                </c:pt>
                <c:pt idx="67">
                  <c:v>0.85247973399999999</c:v>
                </c:pt>
                <c:pt idx="68">
                  <c:v>0.84815854499999999</c:v>
                </c:pt>
                <c:pt idx="69">
                  <c:v>0.63320560000000004</c:v>
                </c:pt>
                <c:pt idx="70">
                  <c:v>0.765374581</c:v>
                </c:pt>
                <c:pt idx="71">
                  <c:v>0.71075987699999998</c:v>
                </c:pt>
                <c:pt idx="72">
                  <c:v>0.76883968499999999</c:v>
                </c:pt>
                <c:pt idx="73">
                  <c:v>0.83561428400000004</c:v>
                </c:pt>
                <c:pt idx="74">
                  <c:v>0.81811405100000001</c:v>
                </c:pt>
                <c:pt idx="75">
                  <c:v>0.84476332499999995</c:v>
                </c:pt>
                <c:pt idx="76">
                  <c:v>0.83861349200000002</c:v>
                </c:pt>
                <c:pt idx="77">
                  <c:v>0.796397456</c:v>
                </c:pt>
                <c:pt idx="78">
                  <c:v>0.87262975200000004</c:v>
                </c:pt>
                <c:pt idx="79">
                  <c:v>0.87823215600000004</c:v>
                </c:pt>
                <c:pt idx="80">
                  <c:v>0.84120504100000004</c:v>
                </c:pt>
                <c:pt idx="81">
                  <c:v>0.75041348299999999</c:v>
                </c:pt>
                <c:pt idx="82">
                  <c:v>0.73737420799999998</c:v>
                </c:pt>
                <c:pt idx="83">
                  <c:v>0.79921030599999998</c:v>
                </c:pt>
                <c:pt idx="84">
                  <c:v>0.795290952</c:v>
                </c:pt>
                <c:pt idx="85">
                  <c:v>0.73449729799999997</c:v>
                </c:pt>
                <c:pt idx="86">
                  <c:v>0.79831345499999995</c:v>
                </c:pt>
                <c:pt idx="87">
                  <c:v>0.92039577900000002</c:v>
                </c:pt>
                <c:pt idx="88">
                  <c:v>0.62856993100000003</c:v>
                </c:pt>
                <c:pt idx="89">
                  <c:v>0.62368966599999998</c:v>
                </c:pt>
                <c:pt idx="90">
                  <c:v>0.62154654300000001</c:v>
                </c:pt>
                <c:pt idx="91">
                  <c:v>0.64157426399999995</c:v>
                </c:pt>
                <c:pt idx="92">
                  <c:v>0.68631196400000005</c:v>
                </c:pt>
                <c:pt idx="93">
                  <c:v>0.67702897900000003</c:v>
                </c:pt>
                <c:pt idx="94">
                  <c:v>0.70826733100000006</c:v>
                </c:pt>
                <c:pt idx="95">
                  <c:v>0.65804952500000002</c:v>
                </c:pt>
                <c:pt idx="96">
                  <c:v>0.69733623700000003</c:v>
                </c:pt>
                <c:pt idx="97">
                  <c:v>0.72079411999999998</c:v>
                </c:pt>
                <c:pt idx="98">
                  <c:v>0.82347186000000006</c:v>
                </c:pt>
                <c:pt idx="99">
                  <c:v>0.76271314800000001</c:v>
                </c:pt>
                <c:pt idx="100">
                  <c:v>0.80548825899999998</c:v>
                </c:pt>
                <c:pt idx="101">
                  <c:v>0.78463357199999995</c:v>
                </c:pt>
                <c:pt idx="102">
                  <c:v>0.76580553500000004</c:v>
                </c:pt>
                <c:pt idx="103">
                  <c:v>0.90779910500000005</c:v>
                </c:pt>
                <c:pt idx="104">
                  <c:v>0.66504379400000002</c:v>
                </c:pt>
                <c:pt idx="105">
                  <c:v>0.73694907799999998</c:v>
                </c:pt>
                <c:pt idx="106">
                  <c:v>0.85254379400000002</c:v>
                </c:pt>
                <c:pt idx="107">
                  <c:v>0.85791324999999996</c:v>
                </c:pt>
                <c:pt idx="108">
                  <c:v>0.86215873099999996</c:v>
                </c:pt>
                <c:pt idx="109">
                  <c:v>0.84766353000000005</c:v>
                </c:pt>
                <c:pt idx="110">
                  <c:v>0.85094809900000001</c:v>
                </c:pt>
                <c:pt idx="111">
                  <c:v>0.72631499300000002</c:v>
                </c:pt>
                <c:pt idx="112">
                  <c:v>0.78263021799999999</c:v>
                </c:pt>
                <c:pt idx="113">
                  <c:v>0.75704085899999995</c:v>
                </c:pt>
                <c:pt idx="114">
                  <c:v>0.755713054</c:v>
                </c:pt>
                <c:pt idx="115">
                  <c:v>0.73369362699999996</c:v>
                </c:pt>
                <c:pt idx="116">
                  <c:v>0.72095136000000004</c:v>
                </c:pt>
                <c:pt idx="117">
                  <c:v>0.73498648899999997</c:v>
                </c:pt>
                <c:pt idx="118">
                  <c:v>0.74072283800000005</c:v>
                </c:pt>
                <c:pt idx="119">
                  <c:v>0.76437872699999998</c:v>
                </c:pt>
                <c:pt idx="120">
                  <c:v>0.75567811200000001</c:v>
                </c:pt>
                <c:pt idx="121">
                  <c:v>0.60613702000000003</c:v>
                </c:pt>
                <c:pt idx="122">
                  <c:v>0.69451174100000002</c:v>
                </c:pt>
                <c:pt idx="123">
                  <c:v>0.76582300599999997</c:v>
                </c:pt>
                <c:pt idx="124">
                  <c:v>0.83425153699999999</c:v>
                </c:pt>
                <c:pt idx="125">
                  <c:v>0.74297078800000005</c:v>
                </c:pt>
                <c:pt idx="126">
                  <c:v>0.85088986200000005</c:v>
                </c:pt>
                <c:pt idx="127">
                  <c:v>0.77156517899999999</c:v>
                </c:pt>
                <c:pt idx="128">
                  <c:v>0.69107575499999996</c:v>
                </c:pt>
                <c:pt idx="129">
                  <c:v>0.76143775599999997</c:v>
                </c:pt>
                <c:pt idx="130">
                  <c:v>0.83266748999999995</c:v>
                </c:pt>
                <c:pt idx="131">
                  <c:v>0.91141562600000003</c:v>
                </c:pt>
                <c:pt idx="132">
                  <c:v>0.91445560000000004</c:v>
                </c:pt>
                <c:pt idx="133">
                  <c:v>0.86519870499999996</c:v>
                </c:pt>
                <c:pt idx="134">
                  <c:v>0.613620481</c:v>
                </c:pt>
                <c:pt idx="135">
                  <c:v>0.612717807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0-4146-BE25-96A699CCEC71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Buried Volume'!$B$2:$B$137</c:f>
              <c:numCache>
                <c:formatCode>General</c:formatCode>
                <c:ptCount val="136"/>
                <c:pt idx="0">
                  <c:v>0.75684867700000003</c:v>
                </c:pt>
                <c:pt idx="1">
                  <c:v>0.78757454299999996</c:v>
                </c:pt>
                <c:pt idx="2">
                  <c:v>0.746220416</c:v>
                </c:pt>
                <c:pt idx="3">
                  <c:v>0.74761810500000003</c:v>
                </c:pt>
                <c:pt idx="4">
                  <c:v>0.78442974300000001</c:v>
                </c:pt>
                <c:pt idx="5">
                  <c:v>0.75592270800000005</c:v>
                </c:pt>
                <c:pt idx="6">
                  <c:v>0.83368081400000005</c:v>
                </c:pt>
                <c:pt idx="7">
                  <c:v>0.85411619500000002</c:v>
                </c:pt>
                <c:pt idx="8">
                  <c:v>0.89966338999999995</c:v>
                </c:pt>
                <c:pt idx="9">
                  <c:v>0.86327688199999997</c:v>
                </c:pt>
                <c:pt idx="10">
                  <c:v>0.83374487500000005</c:v>
                </c:pt>
                <c:pt idx="11">
                  <c:v>0.93171706099999996</c:v>
                </c:pt>
                <c:pt idx="12">
                  <c:v>0.86608390800000001</c:v>
                </c:pt>
                <c:pt idx="13">
                  <c:v>0.81629705600000002</c:v>
                </c:pt>
                <c:pt idx="14">
                  <c:v>0.76155423</c:v>
                </c:pt>
                <c:pt idx="15">
                  <c:v>0.81555744500000005</c:v>
                </c:pt>
                <c:pt idx="16">
                  <c:v>0.76832719900000002</c:v>
                </c:pt>
                <c:pt idx="17">
                  <c:v>0.91355874999999997</c:v>
                </c:pt>
                <c:pt idx="18">
                  <c:v>0.80505148199999998</c:v>
                </c:pt>
                <c:pt idx="19">
                  <c:v>0.74827036000000002</c:v>
                </c:pt>
                <c:pt idx="20">
                  <c:v>0.83430395099999999</c:v>
                </c:pt>
                <c:pt idx="21">
                  <c:v>0.91113608800000001</c:v>
                </c:pt>
                <c:pt idx="22">
                  <c:v>0.64562756200000004</c:v>
                </c:pt>
                <c:pt idx="23">
                  <c:v>0.63755590799999995</c:v>
                </c:pt>
                <c:pt idx="24">
                  <c:v>0.65597046199999998</c:v>
                </c:pt>
                <c:pt idx="25">
                  <c:v>0.66615612199999996</c:v>
                </c:pt>
                <c:pt idx="26">
                  <c:v>0.68851914800000003</c:v>
                </c:pt>
                <c:pt idx="27">
                  <c:v>0.68386600799999997</c:v>
                </c:pt>
                <c:pt idx="28">
                  <c:v>0.71707859699999998</c:v>
                </c:pt>
                <c:pt idx="29">
                  <c:v>0.75224212599999996</c:v>
                </c:pt>
                <c:pt idx="30">
                  <c:v>0.72109695299999998</c:v>
                </c:pt>
                <c:pt idx="31">
                  <c:v>0.67959140900000004</c:v>
                </c:pt>
                <c:pt idx="32">
                  <c:v>0.75787364899999998</c:v>
                </c:pt>
                <c:pt idx="33">
                  <c:v>0.73371109800000001</c:v>
                </c:pt>
                <c:pt idx="34">
                  <c:v>0.72246552399999997</c:v>
                </c:pt>
                <c:pt idx="35">
                  <c:v>0.77480898200000003</c:v>
                </c:pt>
                <c:pt idx="36">
                  <c:v>0.700020965</c:v>
                </c:pt>
                <c:pt idx="37">
                  <c:v>0.81648341400000002</c:v>
                </c:pt>
                <c:pt idx="38">
                  <c:v>0.90763604200000003</c:v>
                </c:pt>
                <c:pt idx="39">
                  <c:v>0.66760622400000003</c:v>
                </c:pt>
                <c:pt idx="40">
                  <c:v>0.74570210599999998</c:v>
                </c:pt>
                <c:pt idx="41">
                  <c:v>0.86887346300000001</c:v>
                </c:pt>
                <c:pt idx="42">
                  <c:v>0.88669399900000001</c:v>
                </c:pt>
                <c:pt idx="43">
                  <c:v>0.90636064999999999</c:v>
                </c:pt>
                <c:pt idx="44">
                  <c:v>0.87295588000000002</c:v>
                </c:pt>
                <c:pt idx="45">
                  <c:v>0.72575591699999997</c:v>
                </c:pt>
                <c:pt idx="46">
                  <c:v>0.79704388699999995</c:v>
                </c:pt>
                <c:pt idx="47">
                  <c:v>0.74596999600000002</c:v>
                </c:pt>
                <c:pt idx="48">
                  <c:v>0.73245317700000001</c:v>
                </c:pt>
                <c:pt idx="49">
                  <c:v>0.74874207999999998</c:v>
                </c:pt>
                <c:pt idx="50">
                  <c:v>0.76992871799999996</c:v>
                </c:pt>
                <c:pt idx="51">
                  <c:v>0.74666301700000004</c:v>
                </c:pt>
                <c:pt idx="52">
                  <c:v>0.77278815700000003</c:v>
                </c:pt>
                <c:pt idx="53">
                  <c:v>0.78616520700000003</c:v>
                </c:pt>
                <c:pt idx="54">
                  <c:v>0.79324100799999997</c:v>
                </c:pt>
                <c:pt idx="55">
                  <c:v>0.62099911500000005</c:v>
                </c:pt>
                <c:pt idx="56">
                  <c:v>0.80190668099999995</c:v>
                </c:pt>
                <c:pt idx="57">
                  <c:v>0.64928484900000005</c:v>
                </c:pt>
                <c:pt idx="58">
                  <c:v>0.87278699199999998</c:v>
                </c:pt>
                <c:pt idx="59">
                  <c:v>0.903763278</c:v>
                </c:pt>
                <c:pt idx="60">
                  <c:v>0.82669819200000005</c:v>
                </c:pt>
                <c:pt idx="61">
                  <c:v>0.75810659700000005</c:v>
                </c:pt>
                <c:pt idx="62">
                  <c:v>0.76185123899999996</c:v>
                </c:pt>
                <c:pt idx="63">
                  <c:v>0.70848280799999996</c:v>
                </c:pt>
                <c:pt idx="64">
                  <c:v>0.775408824</c:v>
                </c:pt>
                <c:pt idx="65">
                  <c:v>0.88777720800000004</c:v>
                </c:pt>
                <c:pt idx="66">
                  <c:v>0.850621972</c:v>
                </c:pt>
                <c:pt idx="67">
                  <c:v>0.85243896799999996</c:v>
                </c:pt>
                <c:pt idx="68">
                  <c:v>0.86712635100000002</c:v>
                </c:pt>
                <c:pt idx="69">
                  <c:v>0.65060682999999997</c:v>
                </c:pt>
                <c:pt idx="70">
                  <c:v>0.786287505</c:v>
                </c:pt>
                <c:pt idx="71">
                  <c:v>0.72523178300000002</c:v>
                </c:pt>
                <c:pt idx="72">
                  <c:v>0.77829155800000005</c:v>
                </c:pt>
                <c:pt idx="73">
                  <c:v>0.81942438500000003</c:v>
                </c:pt>
                <c:pt idx="74">
                  <c:v>0.83909103600000001</c:v>
                </c:pt>
                <c:pt idx="75">
                  <c:v>0.86098234299999998</c:v>
                </c:pt>
                <c:pt idx="76">
                  <c:v>0.87024785699999996</c:v>
                </c:pt>
                <c:pt idx="77">
                  <c:v>0.82316902700000005</c:v>
                </c:pt>
                <c:pt idx="78">
                  <c:v>0.88788203499999996</c:v>
                </c:pt>
                <c:pt idx="79">
                  <c:v>0.91825265599999994</c:v>
                </c:pt>
                <c:pt idx="80">
                  <c:v>0.84908451399999996</c:v>
                </c:pt>
                <c:pt idx="81">
                  <c:v>0.76151928800000002</c:v>
                </c:pt>
                <c:pt idx="82">
                  <c:v>0.77855944799999999</c:v>
                </c:pt>
                <c:pt idx="83">
                  <c:v>0.802098863</c:v>
                </c:pt>
                <c:pt idx="84">
                  <c:v>0.81647758999999998</c:v>
                </c:pt>
                <c:pt idx="85">
                  <c:v>0.75137439399999995</c:v>
                </c:pt>
                <c:pt idx="86">
                  <c:v>0.82678554800000004</c:v>
                </c:pt>
                <c:pt idx="87">
                  <c:v>0.95056839400000004</c:v>
                </c:pt>
                <c:pt idx="88">
                  <c:v>0.64634387800000004</c:v>
                </c:pt>
                <c:pt idx="89">
                  <c:v>0.65857948200000005</c:v>
                </c:pt>
                <c:pt idx="90">
                  <c:v>0.63394521100000001</c:v>
                </c:pt>
                <c:pt idx="91">
                  <c:v>0.66852637000000004</c:v>
                </c:pt>
                <c:pt idx="92">
                  <c:v>0.69392936999999999</c:v>
                </c:pt>
                <c:pt idx="93">
                  <c:v>0.68295168699999997</c:v>
                </c:pt>
                <c:pt idx="94">
                  <c:v>0.72176667900000002</c:v>
                </c:pt>
                <c:pt idx="95">
                  <c:v>0.679964126</c:v>
                </c:pt>
                <c:pt idx="96">
                  <c:v>0.69477963099999995</c:v>
                </c:pt>
                <c:pt idx="97">
                  <c:v>0.71717759999999997</c:v>
                </c:pt>
                <c:pt idx="98">
                  <c:v>0.84132151499999996</c:v>
                </c:pt>
                <c:pt idx="99">
                  <c:v>0.80590756600000002</c:v>
                </c:pt>
                <c:pt idx="100">
                  <c:v>0.829709048</c:v>
                </c:pt>
                <c:pt idx="101">
                  <c:v>0.76281797399999995</c:v>
                </c:pt>
                <c:pt idx="102">
                  <c:v>0.70683470000000004</c:v>
                </c:pt>
                <c:pt idx="103">
                  <c:v>0.90034476299999999</c:v>
                </c:pt>
                <c:pt idx="104">
                  <c:v>0.66601052900000002</c:v>
                </c:pt>
                <c:pt idx="105">
                  <c:v>0.74184681299999999</c:v>
                </c:pt>
                <c:pt idx="106">
                  <c:v>0.85578759800000004</c:v>
                </c:pt>
                <c:pt idx="107">
                  <c:v>0.87191343600000004</c:v>
                </c:pt>
                <c:pt idx="108">
                  <c:v>0.91217853100000001</c:v>
                </c:pt>
                <c:pt idx="109">
                  <c:v>0.85286409799999996</c:v>
                </c:pt>
                <c:pt idx="110">
                  <c:v>0.87688688000000004</c:v>
                </c:pt>
                <c:pt idx="111">
                  <c:v>0.73489913299999998</c:v>
                </c:pt>
                <c:pt idx="112">
                  <c:v>0.780696748</c:v>
                </c:pt>
                <c:pt idx="113">
                  <c:v>0.75825801299999995</c:v>
                </c:pt>
                <c:pt idx="114">
                  <c:v>0.75750093200000002</c:v>
                </c:pt>
                <c:pt idx="115">
                  <c:v>0.74248159700000005</c:v>
                </c:pt>
                <c:pt idx="116">
                  <c:v>0.74778116800000005</c:v>
                </c:pt>
                <c:pt idx="117">
                  <c:v>0.75044842499999997</c:v>
                </c:pt>
                <c:pt idx="118">
                  <c:v>0.737653746</c:v>
                </c:pt>
                <c:pt idx="119">
                  <c:v>0.77584560199999997</c:v>
                </c:pt>
                <c:pt idx="120">
                  <c:v>0.79211703300000003</c:v>
                </c:pt>
                <c:pt idx="121">
                  <c:v>0.62017214899999995</c:v>
                </c:pt>
                <c:pt idx="122">
                  <c:v>0.694494269</c:v>
                </c:pt>
                <c:pt idx="123">
                  <c:v>0.81606410699999998</c:v>
                </c:pt>
                <c:pt idx="124">
                  <c:v>0.86037085400000002</c:v>
                </c:pt>
                <c:pt idx="125">
                  <c:v>0.75931210400000004</c:v>
                </c:pt>
                <c:pt idx="126">
                  <c:v>0.857843366</c:v>
                </c:pt>
                <c:pt idx="127">
                  <c:v>0.81871971700000001</c:v>
                </c:pt>
                <c:pt idx="128">
                  <c:v>0.71541884099999997</c:v>
                </c:pt>
                <c:pt idx="129">
                  <c:v>0.76768076799999996</c:v>
                </c:pt>
                <c:pt idx="130">
                  <c:v>0.88271058499999999</c:v>
                </c:pt>
                <c:pt idx="131">
                  <c:v>0.89544120400000005</c:v>
                </c:pt>
                <c:pt idx="132">
                  <c:v>0.90212099300000004</c:v>
                </c:pt>
                <c:pt idx="133">
                  <c:v>0.88315318700000001</c:v>
                </c:pt>
                <c:pt idx="134">
                  <c:v>0.620265328</c:v>
                </c:pt>
                <c:pt idx="135">
                  <c:v>0.61997996600000005</c:v>
                </c:pt>
              </c:numCache>
            </c:numRef>
          </c:xVal>
          <c:yVal>
            <c:numRef>
              <c:f>'xTB vs DFT Buried Volume'!$I$2:$I$137</c:f>
              <c:numCache>
                <c:formatCode>General</c:formatCode>
                <c:ptCount val="136"/>
                <c:pt idx="0">
                  <c:v>0.75684867700000003</c:v>
                </c:pt>
                <c:pt idx="1">
                  <c:v>0.78757454299999996</c:v>
                </c:pt>
                <c:pt idx="2">
                  <c:v>0.746220416</c:v>
                </c:pt>
                <c:pt idx="3">
                  <c:v>0.74761810500000003</c:v>
                </c:pt>
                <c:pt idx="4">
                  <c:v>0.78442974300000001</c:v>
                </c:pt>
                <c:pt idx="5">
                  <c:v>0.75592270800000005</c:v>
                </c:pt>
                <c:pt idx="6">
                  <c:v>0.83368081400000005</c:v>
                </c:pt>
                <c:pt idx="7">
                  <c:v>0.85411619500000002</c:v>
                </c:pt>
                <c:pt idx="8">
                  <c:v>0.89966338999999995</c:v>
                </c:pt>
                <c:pt idx="9">
                  <c:v>0.86327688199999997</c:v>
                </c:pt>
                <c:pt idx="10">
                  <c:v>0.83374487500000005</c:v>
                </c:pt>
                <c:pt idx="11">
                  <c:v>0.93171706099999996</c:v>
                </c:pt>
                <c:pt idx="12">
                  <c:v>0.86608390800000001</c:v>
                </c:pt>
                <c:pt idx="13">
                  <c:v>0.81629705600000002</c:v>
                </c:pt>
                <c:pt idx="14">
                  <c:v>0.76155423</c:v>
                </c:pt>
                <c:pt idx="15">
                  <c:v>0.81555744500000005</c:v>
                </c:pt>
                <c:pt idx="16">
                  <c:v>0.76832719900000002</c:v>
                </c:pt>
                <c:pt idx="17">
                  <c:v>0.91355874999999997</c:v>
                </c:pt>
                <c:pt idx="18">
                  <c:v>0.80505148199999998</c:v>
                </c:pt>
                <c:pt idx="19">
                  <c:v>0.74827036000000002</c:v>
                </c:pt>
                <c:pt idx="20">
                  <c:v>0.83430395099999999</c:v>
                </c:pt>
                <c:pt idx="21">
                  <c:v>0.91113608800000001</c:v>
                </c:pt>
                <c:pt idx="22">
                  <c:v>0.64562756200000004</c:v>
                </c:pt>
                <c:pt idx="23">
                  <c:v>0.63755590799999995</c:v>
                </c:pt>
                <c:pt idx="24">
                  <c:v>0.65597046199999998</c:v>
                </c:pt>
                <c:pt idx="25">
                  <c:v>0.66615612199999996</c:v>
                </c:pt>
                <c:pt idx="26">
                  <c:v>0.68851914800000003</c:v>
                </c:pt>
                <c:pt idx="27">
                  <c:v>0.68386600799999997</c:v>
                </c:pt>
                <c:pt idx="28">
                  <c:v>0.71707859699999998</c:v>
                </c:pt>
                <c:pt idx="29">
                  <c:v>0.75224212599999996</c:v>
                </c:pt>
                <c:pt idx="30">
                  <c:v>0.72109695299999998</c:v>
                </c:pt>
                <c:pt idx="31">
                  <c:v>0.67959140900000004</c:v>
                </c:pt>
                <c:pt idx="32">
                  <c:v>0.75787364899999998</c:v>
                </c:pt>
                <c:pt idx="33">
                  <c:v>0.73371109800000001</c:v>
                </c:pt>
                <c:pt idx="34">
                  <c:v>0.72246552399999997</c:v>
                </c:pt>
                <c:pt idx="35">
                  <c:v>0.77480898200000003</c:v>
                </c:pt>
                <c:pt idx="36">
                  <c:v>0.700020965</c:v>
                </c:pt>
                <c:pt idx="37">
                  <c:v>0.81648341400000002</c:v>
                </c:pt>
                <c:pt idx="38">
                  <c:v>0.90763604200000003</c:v>
                </c:pt>
                <c:pt idx="39">
                  <c:v>0.66760622400000003</c:v>
                </c:pt>
                <c:pt idx="40">
                  <c:v>0.74570210599999998</c:v>
                </c:pt>
                <c:pt idx="41">
                  <c:v>0.86887346300000001</c:v>
                </c:pt>
                <c:pt idx="42">
                  <c:v>0.88669399900000001</c:v>
                </c:pt>
                <c:pt idx="43">
                  <c:v>0.90636064999999999</c:v>
                </c:pt>
                <c:pt idx="44">
                  <c:v>0.87295588000000002</c:v>
                </c:pt>
                <c:pt idx="45">
                  <c:v>0.72575591699999997</c:v>
                </c:pt>
                <c:pt idx="46">
                  <c:v>0.79704388699999995</c:v>
                </c:pt>
                <c:pt idx="47">
                  <c:v>0.74596999600000002</c:v>
                </c:pt>
                <c:pt idx="48">
                  <c:v>0.73245317700000001</c:v>
                </c:pt>
                <c:pt idx="49">
                  <c:v>0.74874207999999998</c:v>
                </c:pt>
                <c:pt idx="50">
                  <c:v>0.76992871799999996</c:v>
                </c:pt>
                <c:pt idx="51">
                  <c:v>0.74666301700000004</c:v>
                </c:pt>
                <c:pt idx="52">
                  <c:v>0.77278815700000003</c:v>
                </c:pt>
                <c:pt idx="53">
                  <c:v>0.78616520700000003</c:v>
                </c:pt>
                <c:pt idx="54">
                  <c:v>0.79324100799999997</c:v>
                </c:pt>
                <c:pt idx="55">
                  <c:v>0.62099911500000005</c:v>
                </c:pt>
                <c:pt idx="56">
                  <c:v>0.80190668099999995</c:v>
                </c:pt>
                <c:pt idx="57">
                  <c:v>0.64928484900000005</c:v>
                </c:pt>
                <c:pt idx="58">
                  <c:v>0.87278699199999998</c:v>
                </c:pt>
                <c:pt idx="59">
                  <c:v>0.903763278</c:v>
                </c:pt>
                <c:pt idx="60">
                  <c:v>0.82669819200000005</c:v>
                </c:pt>
                <c:pt idx="61">
                  <c:v>0.75810659700000005</c:v>
                </c:pt>
                <c:pt idx="62">
                  <c:v>0.76185123899999996</c:v>
                </c:pt>
                <c:pt idx="63">
                  <c:v>0.70848280799999996</c:v>
                </c:pt>
                <c:pt idx="64">
                  <c:v>0.775408824</c:v>
                </c:pt>
                <c:pt idx="65">
                  <c:v>0.88777720800000004</c:v>
                </c:pt>
                <c:pt idx="66">
                  <c:v>0.850621972</c:v>
                </c:pt>
                <c:pt idx="67">
                  <c:v>0.85243896799999996</c:v>
                </c:pt>
                <c:pt idx="68">
                  <c:v>0.86712635100000002</c:v>
                </c:pt>
                <c:pt idx="69">
                  <c:v>0.65060682999999997</c:v>
                </c:pt>
                <c:pt idx="70">
                  <c:v>0.786287505</c:v>
                </c:pt>
                <c:pt idx="71">
                  <c:v>0.72523178300000002</c:v>
                </c:pt>
                <c:pt idx="72">
                  <c:v>0.77829155800000005</c:v>
                </c:pt>
                <c:pt idx="73">
                  <c:v>0.81942438500000003</c:v>
                </c:pt>
                <c:pt idx="74">
                  <c:v>0.83909103600000001</c:v>
                </c:pt>
                <c:pt idx="75">
                  <c:v>0.86098234299999998</c:v>
                </c:pt>
                <c:pt idx="76">
                  <c:v>0.87024785699999996</c:v>
                </c:pt>
                <c:pt idx="77">
                  <c:v>0.82316902700000005</c:v>
                </c:pt>
                <c:pt idx="78">
                  <c:v>0.88788203499999996</c:v>
                </c:pt>
                <c:pt idx="79">
                  <c:v>0.91825265599999994</c:v>
                </c:pt>
                <c:pt idx="80">
                  <c:v>0.84908451399999996</c:v>
                </c:pt>
                <c:pt idx="81">
                  <c:v>0.76151928800000002</c:v>
                </c:pt>
                <c:pt idx="82">
                  <c:v>0.77855944799999999</c:v>
                </c:pt>
                <c:pt idx="83">
                  <c:v>0.802098863</c:v>
                </c:pt>
                <c:pt idx="84">
                  <c:v>0.81647758999999998</c:v>
                </c:pt>
                <c:pt idx="85">
                  <c:v>0.75137439399999995</c:v>
                </c:pt>
                <c:pt idx="86">
                  <c:v>0.82678554800000004</c:v>
                </c:pt>
                <c:pt idx="87">
                  <c:v>0.95056839400000004</c:v>
                </c:pt>
                <c:pt idx="88">
                  <c:v>0.64634387800000004</c:v>
                </c:pt>
                <c:pt idx="89">
                  <c:v>0.65857948200000005</c:v>
                </c:pt>
                <c:pt idx="90">
                  <c:v>0.63394521100000001</c:v>
                </c:pt>
                <c:pt idx="91">
                  <c:v>0.66852637000000004</c:v>
                </c:pt>
                <c:pt idx="92">
                  <c:v>0.69392936999999999</c:v>
                </c:pt>
                <c:pt idx="93">
                  <c:v>0.68295168699999997</c:v>
                </c:pt>
                <c:pt idx="94">
                  <c:v>0.72176667900000002</c:v>
                </c:pt>
                <c:pt idx="95">
                  <c:v>0.679964126</c:v>
                </c:pt>
                <c:pt idx="96">
                  <c:v>0.69477963099999995</c:v>
                </c:pt>
                <c:pt idx="97">
                  <c:v>0.71717759999999997</c:v>
                </c:pt>
                <c:pt idx="98">
                  <c:v>0.84132151499999996</c:v>
                </c:pt>
                <c:pt idx="99">
                  <c:v>0.80590756600000002</c:v>
                </c:pt>
                <c:pt idx="100">
                  <c:v>0.829709048</c:v>
                </c:pt>
                <c:pt idx="101">
                  <c:v>0.76281797399999995</c:v>
                </c:pt>
                <c:pt idx="102">
                  <c:v>0.70683470000000004</c:v>
                </c:pt>
                <c:pt idx="103">
                  <c:v>0.90034476299999999</c:v>
                </c:pt>
                <c:pt idx="104">
                  <c:v>0.66601052900000002</c:v>
                </c:pt>
                <c:pt idx="105">
                  <c:v>0.74184681299999999</c:v>
                </c:pt>
                <c:pt idx="106">
                  <c:v>0.85578759800000004</c:v>
                </c:pt>
                <c:pt idx="107">
                  <c:v>0.87191343600000004</c:v>
                </c:pt>
                <c:pt idx="108">
                  <c:v>0.91217853100000001</c:v>
                </c:pt>
                <c:pt idx="109">
                  <c:v>0.85286409799999996</c:v>
                </c:pt>
                <c:pt idx="110">
                  <c:v>0.87688688000000004</c:v>
                </c:pt>
                <c:pt idx="111">
                  <c:v>0.73489913299999998</c:v>
                </c:pt>
                <c:pt idx="112">
                  <c:v>0.780696748</c:v>
                </c:pt>
                <c:pt idx="113">
                  <c:v>0.75825801299999995</c:v>
                </c:pt>
                <c:pt idx="114">
                  <c:v>0.75750093200000002</c:v>
                </c:pt>
                <c:pt idx="115">
                  <c:v>0.74248159700000005</c:v>
                </c:pt>
                <c:pt idx="116">
                  <c:v>0.74778116800000005</c:v>
                </c:pt>
                <c:pt idx="117">
                  <c:v>0.75044842499999997</c:v>
                </c:pt>
                <c:pt idx="118">
                  <c:v>0.737653746</c:v>
                </c:pt>
                <c:pt idx="119">
                  <c:v>0.77584560199999997</c:v>
                </c:pt>
                <c:pt idx="120">
                  <c:v>0.79211703300000003</c:v>
                </c:pt>
                <c:pt idx="121">
                  <c:v>0.62017214899999995</c:v>
                </c:pt>
                <c:pt idx="122">
                  <c:v>0.694494269</c:v>
                </c:pt>
                <c:pt idx="123">
                  <c:v>0.81606410699999998</c:v>
                </c:pt>
                <c:pt idx="124">
                  <c:v>0.86037085400000002</c:v>
                </c:pt>
                <c:pt idx="125">
                  <c:v>0.75931210400000004</c:v>
                </c:pt>
                <c:pt idx="126">
                  <c:v>0.857843366</c:v>
                </c:pt>
                <c:pt idx="127">
                  <c:v>0.81871971700000001</c:v>
                </c:pt>
                <c:pt idx="128">
                  <c:v>0.71541884099999997</c:v>
                </c:pt>
                <c:pt idx="129">
                  <c:v>0.76768076799999996</c:v>
                </c:pt>
                <c:pt idx="130">
                  <c:v>0.88271058499999999</c:v>
                </c:pt>
                <c:pt idx="131">
                  <c:v>0.89544120400000005</c:v>
                </c:pt>
                <c:pt idx="132">
                  <c:v>0.90212099300000004</c:v>
                </c:pt>
                <c:pt idx="133">
                  <c:v>0.88315318700000001</c:v>
                </c:pt>
                <c:pt idx="134">
                  <c:v>0.620265328</c:v>
                </c:pt>
                <c:pt idx="135">
                  <c:v>0.61997996600000005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10-4146-BE25-96A699CCE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0.95000000000000007"/>
          <c:min val="0.6000000000000000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%V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bur,xTB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"/>
          <c:min val="0.5800000000000000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%V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bur,DFT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85301131846917E-4"/>
              <c:y val="0.37846019247594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6</xdr:row>
      <xdr:rowOff>47625</xdr:rowOff>
    </xdr:from>
    <xdr:to>
      <xdr:col>17</xdr:col>
      <xdr:colOff>238125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1FCB8-1C28-4DE6-8BC5-C880BFE9F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B519-D5A7-4CC7-A880-48DD02FEC9DF}">
  <dimension ref="A1:AU140"/>
  <sheetViews>
    <sheetView tabSelected="1" topLeftCell="A127" workbookViewId="0">
      <selection activeCell="G18" sqref="G18"/>
    </sheetView>
  </sheetViews>
  <sheetFormatPr defaultRowHeight="14.25" x14ac:dyDescent="0.45"/>
  <cols>
    <col min="15" max="15" width="11.46484375" customWidth="1"/>
    <col min="16" max="16" width="11.1328125" customWidth="1"/>
  </cols>
  <sheetData>
    <row r="1" spans="1:47" s="2" customFormat="1" x14ac:dyDescent="0.45">
      <c r="A1" t="s">
        <v>6</v>
      </c>
      <c r="B1" t="s">
        <v>143</v>
      </c>
      <c r="C1" t="s">
        <v>144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47" x14ac:dyDescent="0.45">
      <c r="A2" t="s">
        <v>113</v>
      </c>
      <c r="B2">
        <v>0.75684867700000003</v>
      </c>
      <c r="C2">
        <v>0.75145010199999995</v>
      </c>
      <c r="D2">
        <f>(C2-B2)</f>
        <v>-5.3985750000000721E-3</v>
      </c>
      <c r="E2">
        <f>ABS(D2)</f>
        <v>5.3985750000000721E-3</v>
      </c>
      <c r="F2">
        <f>E2^2</f>
        <v>2.9144612030625779E-5</v>
      </c>
      <c r="G2">
        <f>CORREL(B2:B137,C2:C137)</f>
        <v>0.95057105868575986</v>
      </c>
      <c r="H2">
        <f>G2^2</f>
        <v>0.90358533761096627</v>
      </c>
      <c r="I2">
        <v>0.75684867700000003</v>
      </c>
    </row>
    <row r="3" spans="1:47" x14ac:dyDescent="0.45">
      <c r="A3" t="s">
        <v>114</v>
      </c>
      <c r="B3">
        <v>0.78757454299999996</v>
      </c>
      <c r="C3">
        <v>0.76536875699999996</v>
      </c>
      <c r="D3">
        <f t="shared" ref="D3:D62" si="0">(C3-B3)</f>
        <v>-2.2205786000000005E-2</v>
      </c>
      <c r="E3">
        <f t="shared" ref="E3:E62" si="1">ABS(D3)</f>
        <v>2.2205786000000005E-2</v>
      </c>
      <c r="F3">
        <f t="shared" ref="F3:F62" si="2">E3^2</f>
        <v>4.9309693187779623E-4</v>
      </c>
      <c r="I3">
        <v>0.78757454299999996</v>
      </c>
    </row>
    <row r="4" spans="1:47" x14ac:dyDescent="0.45">
      <c r="A4" t="s">
        <v>115</v>
      </c>
      <c r="B4">
        <v>0.746220416</v>
      </c>
      <c r="C4">
        <v>0.71266422799999996</v>
      </c>
      <c r="D4">
        <f t="shared" si="0"/>
        <v>-3.3556188000000042E-2</v>
      </c>
      <c r="E4">
        <f t="shared" si="1"/>
        <v>3.3556188000000042E-2</v>
      </c>
      <c r="F4">
        <f t="shared" si="2"/>
        <v>1.1260177530913469E-3</v>
      </c>
      <c r="I4">
        <v>0.746220416</v>
      </c>
    </row>
    <row r="5" spans="1:47" x14ac:dyDescent="0.45">
      <c r="A5" t="s">
        <v>116</v>
      </c>
      <c r="B5">
        <v>0.74761810500000003</v>
      </c>
      <c r="C5">
        <v>0.70278140099999997</v>
      </c>
      <c r="D5">
        <f t="shared" si="0"/>
        <v>-4.4836704000000061E-2</v>
      </c>
      <c r="E5">
        <f t="shared" si="1"/>
        <v>4.4836704000000061E-2</v>
      </c>
      <c r="F5">
        <f t="shared" si="2"/>
        <v>2.0103300255836214E-3</v>
      </c>
      <c r="I5">
        <v>0.74761810500000003</v>
      </c>
    </row>
    <row r="6" spans="1:47" x14ac:dyDescent="0.45">
      <c r="A6" t="s">
        <v>117</v>
      </c>
      <c r="B6">
        <v>0.78442974300000001</v>
      </c>
      <c r="C6">
        <v>0.76703433700000001</v>
      </c>
      <c r="D6">
        <f t="shared" si="0"/>
        <v>-1.7395406000000002E-2</v>
      </c>
      <c r="E6">
        <f t="shared" si="1"/>
        <v>1.7395406000000002E-2</v>
      </c>
      <c r="F6">
        <f t="shared" si="2"/>
        <v>3.0260014990483609E-4</v>
      </c>
      <c r="I6">
        <v>0.78442974300000001</v>
      </c>
    </row>
    <row r="7" spans="1:47" x14ac:dyDescent="0.45">
      <c r="A7" t="s">
        <v>118</v>
      </c>
      <c r="B7">
        <v>0.75592270800000005</v>
      </c>
      <c r="C7">
        <v>0.74521291499999998</v>
      </c>
      <c r="D7">
        <f t="shared" si="0"/>
        <v>-1.0709793000000079E-2</v>
      </c>
      <c r="E7">
        <f t="shared" si="1"/>
        <v>1.0709793000000079E-2</v>
      </c>
      <c r="F7">
        <f t="shared" si="2"/>
        <v>1.1469966610285069E-4</v>
      </c>
      <c r="I7">
        <v>0.75592270800000005</v>
      </c>
    </row>
    <row r="8" spans="1:47" x14ac:dyDescent="0.45">
      <c r="A8" t="s">
        <v>7</v>
      </c>
      <c r="B8">
        <v>0.83368081400000005</v>
      </c>
      <c r="C8">
        <v>0.80384015099999995</v>
      </c>
      <c r="D8">
        <f t="shared" si="0"/>
        <v>-2.9840663000000101E-2</v>
      </c>
      <c r="E8">
        <f t="shared" si="1"/>
        <v>2.9840663000000101E-2</v>
      </c>
      <c r="F8">
        <f t="shared" si="2"/>
        <v>8.9046516827957496E-4</v>
      </c>
      <c r="I8">
        <v>0.83368081400000005</v>
      </c>
    </row>
    <row r="9" spans="1:47" x14ac:dyDescent="0.45">
      <c r="A9" t="s">
        <v>8</v>
      </c>
      <c r="B9">
        <v>0.85411619500000002</v>
      </c>
      <c r="C9">
        <v>0.84683656399999996</v>
      </c>
      <c r="D9">
        <f t="shared" si="0"/>
        <v>-7.2796310000000641E-3</v>
      </c>
      <c r="E9">
        <f t="shared" si="1"/>
        <v>7.2796310000000641E-3</v>
      </c>
      <c r="F9">
        <f t="shared" si="2"/>
        <v>5.2993027496161935E-5</v>
      </c>
      <c r="I9">
        <v>0.85411619500000002</v>
      </c>
    </row>
    <row r="10" spans="1:47" x14ac:dyDescent="0.45">
      <c r="A10" t="s">
        <v>9</v>
      </c>
      <c r="B10">
        <v>0.89966338999999995</v>
      </c>
      <c r="C10">
        <v>0.86088334</v>
      </c>
      <c r="D10">
        <f t="shared" si="0"/>
        <v>-3.8780049999999955E-2</v>
      </c>
      <c r="E10">
        <f t="shared" si="1"/>
        <v>3.8780049999999955E-2</v>
      </c>
      <c r="F10">
        <f t="shared" si="2"/>
        <v>1.5038922780024964E-3</v>
      </c>
      <c r="I10">
        <v>0.89966338999999995</v>
      </c>
    </row>
    <row r="11" spans="1:47" x14ac:dyDescent="0.45">
      <c r="A11" t="s">
        <v>10</v>
      </c>
      <c r="B11">
        <v>0.86327688199999997</v>
      </c>
      <c r="C11">
        <v>0.84914857399999999</v>
      </c>
      <c r="D11">
        <f t="shared" si="0"/>
        <v>-1.4128307999999978E-2</v>
      </c>
      <c r="E11">
        <f t="shared" si="1"/>
        <v>1.4128307999999978E-2</v>
      </c>
      <c r="F11">
        <f t="shared" si="2"/>
        <v>1.996090869428634E-4</v>
      </c>
      <c r="I11">
        <v>0.86327688199999997</v>
      </c>
    </row>
    <row r="12" spans="1:47" x14ac:dyDescent="0.45">
      <c r="A12" t="s">
        <v>11</v>
      </c>
      <c r="B12">
        <v>0.83374487500000005</v>
      </c>
      <c r="C12">
        <v>0.816582417</v>
      </c>
      <c r="D12">
        <f t="shared" si="0"/>
        <v>-1.7162458000000047E-2</v>
      </c>
      <c r="E12">
        <f t="shared" si="1"/>
        <v>1.7162458000000047E-2</v>
      </c>
      <c r="F12">
        <f t="shared" si="2"/>
        <v>2.9454996460176561E-4</v>
      </c>
      <c r="I12">
        <v>0.83374487500000005</v>
      </c>
    </row>
    <row r="13" spans="1:47" x14ac:dyDescent="0.45">
      <c r="A13" t="s">
        <v>12</v>
      </c>
      <c r="B13">
        <v>0.93171706099999996</v>
      </c>
      <c r="C13">
        <v>0.87819139000000002</v>
      </c>
      <c r="D13">
        <f t="shared" si="0"/>
        <v>-5.3525670999999941E-2</v>
      </c>
      <c r="E13">
        <f t="shared" si="1"/>
        <v>5.3525670999999941E-2</v>
      </c>
      <c r="F13">
        <f t="shared" si="2"/>
        <v>2.8649974560002347E-3</v>
      </c>
      <c r="I13">
        <v>0.93171706099999996</v>
      </c>
    </row>
    <row r="14" spans="1:47" x14ac:dyDescent="0.45">
      <c r="A14" t="s">
        <v>13</v>
      </c>
      <c r="B14">
        <v>0.86608390800000001</v>
      </c>
      <c r="C14">
        <v>0.86005637300000004</v>
      </c>
      <c r="D14">
        <f t="shared" si="0"/>
        <v>-6.0275349999999728E-3</v>
      </c>
      <c r="E14">
        <f t="shared" si="1"/>
        <v>6.0275349999999728E-3</v>
      </c>
      <c r="F14">
        <f t="shared" si="2"/>
        <v>3.6331178176224671E-5</v>
      </c>
      <c r="I14">
        <v>0.86608390800000001</v>
      </c>
    </row>
    <row r="15" spans="1:47" x14ac:dyDescent="0.45">
      <c r="A15" t="s">
        <v>119</v>
      </c>
      <c r="B15">
        <v>0.81629705600000002</v>
      </c>
      <c r="C15">
        <v>0.80826034300000005</v>
      </c>
      <c r="D15">
        <f t="shared" si="0"/>
        <v>-8.0367129999999731E-3</v>
      </c>
      <c r="E15">
        <f t="shared" si="1"/>
        <v>8.0367129999999731E-3</v>
      </c>
      <c r="F15">
        <f t="shared" si="2"/>
        <v>6.4588755844368565E-5</v>
      </c>
      <c r="I15">
        <v>0.81629705600000002</v>
      </c>
      <c r="AU15" s="1"/>
    </row>
    <row r="16" spans="1:47" x14ac:dyDescent="0.45">
      <c r="A16" t="s">
        <v>14</v>
      </c>
      <c r="B16">
        <v>0.76155423</v>
      </c>
      <c r="C16">
        <v>0.75027953800000002</v>
      </c>
      <c r="D16">
        <f t="shared" si="0"/>
        <v>-1.1274691999999975E-2</v>
      </c>
      <c r="E16">
        <f t="shared" si="1"/>
        <v>1.1274691999999975E-2</v>
      </c>
      <c r="F16">
        <f t="shared" si="2"/>
        <v>1.2711867969486345E-4</v>
      </c>
      <c r="I16">
        <v>0.76155423</v>
      </c>
      <c r="AU16" s="1"/>
    </row>
    <row r="17" spans="1:47" x14ac:dyDescent="0.45">
      <c r="A17" t="s">
        <v>120</v>
      </c>
      <c r="B17">
        <v>0.81555744500000005</v>
      </c>
      <c r="C17">
        <v>0.78642727400000001</v>
      </c>
      <c r="D17">
        <f t="shared" si="0"/>
        <v>-2.9130171000000038E-2</v>
      </c>
      <c r="E17">
        <f t="shared" si="1"/>
        <v>2.9130171000000038E-2</v>
      </c>
      <c r="F17">
        <f t="shared" si="2"/>
        <v>8.4856686248924325E-4</v>
      </c>
      <c r="I17">
        <v>0.81555744500000005</v>
      </c>
      <c r="AU17" s="1"/>
    </row>
    <row r="18" spans="1:47" x14ac:dyDescent="0.45">
      <c r="A18" t="s">
        <v>121</v>
      </c>
      <c r="B18">
        <v>0.76832719900000002</v>
      </c>
      <c r="C18">
        <v>0.75506662300000005</v>
      </c>
      <c r="D18">
        <f t="shared" si="0"/>
        <v>-1.3260575999999968E-2</v>
      </c>
      <c r="E18">
        <f t="shared" si="1"/>
        <v>1.3260575999999968E-2</v>
      </c>
      <c r="F18">
        <f t="shared" si="2"/>
        <v>1.7584287585177517E-4</v>
      </c>
      <c r="I18">
        <v>0.76832719900000002</v>
      </c>
      <c r="AU18" s="1"/>
    </row>
    <row r="19" spans="1:47" x14ac:dyDescent="0.45">
      <c r="A19" t="s">
        <v>122</v>
      </c>
      <c r="B19">
        <v>0.91355874999999997</v>
      </c>
      <c r="C19">
        <v>0.88600680200000004</v>
      </c>
      <c r="D19">
        <f t="shared" si="0"/>
        <v>-2.7551947999999937E-2</v>
      </c>
      <c r="E19">
        <f t="shared" si="1"/>
        <v>2.7551947999999937E-2</v>
      </c>
      <c r="F19">
        <f t="shared" si="2"/>
        <v>7.5910983859470052E-4</v>
      </c>
      <c r="I19">
        <v>0.91355874999999997</v>
      </c>
      <c r="AU19" s="1"/>
    </row>
    <row r="20" spans="1:47" x14ac:dyDescent="0.45">
      <c r="A20" t="s">
        <v>123</v>
      </c>
      <c r="B20">
        <v>0.80505148199999998</v>
      </c>
      <c r="C20">
        <v>0.795355013</v>
      </c>
      <c r="D20">
        <f t="shared" si="0"/>
        <v>-9.6964689999999853E-3</v>
      </c>
      <c r="E20">
        <f t="shared" si="1"/>
        <v>9.6964689999999853E-3</v>
      </c>
      <c r="F20">
        <f t="shared" si="2"/>
        <v>9.402151106796071E-5</v>
      </c>
      <c r="I20">
        <v>0.80505148199999998</v>
      </c>
      <c r="AU20" s="1"/>
    </row>
    <row r="21" spans="1:47" x14ac:dyDescent="0.45">
      <c r="A21" t="s">
        <v>124</v>
      </c>
      <c r="B21">
        <v>0.74827036000000002</v>
      </c>
      <c r="C21">
        <v>0.73880683899999999</v>
      </c>
      <c r="D21">
        <f t="shared" si="0"/>
        <v>-9.4635210000000303E-3</v>
      </c>
      <c r="E21">
        <f t="shared" si="1"/>
        <v>9.4635210000000303E-3</v>
      </c>
      <c r="F21">
        <f t="shared" si="2"/>
        <v>8.9558229717441574E-5</v>
      </c>
      <c r="I21">
        <v>0.74827036000000002</v>
      </c>
    </row>
    <row r="22" spans="1:47" x14ac:dyDescent="0.45">
      <c r="A22" t="s">
        <v>125</v>
      </c>
      <c r="B22">
        <v>0.83430395099999999</v>
      </c>
      <c r="C22">
        <v>0.82485207800000004</v>
      </c>
      <c r="D22">
        <f t="shared" si="0"/>
        <v>-9.451872999999944E-3</v>
      </c>
      <c r="E22">
        <f t="shared" si="1"/>
        <v>9.451872999999944E-3</v>
      </c>
      <c r="F22">
        <f t="shared" si="2"/>
        <v>8.9337903208127947E-5</v>
      </c>
      <c r="I22">
        <v>0.83430395099999999</v>
      </c>
    </row>
    <row r="23" spans="1:47" x14ac:dyDescent="0.45">
      <c r="A23" t="s">
        <v>15</v>
      </c>
      <c r="B23">
        <v>0.91113608800000001</v>
      </c>
      <c r="C23">
        <v>0.886606644</v>
      </c>
      <c r="D23">
        <f t="shared" si="0"/>
        <v>-2.4529444000000011E-2</v>
      </c>
      <c r="E23">
        <f t="shared" si="1"/>
        <v>2.4529444000000011E-2</v>
      </c>
      <c r="F23">
        <f t="shared" si="2"/>
        <v>6.0169362294913654E-4</v>
      </c>
      <c r="I23">
        <v>0.91113608800000001</v>
      </c>
    </row>
    <row r="24" spans="1:47" x14ac:dyDescent="0.45">
      <c r="A24" t="s">
        <v>16</v>
      </c>
      <c r="B24">
        <v>0.64562756200000004</v>
      </c>
      <c r="C24">
        <v>0.62741683699999995</v>
      </c>
      <c r="D24">
        <f t="shared" si="0"/>
        <v>-1.8210725000000094E-2</v>
      </c>
      <c r="E24">
        <f t="shared" si="1"/>
        <v>1.8210725000000094E-2</v>
      </c>
      <c r="F24">
        <f t="shared" si="2"/>
        <v>3.3163050502562843E-4</v>
      </c>
      <c r="I24">
        <v>0.64562756200000004</v>
      </c>
    </row>
    <row r="25" spans="1:47" x14ac:dyDescent="0.45">
      <c r="A25" t="s">
        <v>17</v>
      </c>
      <c r="B25">
        <v>0.63755590799999995</v>
      </c>
      <c r="C25">
        <v>0.62431862699999996</v>
      </c>
      <c r="D25">
        <f t="shared" si="0"/>
        <v>-1.323728099999999E-2</v>
      </c>
      <c r="E25">
        <f t="shared" si="1"/>
        <v>1.323728099999999E-2</v>
      </c>
      <c r="F25">
        <f t="shared" si="2"/>
        <v>1.7522560827296072E-4</v>
      </c>
      <c r="I25">
        <v>0.63755590799999995</v>
      </c>
    </row>
    <row r="26" spans="1:47" x14ac:dyDescent="0.45">
      <c r="A26" t="s">
        <v>18</v>
      </c>
      <c r="B26">
        <v>0.65597046199999998</v>
      </c>
      <c r="C26">
        <v>0.62105735200000001</v>
      </c>
      <c r="D26">
        <f t="shared" si="0"/>
        <v>-3.4913109999999969E-2</v>
      </c>
      <c r="E26">
        <f t="shared" si="1"/>
        <v>3.4913109999999969E-2</v>
      </c>
      <c r="F26">
        <f t="shared" si="2"/>
        <v>1.2189252498720979E-3</v>
      </c>
      <c r="I26">
        <v>0.65597046199999998</v>
      </c>
    </row>
    <row r="27" spans="1:47" x14ac:dyDescent="0.45">
      <c r="A27" t="s">
        <v>19</v>
      </c>
      <c r="B27">
        <v>0.66615612199999996</v>
      </c>
      <c r="C27">
        <v>0.63327548499999997</v>
      </c>
      <c r="D27">
        <f t="shared" si="0"/>
        <v>-3.288063699999999E-2</v>
      </c>
      <c r="E27">
        <f t="shared" si="1"/>
        <v>3.288063699999999E-2</v>
      </c>
      <c r="F27">
        <f t="shared" si="2"/>
        <v>1.0811362895257683E-3</v>
      </c>
      <c r="I27">
        <v>0.66615612199999996</v>
      </c>
    </row>
    <row r="28" spans="1:47" x14ac:dyDescent="0.45">
      <c r="A28" t="s">
        <v>20</v>
      </c>
      <c r="B28">
        <v>0.68851914800000003</v>
      </c>
      <c r="C28">
        <v>0.67802483199999997</v>
      </c>
      <c r="D28">
        <f t="shared" si="0"/>
        <v>-1.0494316000000059E-2</v>
      </c>
      <c r="E28">
        <f t="shared" si="1"/>
        <v>1.0494316000000059E-2</v>
      </c>
      <c r="F28">
        <f t="shared" si="2"/>
        <v>1.1013066830785723E-4</v>
      </c>
      <c r="I28">
        <v>0.68851914800000003</v>
      </c>
    </row>
    <row r="29" spans="1:47" x14ac:dyDescent="0.45">
      <c r="A29" t="s">
        <v>21</v>
      </c>
      <c r="B29">
        <v>0.68386600799999997</v>
      </c>
      <c r="C29">
        <v>0.67530516200000001</v>
      </c>
      <c r="D29">
        <f t="shared" si="0"/>
        <v>-8.5608459999999553E-3</v>
      </c>
      <c r="E29">
        <f t="shared" si="1"/>
        <v>8.5608459999999553E-3</v>
      </c>
      <c r="F29">
        <f t="shared" si="2"/>
        <v>7.3288084235715239E-5</v>
      </c>
      <c r="I29">
        <v>0.68386600799999997</v>
      </c>
    </row>
    <row r="30" spans="1:47" x14ac:dyDescent="0.45">
      <c r="A30" t="s">
        <v>22</v>
      </c>
      <c r="B30">
        <v>0.71707859699999998</v>
      </c>
      <c r="C30">
        <v>0.69651509499999997</v>
      </c>
      <c r="D30">
        <f t="shared" si="0"/>
        <v>-2.0563502000000011E-2</v>
      </c>
      <c r="E30">
        <f t="shared" si="1"/>
        <v>2.0563502000000011E-2</v>
      </c>
      <c r="F30">
        <f t="shared" si="2"/>
        <v>4.2285761450400444E-4</v>
      </c>
      <c r="I30">
        <v>0.71707859699999998</v>
      </c>
    </row>
    <row r="31" spans="1:47" x14ac:dyDescent="0.45">
      <c r="A31" t="s">
        <v>23</v>
      </c>
      <c r="B31">
        <v>0.75224212599999996</v>
      </c>
      <c r="C31">
        <v>0.72121342700000002</v>
      </c>
      <c r="D31">
        <f t="shared" si="0"/>
        <v>-3.1028698999999937E-2</v>
      </c>
      <c r="E31">
        <f t="shared" si="1"/>
        <v>3.1028698999999937E-2</v>
      </c>
      <c r="F31">
        <f t="shared" si="2"/>
        <v>9.6278016163259717E-4</v>
      </c>
      <c r="I31">
        <v>0.75224212599999996</v>
      </c>
    </row>
    <row r="32" spans="1:47" x14ac:dyDescent="0.45">
      <c r="A32" t="s">
        <v>24</v>
      </c>
      <c r="B32">
        <v>0.72109695299999998</v>
      </c>
      <c r="C32">
        <v>0.69716152600000003</v>
      </c>
      <c r="D32">
        <f t="shared" si="0"/>
        <v>-2.3935426999999954E-2</v>
      </c>
      <c r="E32">
        <f t="shared" si="1"/>
        <v>2.3935426999999954E-2</v>
      </c>
      <c r="F32">
        <f t="shared" si="2"/>
        <v>5.7290466567232678E-4</v>
      </c>
      <c r="I32">
        <v>0.72109695299999998</v>
      </c>
    </row>
    <row r="33" spans="1:9" x14ac:dyDescent="0.45">
      <c r="A33" t="s">
        <v>25</v>
      </c>
      <c r="B33">
        <v>0.67959140900000004</v>
      </c>
      <c r="C33">
        <v>0.66589405499999998</v>
      </c>
      <c r="D33">
        <f t="shared" si="0"/>
        <v>-1.369735400000005E-2</v>
      </c>
      <c r="E33">
        <f t="shared" si="1"/>
        <v>1.369735400000005E-2</v>
      </c>
      <c r="F33">
        <f t="shared" si="2"/>
        <v>1.8761750660131738E-4</v>
      </c>
      <c r="I33">
        <v>0.67959140900000004</v>
      </c>
    </row>
    <row r="34" spans="1:9" x14ac:dyDescent="0.45">
      <c r="A34" t="s">
        <v>26</v>
      </c>
      <c r="B34">
        <v>0.75787364899999998</v>
      </c>
      <c r="C34">
        <v>0.86021361299999999</v>
      </c>
      <c r="D34">
        <f t="shared" si="0"/>
        <v>0.10233996400000001</v>
      </c>
      <c r="E34">
        <f t="shared" si="1"/>
        <v>0.10233996400000001</v>
      </c>
      <c r="F34">
        <f t="shared" si="2"/>
        <v>1.0473468231521297E-2</v>
      </c>
      <c r="I34">
        <v>0.75787364899999998</v>
      </c>
    </row>
    <row r="35" spans="1:9" x14ac:dyDescent="0.45">
      <c r="A35" t="s">
        <v>27</v>
      </c>
      <c r="B35">
        <v>0.73371109800000001</v>
      </c>
      <c r="C35">
        <v>0.74760645699999995</v>
      </c>
      <c r="D35">
        <f t="shared" si="0"/>
        <v>1.3895358999999941E-2</v>
      </c>
      <c r="E35">
        <f t="shared" si="1"/>
        <v>1.3895358999999941E-2</v>
      </c>
      <c r="F35">
        <f t="shared" si="2"/>
        <v>1.9308100173887933E-4</v>
      </c>
      <c r="I35">
        <v>0.73371109800000001</v>
      </c>
    </row>
    <row r="36" spans="1:9" x14ac:dyDescent="0.45">
      <c r="A36" t="s">
        <v>28</v>
      </c>
      <c r="B36">
        <v>0.72246552399999997</v>
      </c>
      <c r="C36">
        <v>0.74515467800000001</v>
      </c>
      <c r="D36">
        <f t="shared" si="0"/>
        <v>2.2689154000000045E-2</v>
      </c>
      <c r="E36">
        <f t="shared" si="1"/>
        <v>2.2689154000000045E-2</v>
      </c>
      <c r="F36">
        <f t="shared" si="2"/>
        <v>5.14797709235718E-4</v>
      </c>
      <c r="I36">
        <v>0.72246552399999997</v>
      </c>
    </row>
    <row r="37" spans="1:9" x14ac:dyDescent="0.45">
      <c r="A37" t="s">
        <v>126</v>
      </c>
      <c r="B37">
        <v>0.77480898200000003</v>
      </c>
      <c r="C37">
        <v>0.59941064099999997</v>
      </c>
      <c r="D37">
        <f t="shared" si="0"/>
        <v>-0.17539834100000007</v>
      </c>
      <c r="E37">
        <f t="shared" si="1"/>
        <v>0.17539834100000007</v>
      </c>
      <c r="F37">
        <f t="shared" si="2"/>
        <v>3.0764578025552304E-2</v>
      </c>
      <c r="I37">
        <v>0.77480898200000003</v>
      </c>
    </row>
    <row r="38" spans="1:9" x14ac:dyDescent="0.45">
      <c r="A38" t="s">
        <v>29</v>
      </c>
      <c r="B38">
        <v>0.700020965</v>
      </c>
      <c r="C38">
        <v>0.69384201499999998</v>
      </c>
      <c r="D38">
        <f t="shared" si="0"/>
        <v>-6.1789500000000164E-3</v>
      </c>
      <c r="E38">
        <f t="shared" si="1"/>
        <v>6.1789500000000164E-3</v>
      </c>
      <c r="F38">
        <f t="shared" si="2"/>
        <v>3.8179423102500201E-5</v>
      </c>
      <c r="I38">
        <v>0.700020965</v>
      </c>
    </row>
    <row r="39" spans="1:9" x14ac:dyDescent="0.45">
      <c r="A39" t="s">
        <v>30</v>
      </c>
      <c r="B39">
        <v>0.81648341400000002</v>
      </c>
      <c r="C39">
        <v>0.85020266499999997</v>
      </c>
      <c r="D39">
        <f t="shared" si="0"/>
        <v>3.371925099999995E-2</v>
      </c>
      <c r="E39">
        <f t="shared" si="1"/>
        <v>3.371925099999995E-2</v>
      </c>
      <c r="F39">
        <f t="shared" si="2"/>
        <v>1.1369878880009977E-3</v>
      </c>
      <c r="I39">
        <v>0.81648341400000002</v>
      </c>
    </row>
    <row r="40" spans="1:9" x14ac:dyDescent="0.45">
      <c r="A40" t="s">
        <v>31</v>
      </c>
      <c r="B40">
        <v>0.90763604200000003</v>
      </c>
      <c r="C40">
        <v>0.90431070599999996</v>
      </c>
      <c r="D40">
        <f t="shared" si="0"/>
        <v>-3.3253360000000676E-3</v>
      </c>
      <c r="E40">
        <f t="shared" si="1"/>
        <v>3.3253360000000676E-3</v>
      </c>
      <c r="F40">
        <f t="shared" si="2"/>
        <v>1.105785951289645E-5</v>
      </c>
      <c r="I40">
        <v>0.90763604200000003</v>
      </c>
    </row>
    <row r="41" spans="1:9" x14ac:dyDescent="0.45">
      <c r="A41" t="s">
        <v>127</v>
      </c>
      <c r="B41">
        <v>0.66760622400000003</v>
      </c>
      <c r="C41">
        <v>0.66502049900000004</v>
      </c>
      <c r="D41">
        <f t="shared" si="0"/>
        <v>-2.5857249999999832E-3</v>
      </c>
      <c r="E41">
        <f t="shared" si="1"/>
        <v>2.5857249999999832E-3</v>
      </c>
      <c r="F41">
        <f t="shared" si="2"/>
        <v>6.6859737756249132E-6</v>
      </c>
      <c r="I41">
        <v>0.66760622400000003</v>
      </c>
    </row>
    <row r="42" spans="1:9" x14ac:dyDescent="0.45">
      <c r="A42" t="s">
        <v>128</v>
      </c>
      <c r="B42">
        <v>0.74570210599999998</v>
      </c>
      <c r="C42">
        <v>0.73138161599999996</v>
      </c>
      <c r="D42">
        <f t="shared" si="0"/>
        <v>-1.4320490000000019E-2</v>
      </c>
      <c r="E42">
        <f t="shared" si="1"/>
        <v>1.4320490000000019E-2</v>
      </c>
      <c r="F42">
        <f t="shared" si="2"/>
        <v>2.0507643384010054E-4</v>
      </c>
      <c r="I42">
        <v>0.74570210599999998</v>
      </c>
    </row>
    <row r="43" spans="1:9" x14ac:dyDescent="0.45">
      <c r="A43" t="s">
        <v>32</v>
      </c>
      <c r="B43">
        <v>0.86887346300000001</v>
      </c>
      <c r="C43">
        <v>0.85272432899999995</v>
      </c>
      <c r="D43">
        <f t="shared" si="0"/>
        <v>-1.6149134000000065E-2</v>
      </c>
      <c r="E43">
        <f t="shared" si="1"/>
        <v>1.6149134000000065E-2</v>
      </c>
      <c r="F43">
        <f t="shared" si="2"/>
        <v>2.6079452894995812E-4</v>
      </c>
      <c r="I43">
        <v>0.86887346300000001</v>
      </c>
    </row>
    <row r="44" spans="1:9" x14ac:dyDescent="0.45">
      <c r="A44" t="s">
        <v>33</v>
      </c>
      <c r="B44">
        <v>0.88669399900000001</v>
      </c>
      <c r="C44">
        <v>0.86954901200000001</v>
      </c>
      <c r="D44">
        <f t="shared" si="0"/>
        <v>-1.7144987E-2</v>
      </c>
      <c r="E44">
        <f t="shared" si="1"/>
        <v>1.7144987E-2</v>
      </c>
      <c r="F44">
        <f t="shared" si="2"/>
        <v>2.93950579230169E-4</v>
      </c>
      <c r="I44">
        <v>0.88669399900000001</v>
      </c>
    </row>
    <row r="45" spans="1:9" x14ac:dyDescent="0.45">
      <c r="A45" t="s">
        <v>34</v>
      </c>
      <c r="B45">
        <v>0.90636064999999999</v>
      </c>
      <c r="C45">
        <v>0.94929882600000004</v>
      </c>
      <c r="D45">
        <f t="shared" si="0"/>
        <v>4.293817600000005E-2</v>
      </c>
      <c r="E45">
        <f t="shared" si="1"/>
        <v>4.293817600000005E-2</v>
      </c>
      <c r="F45">
        <f t="shared" si="2"/>
        <v>1.8436869582069803E-3</v>
      </c>
      <c r="I45">
        <v>0.90636064999999999</v>
      </c>
    </row>
    <row r="46" spans="1:9" x14ac:dyDescent="0.45">
      <c r="A46" t="s">
        <v>35</v>
      </c>
      <c r="B46">
        <v>0.87295588000000002</v>
      </c>
      <c r="C46">
        <v>0.85473933099999999</v>
      </c>
      <c r="D46">
        <f t="shared" si="0"/>
        <v>-1.8216549000000026E-2</v>
      </c>
      <c r="E46">
        <f t="shared" si="1"/>
        <v>1.8216549000000026E-2</v>
      </c>
      <c r="F46">
        <f t="shared" si="2"/>
        <v>3.3184265746940194E-4</v>
      </c>
      <c r="I46">
        <v>0.87295588000000002</v>
      </c>
    </row>
    <row r="47" spans="1:9" x14ac:dyDescent="0.45">
      <c r="A47" t="s">
        <v>36</v>
      </c>
      <c r="B47">
        <v>0.72575591699999997</v>
      </c>
      <c r="C47">
        <v>0.71143542699999995</v>
      </c>
      <c r="D47">
        <f t="shared" si="0"/>
        <v>-1.4320490000000019E-2</v>
      </c>
      <c r="E47">
        <f t="shared" si="1"/>
        <v>1.4320490000000019E-2</v>
      </c>
      <c r="F47">
        <f t="shared" si="2"/>
        <v>2.0507643384010054E-4</v>
      </c>
      <c r="I47">
        <v>0.72575591699999997</v>
      </c>
    </row>
    <row r="48" spans="1:9" x14ac:dyDescent="0.45">
      <c r="A48" t="s">
        <v>37</v>
      </c>
      <c r="B48">
        <v>0.79704388699999995</v>
      </c>
      <c r="C48">
        <v>0.78243803599999995</v>
      </c>
      <c r="D48">
        <f t="shared" si="0"/>
        <v>-1.4605851000000003E-2</v>
      </c>
      <c r="E48">
        <f t="shared" si="1"/>
        <v>1.4605851000000003E-2</v>
      </c>
      <c r="F48">
        <f t="shared" si="2"/>
        <v>2.1333088343420108E-4</v>
      </c>
      <c r="I48">
        <v>0.79704388699999995</v>
      </c>
    </row>
    <row r="49" spans="1:9" x14ac:dyDescent="0.45">
      <c r="A49" t="s">
        <v>38</v>
      </c>
      <c r="B49">
        <v>0.74596999600000002</v>
      </c>
      <c r="C49">
        <v>0.72166185199999999</v>
      </c>
      <c r="D49">
        <f t="shared" si="0"/>
        <v>-2.4308144000000032E-2</v>
      </c>
      <c r="E49">
        <f t="shared" si="1"/>
        <v>2.4308144000000032E-2</v>
      </c>
      <c r="F49">
        <f t="shared" si="2"/>
        <v>5.9088586472473754E-4</v>
      </c>
      <c r="I49">
        <v>0.74596999600000002</v>
      </c>
    </row>
    <row r="50" spans="1:9" x14ac:dyDescent="0.45">
      <c r="A50" t="s">
        <v>39</v>
      </c>
      <c r="B50">
        <v>0.73245317700000001</v>
      </c>
      <c r="C50">
        <v>0.72113189499999997</v>
      </c>
      <c r="D50">
        <f t="shared" si="0"/>
        <v>-1.1321282000000044E-2</v>
      </c>
      <c r="E50">
        <f t="shared" si="1"/>
        <v>1.1321282000000044E-2</v>
      </c>
      <c r="F50">
        <f t="shared" si="2"/>
        <v>1.2817142612352498E-4</v>
      </c>
      <c r="I50">
        <v>0.73245317700000001</v>
      </c>
    </row>
    <row r="51" spans="1:9" x14ac:dyDescent="0.45">
      <c r="A51" t="s">
        <v>40</v>
      </c>
      <c r="B51">
        <v>0.74874207999999998</v>
      </c>
      <c r="C51">
        <v>0.74113632100000004</v>
      </c>
      <c r="D51">
        <f t="shared" si="0"/>
        <v>-7.6057589999999342E-3</v>
      </c>
      <c r="E51">
        <f t="shared" si="1"/>
        <v>7.6057589999999342E-3</v>
      </c>
      <c r="F51">
        <f t="shared" si="2"/>
        <v>5.7847569966079999E-5</v>
      </c>
      <c r="I51">
        <v>0.74874207999999998</v>
      </c>
    </row>
    <row r="52" spans="1:9" x14ac:dyDescent="0.45">
      <c r="A52" t="s">
        <v>41</v>
      </c>
      <c r="B52">
        <v>0.76992871799999996</v>
      </c>
      <c r="C52">
        <v>0.75566646500000001</v>
      </c>
      <c r="D52">
        <f t="shared" si="0"/>
        <v>-1.4262252999999947E-2</v>
      </c>
      <c r="E52">
        <f t="shared" si="1"/>
        <v>1.4262252999999947E-2</v>
      </c>
      <c r="F52">
        <f t="shared" si="2"/>
        <v>2.034118606360075E-4</v>
      </c>
      <c r="I52">
        <v>0.76992871799999996</v>
      </c>
    </row>
    <row r="53" spans="1:9" x14ac:dyDescent="0.45">
      <c r="A53" t="s">
        <v>42</v>
      </c>
      <c r="B53">
        <v>0.74666301700000004</v>
      </c>
      <c r="C53">
        <v>0.72747390999999995</v>
      </c>
      <c r="D53">
        <f t="shared" si="0"/>
        <v>-1.9189107000000094E-2</v>
      </c>
      <c r="E53">
        <f t="shared" si="1"/>
        <v>1.9189107000000094E-2</v>
      </c>
      <c r="F53">
        <f t="shared" si="2"/>
        <v>3.6822182745745261E-4</v>
      </c>
      <c r="I53">
        <v>0.74666301700000004</v>
      </c>
    </row>
    <row r="54" spans="1:9" x14ac:dyDescent="0.45">
      <c r="A54" t="s">
        <v>43</v>
      </c>
      <c r="B54">
        <v>0.77278815700000003</v>
      </c>
      <c r="C54">
        <v>0.76063408499999996</v>
      </c>
      <c r="D54">
        <f t="shared" si="0"/>
        <v>-1.2154072000000071E-2</v>
      </c>
      <c r="E54">
        <f t="shared" si="1"/>
        <v>1.2154072000000071E-2</v>
      </c>
      <c r="F54">
        <f t="shared" si="2"/>
        <v>1.4772146618118574E-4</v>
      </c>
      <c r="I54">
        <v>0.77278815700000003</v>
      </c>
    </row>
    <row r="55" spans="1:9" x14ac:dyDescent="0.45">
      <c r="A55" t="s">
        <v>44</v>
      </c>
      <c r="B55">
        <v>0.78616520700000003</v>
      </c>
      <c r="C55">
        <v>0.76169982300000005</v>
      </c>
      <c r="D55">
        <f t="shared" si="0"/>
        <v>-2.4465383999999979E-2</v>
      </c>
      <c r="E55">
        <f t="shared" si="1"/>
        <v>2.4465383999999979E-2</v>
      </c>
      <c r="F55">
        <f t="shared" si="2"/>
        <v>5.9855501426745502E-4</v>
      </c>
      <c r="I55">
        <v>0.78616520700000003</v>
      </c>
    </row>
    <row r="56" spans="1:9" x14ac:dyDescent="0.45">
      <c r="A56" t="s">
        <v>45</v>
      </c>
      <c r="B56">
        <v>0.79324100799999997</v>
      </c>
      <c r="C56">
        <v>0.77475074499999996</v>
      </c>
      <c r="D56">
        <f t="shared" si="0"/>
        <v>-1.8490263000000007E-2</v>
      </c>
      <c r="E56">
        <f t="shared" si="1"/>
        <v>1.8490263000000007E-2</v>
      </c>
      <c r="F56">
        <f t="shared" si="2"/>
        <v>3.4188982580916926E-4</v>
      </c>
      <c r="I56">
        <v>0.79324100799999997</v>
      </c>
    </row>
    <row r="57" spans="1:9" x14ac:dyDescent="0.45">
      <c r="A57" t="s">
        <v>46</v>
      </c>
      <c r="B57">
        <v>0.62099911500000005</v>
      </c>
      <c r="C57">
        <v>0.68212472000000002</v>
      </c>
      <c r="D57">
        <f t="shared" si="0"/>
        <v>6.1125604999999972E-2</v>
      </c>
      <c r="E57">
        <f t="shared" si="1"/>
        <v>6.1125604999999972E-2</v>
      </c>
      <c r="F57">
        <f t="shared" si="2"/>
        <v>3.7363395866160214E-3</v>
      </c>
      <c r="I57">
        <v>0.62099911500000005</v>
      </c>
    </row>
    <row r="58" spans="1:9" x14ac:dyDescent="0.45">
      <c r="A58" t="s">
        <v>47</v>
      </c>
      <c r="B58">
        <v>0.80190668099999995</v>
      </c>
      <c r="C58">
        <v>0.77291627799999996</v>
      </c>
      <c r="D58">
        <f t="shared" si="0"/>
        <v>-2.8990402999999998E-2</v>
      </c>
      <c r="E58">
        <f t="shared" si="1"/>
        <v>2.8990402999999998E-2</v>
      </c>
      <c r="F58">
        <f t="shared" si="2"/>
        <v>8.4044346610240891E-4</v>
      </c>
      <c r="I58">
        <v>0.80190668099999995</v>
      </c>
    </row>
    <row r="59" spans="1:9" x14ac:dyDescent="0.45">
      <c r="A59" t="s">
        <v>48</v>
      </c>
      <c r="B59">
        <v>0.64928484900000005</v>
      </c>
      <c r="C59">
        <v>0.63299012300000002</v>
      </c>
      <c r="D59">
        <f t="shared" si="0"/>
        <v>-1.6294726000000037E-2</v>
      </c>
      <c r="E59">
        <f t="shared" si="1"/>
        <v>1.6294726000000037E-2</v>
      </c>
      <c r="F59">
        <f t="shared" si="2"/>
        <v>2.6551809541507722E-4</v>
      </c>
      <c r="I59">
        <v>0.64928484900000005</v>
      </c>
    </row>
    <row r="60" spans="1:9" x14ac:dyDescent="0.45">
      <c r="A60" t="s">
        <v>49</v>
      </c>
      <c r="B60">
        <v>0.87278699199999998</v>
      </c>
      <c r="C60">
        <v>0.85698145699999995</v>
      </c>
      <c r="D60">
        <f t="shared" si="0"/>
        <v>-1.5805535000000037E-2</v>
      </c>
      <c r="E60">
        <f t="shared" si="1"/>
        <v>1.5805535000000037E-2</v>
      </c>
      <c r="F60">
        <f t="shared" si="2"/>
        <v>2.4981493663622616E-4</v>
      </c>
      <c r="I60">
        <v>0.87278699199999998</v>
      </c>
    </row>
    <row r="61" spans="1:9" x14ac:dyDescent="0.45">
      <c r="A61" t="s">
        <v>50</v>
      </c>
      <c r="B61">
        <v>0.903763278</v>
      </c>
      <c r="C61">
        <v>0.83084466999999995</v>
      </c>
      <c r="D61">
        <f t="shared" si="0"/>
        <v>-7.2918608000000051E-2</v>
      </c>
      <c r="E61">
        <f t="shared" si="1"/>
        <v>7.2918608000000051E-2</v>
      </c>
      <c r="F61">
        <f t="shared" si="2"/>
        <v>5.3171233926576711E-3</v>
      </c>
      <c r="I61">
        <v>0.903763278</v>
      </c>
    </row>
    <row r="62" spans="1:9" x14ac:dyDescent="0.45">
      <c r="A62" t="s">
        <v>51</v>
      </c>
      <c r="B62">
        <v>0.82669819200000005</v>
      </c>
      <c r="C62">
        <v>0.80157473000000001</v>
      </c>
      <c r="D62">
        <f t="shared" si="0"/>
        <v>-2.5123462000000041E-2</v>
      </c>
      <c r="E62">
        <f t="shared" si="1"/>
        <v>2.5123462000000041E-2</v>
      </c>
      <c r="F62">
        <f t="shared" si="2"/>
        <v>6.3118834286544608E-4</v>
      </c>
      <c r="I62">
        <v>0.82669819200000005</v>
      </c>
    </row>
    <row r="63" spans="1:9" x14ac:dyDescent="0.45">
      <c r="A63" t="s">
        <v>52</v>
      </c>
      <c r="B63">
        <v>0.75810659700000005</v>
      </c>
      <c r="C63">
        <v>0.73808470000000004</v>
      </c>
      <c r="D63">
        <f t="shared" ref="D63:D126" si="3">(C63-B63)</f>
        <v>-2.0021897000000011E-2</v>
      </c>
      <c r="E63">
        <f t="shared" ref="E63:E126" si="4">ABS(D63)</f>
        <v>2.0021897000000011E-2</v>
      </c>
      <c r="F63">
        <f t="shared" ref="F63:F126" si="5">E63^2</f>
        <v>4.0087635947860941E-4</v>
      </c>
      <c r="I63">
        <v>0.75810659700000005</v>
      </c>
    </row>
    <row r="64" spans="1:9" x14ac:dyDescent="0.45">
      <c r="A64" t="s">
        <v>53</v>
      </c>
      <c r="B64">
        <v>0.76185123899999996</v>
      </c>
      <c r="C64">
        <v>0.74777534499999998</v>
      </c>
      <c r="D64">
        <f t="shared" si="3"/>
        <v>-1.4075893999999978E-2</v>
      </c>
      <c r="E64">
        <f t="shared" si="4"/>
        <v>1.4075893999999978E-2</v>
      </c>
      <c r="F64">
        <f t="shared" si="5"/>
        <v>1.9813079189923537E-4</v>
      </c>
      <c r="I64">
        <v>0.76185123899999996</v>
      </c>
    </row>
    <row r="65" spans="1:9" x14ac:dyDescent="0.45">
      <c r="A65" t="s">
        <v>129</v>
      </c>
      <c r="B65">
        <v>0.70848280799999996</v>
      </c>
      <c r="C65">
        <v>0.68404654300000001</v>
      </c>
      <c r="D65">
        <f t="shared" si="3"/>
        <v>-2.4436264999999957E-2</v>
      </c>
      <c r="E65">
        <f t="shared" si="4"/>
        <v>2.4436264999999957E-2</v>
      </c>
      <c r="F65">
        <f t="shared" si="5"/>
        <v>5.9713104715022295E-4</v>
      </c>
      <c r="I65">
        <v>0.70848280799999996</v>
      </c>
    </row>
    <row r="66" spans="1:9" x14ac:dyDescent="0.45">
      <c r="A66" t="s">
        <v>130</v>
      </c>
      <c r="B66">
        <v>0.775408824</v>
      </c>
      <c r="C66">
        <v>0.76373811999999996</v>
      </c>
      <c r="D66">
        <f t="shared" si="3"/>
        <v>-1.1670704000000032E-2</v>
      </c>
      <c r="E66">
        <f t="shared" si="4"/>
        <v>1.1670704000000032E-2</v>
      </c>
      <c r="F66">
        <f t="shared" si="5"/>
        <v>1.3620533185561675E-4</v>
      </c>
      <c r="I66">
        <v>0.775408824</v>
      </c>
    </row>
    <row r="67" spans="1:9" x14ac:dyDescent="0.45">
      <c r="A67" t="s">
        <v>54</v>
      </c>
      <c r="B67">
        <v>0.88777720800000004</v>
      </c>
      <c r="C67">
        <v>0.91037318300000003</v>
      </c>
      <c r="D67">
        <f t="shared" si="3"/>
        <v>2.259597499999999E-2</v>
      </c>
      <c r="E67">
        <f t="shared" si="4"/>
        <v>2.259597499999999E-2</v>
      </c>
      <c r="F67">
        <f t="shared" si="5"/>
        <v>5.1057808620062458E-4</v>
      </c>
      <c r="I67">
        <v>0.88777720800000004</v>
      </c>
    </row>
    <row r="68" spans="1:9" x14ac:dyDescent="0.45">
      <c r="A68" t="s">
        <v>55</v>
      </c>
      <c r="B68">
        <v>0.850621972</v>
      </c>
      <c r="C68">
        <v>0.84621925099999995</v>
      </c>
      <c r="D68">
        <f t="shared" si="3"/>
        <v>-4.4027210000000538E-3</v>
      </c>
      <c r="E68">
        <f t="shared" si="4"/>
        <v>4.4027210000000538E-3</v>
      </c>
      <c r="F68">
        <f t="shared" si="5"/>
        <v>1.9383952203841475E-5</v>
      </c>
      <c r="I68">
        <v>0.850621972</v>
      </c>
    </row>
    <row r="69" spans="1:9" x14ac:dyDescent="0.45">
      <c r="A69" t="s">
        <v>56</v>
      </c>
      <c r="B69">
        <v>0.85243896799999996</v>
      </c>
      <c r="C69">
        <v>0.85247973399999999</v>
      </c>
      <c r="D69">
        <f t="shared" si="3"/>
        <v>4.0766000000025393E-5</v>
      </c>
      <c r="E69">
        <f t="shared" si="4"/>
        <v>4.0766000000025393E-5</v>
      </c>
      <c r="F69">
        <f t="shared" si="5"/>
        <v>1.6618667560020703E-9</v>
      </c>
      <c r="I69">
        <v>0.85243896799999996</v>
      </c>
    </row>
    <row r="70" spans="1:9" x14ac:dyDescent="0.45">
      <c r="A70" t="s">
        <v>57</v>
      </c>
      <c r="B70">
        <v>0.86712635100000002</v>
      </c>
      <c r="C70">
        <v>0.84815854499999999</v>
      </c>
      <c r="D70">
        <f t="shared" si="3"/>
        <v>-1.8967806000000031E-2</v>
      </c>
      <c r="E70">
        <f t="shared" si="4"/>
        <v>1.8967806000000031E-2</v>
      </c>
      <c r="F70">
        <f t="shared" si="5"/>
        <v>3.5977766445363722E-4</v>
      </c>
      <c r="I70">
        <v>0.86712635100000002</v>
      </c>
    </row>
    <row r="71" spans="1:9" x14ac:dyDescent="0.45">
      <c r="A71" t="s">
        <v>58</v>
      </c>
      <c r="B71">
        <v>0.65060682999999997</v>
      </c>
      <c r="C71">
        <v>0.63320560000000004</v>
      </c>
      <c r="D71">
        <f t="shared" si="3"/>
        <v>-1.7401229999999934E-2</v>
      </c>
      <c r="E71">
        <f t="shared" si="4"/>
        <v>1.7401229999999934E-2</v>
      </c>
      <c r="F71">
        <f t="shared" si="5"/>
        <v>3.0280280551289772E-4</v>
      </c>
      <c r="I71">
        <v>0.65060682999999997</v>
      </c>
    </row>
    <row r="72" spans="1:9" x14ac:dyDescent="0.45">
      <c r="A72" t="s">
        <v>131</v>
      </c>
      <c r="B72">
        <v>0.786287505</v>
      </c>
      <c r="C72">
        <v>0.765374581</v>
      </c>
      <c r="D72">
        <f t="shared" si="3"/>
        <v>-2.0912923999999999E-2</v>
      </c>
      <c r="E72">
        <f t="shared" si="4"/>
        <v>2.0912923999999999E-2</v>
      </c>
      <c r="F72">
        <f t="shared" si="5"/>
        <v>4.3735039022977599E-4</v>
      </c>
      <c r="I72">
        <v>0.786287505</v>
      </c>
    </row>
    <row r="73" spans="1:9" x14ac:dyDescent="0.45">
      <c r="A73" t="s">
        <v>132</v>
      </c>
      <c r="B73">
        <v>0.72523178300000002</v>
      </c>
      <c r="C73">
        <v>0.71075987699999998</v>
      </c>
      <c r="D73">
        <f t="shared" si="3"/>
        <v>-1.4471906000000034E-2</v>
      </c>
      <c r="E73">
        <f t="shared" si="4"/>
        <v>1.4471906000000034E-2</v>
      </c>
      <c r="F73">
        <f t="shared" si="5"/>
        <v>2.0943606327283699E-4</v>
      </c>
      <c r="I73">
        <v>0.72523178300000002</v>
      </c>
    </row>
    <row r="74" spans="1:9" x14ac:dyDescent="0.45">
      <c r="A74" t="s">
        <v>133</v>
      </c>
      <c r="B74">
        <v>0.77829155800000005</v>
      </c>
      <c r="C74">
        <v>0.76883968499999999</v>
      </c>
      <c r="D74">
        <f t="shared" si="3"/>
        <v>-9.451873000000055E-3</v>
      </c>
      <c r="E74">
        <f t="shared" si="4"/>
        <v>9.451873000000055E-3</v>
      </c>
      <c r="F74">
        <f t="shared" si="5"/>
        <v>8.9337903208130034E-5</v>
      </c>
      <c r="I74">
        <v>0.77829155800000005</v>
      </c>
    </row>
    <row r="75" spans="1:9" x14ac:dyDescent="0.45">
      <c r="A75" t="s">
        <v>59</v>
      </c>
      <c r="B75">
        <v>0.81942438500000003</v>
      </c>
      <c r="C75">
        <v>0.83561428400000004</v>
      </c>
      <c r="D75">
        <f t="shared" si="3"/>
        <v>1.6189899000000008E-2</v>
      </c>
      <c r="E75">
        <f t="shared" si="4"/>
        <v>1.6189899000000008E-2</v>
      </c>
      <c r="F75">
        <f t="shared" si="5"/>
        <v>2.6211282963020124E-4</v>
      </c>
      <c r="I75">
        <v>0.81942438500000003</v>
      </c>
    </row>
    <row r="76" spans="1:9" x14ac:dyDescent="0.45">
      <c r="A76" t="s">
        <v>60</v>
      </c>
      <c r="B76">
        <v>0.83909103600000001</v>
      </c>
      <c r="C76">
        <v>0.81811405100000001</v>
      </c>
      <c r="D76">
        <f t="shared" si="3"/>
        <v>-2.0976985000000004E-2</v>
      </c>
      <c r="E76">
        <f t="shared" si="4"/>
        <v>2.0976985000000004E-2</v>
      </c>
      <c r="F76">
        <f t="shared" si="5"/>
        <v>4.4003389969022515E-4</v>
      </c>
      <c r="I76">
        <v>0.83909103600000001</v>
      </c>
    </row>
    <row r="77" spans="1:9" x14ac:dyDescent="0.45">
      <c r="A77" t="s">
        <v>61</v>
      </c>
      <c r="B77">
        <v>0.86098234299999998</v>
      </c>
      <c r="C77">
        <v>0.84476332499999995</v>
      </c>
      <c r="D77">
        <f t="shared" si="3"/>
        <v>-1.6219018000000029E-2</v>
      </c>
      <c r="E77">
        <f t="shared" si="4"/>
        <v>1.6219018000000029E-2</v>
      </c>
      <c r="F77">
        <f t="shared" si="5"/>
        <v>2.6305654488432495E-4</v>
      </c>
      <c r="I77">
        <v>0.86098234299999998</v>
      </c>
    </row>
    <row r="78" spans="1:9" x14ac:dyDescent="0.45">
      <c r="A78" t="s">
        <v>62</v>
      </c>
      <c r="B78">
        <v>0.87024785699999996</v>
      </c>
      <c r="C78">
        <v>0.83861349200000002</v>
      </c>
      <c r="D78">
        <f t="shared" si="3"/>
        <v>-3.1634364999999942E-2</v>
      </c>
      <c r="E78">
        <f t="shared" si="4"/>
        <v>3.1634364999999942E-2</v>
      </c>
      <c r="F78">
        <f t="shared" si="5"/>
        <v>1.0007330489532214E-3</v>
      </c>
      <c r="I78">
        <v>0.87024785699999996</v>
      </c>
    </row>
    <row r="79" spans="1:9" x14ac:dyDescent="0.45">
      <c r="A79" t="s">
        <v>63</v>
      </c>
      <c r="B79">
        <v>0.82316902700000005</v>
      </c>
      <c r="C79">
        <v>0.796397456</v>
      </c>
      <c r="D79">
        <f t="shared" si="3"/>
        <v>-2.677157100000005E-2</v>
      </c>
      <c r="E79">
        <f t="shared" si="4"/>
        <v>2.677157100000005E-2</v>
      </c>
      <c r="F79">
        <f t="shared" si="5"/>
        <v>7.1671701380804365E-4</v>
      </c>
      <c r="I79">
        <v>0.82316902700000005</v>
      </c>
    </row>
    <row r="80" spans="1:9" x14ac:dyDescent="0.45">
      <c r="A80" t="s">
        <v>64</v>
      </c>
      <c r="B80">
        <v>0.88788203499999996</v>
      </c>
      <c r="C80">
        <v>0.87262975200000004</v>
      </c>
      <c r="D80">
        <f t="shared" si="3"/>
        <v>-1.5252282999999922E-2</v>
      </c>
      <c r="E80">
        <f t="shared" si="4"/>
        <v>1.5252282999999922E-2</v>
      </c>
      <c r="F80">
        <f t="shared" si="5"/>
        <v>2.3263213671208662E-4</v>
      </c>
      <c r="I80">
        <v>0.88788203499999996</v>
      </c>
    </row>
    <row r="81" spans="1:9" x14ac:dyDescent="0.45">
      <c r="A81" t="s">
        <v>65</v>
      </c>
      <c r="B81">
        <v>0.91825265599999994</v>
      </c>
      <c r="C81">
        <v>0.87823215600000004</v>
      </c>
      <c r="D81">
        <f t="shared" si="3"/>
        <v>-4.0020499999999903E-2</v>
      </c>
      <c r="E81">
        <f t="shared" si="4"/>
        <v>4.0020499999999903E-2</v>
      </c>
      <c r="F81">
        <f t="shared" si="5"/>
        <v>1.6016404202499922E-3</v>
      </c>
      <c r="I81">
        <v>0.91825265599999994</v>
      </c>
    </row>
    <row r="82" spans="1:9" x14ac:dyDescent="0.45">
      <c r="A82" t="s">
        <v>66</v>
      </c>
      <c r="B82">
        <v>0.84908451399999996</v>
      </c>
      <c r="C82">
        <v>0.84120504100000004</v>
      </c>
      <c r="D82">
        <f t="shared" si="3"/>
        <v>-7.8794729999999147E-3</v>
      </c>
      <c r="E82">
        <f t="shared" si="4"/>
        <v>7.8794729999999147E-3</v>
      </c>
      <c r="F82">
        <f t="shared" si="5"/>
        <v>6.2086094757727653E-5</v>
      </c>
      <c r="I82">
        <v>0.84908451399999996</v>
      </c>
    </row>
    <row r="83" spans="1:9" x14ac:dyDescent="0.45">
      <c r="A83" t="s">
        <v>67</v>
      </c>
      <c r="B83">
        <v>0.76151928800000002</v>
      </c>
      <c r="C83">
        <v>0.75041348299999999</v>
      </c>
      <c r="D83">
        <f t="shared" si="3"/>
        <v>-1.1105805000000024E-2</v>
      </c>
      <c r="E83">
        <f t="shared" si="4"/>
        <v>1.1105805000000024E-2</v>
      </c>
      <c r="F83">
        <f t="shared" si="5"/>
        <v>1.2333890469802552E-4</v>
      </c>
      <c r="I83">
        <v>0.76151928800000002</v>
      </c>
    </row>
    <row r="84" spans="1:9" x14ac:dyDescent="0.45">
      <c r="A84" t="s">
        <v>134</v>
      </c>
      <c r="B84">
        <v>0.77855944799999999</v>
      </c>
      <c r="C84">
        <v>0.73737420799999998</v>
      </c>
      <c r="D84">
        <f t="shared" si="3"/>
        <v>-4.1185240000000012E-2</v>
      </c>
      <c r="E84">
        <f t="shared" si="4"/>
        <v>4.1185240000000012E-2</v>
      </c>
      <c r="F84">
        <f t="shared" si="5"/>
        <v>1.696223993857601E-3</v>
      </c>
      <c r="I84">
        <v>0.77855944799999999</v>
      </c>
    </row>
    <row r="85" spans="1:9" x14ac:dyDescent="0.45">
      <c r="A85" t="s">
        <v>135</v>
      </c>
      <c r="B85">
        <v>0.802098863</v>
      </c>
      <c r="C85">
        <v>0.79921030599999998</v>
      </c>
      <c r="D85">
        <f t="shared" si="3"/>
        <v>-2.8885570000000138E-3</v>
      </c>
      <c r="E85">
        <f t="shared" si="4"/>
        <v>2.8885570000000138E-3</v>
      </c>
      <c r="F85">
        <f t="shared" si="5"/>
        <v>8.3437615422490795E-6</v>
      </c>
      <c r="I85">
        <v>0.802098863</v>
      </c>
    </row>
    <row r="86" spans="1:9" x14ac:dyDescent="0.45">
      <c r="A86" t="s">
        <v>136</v>
      </c>
      <c r="B86">
        <v>0.81647758999999998</v>
      </c>
      <c r="C86">
        <v>0.795290952</v>
      </c>
      <c r="D86">
        <f t="shared" si="3"/>
        <v>-2.118663799999998E-2</v>
      </c>
      <c r="E86">
        <f t="shared" si="4"/>
        <v>2.118663799999998E-2</v>
      </c>
      <c r="F86">
        <f t="shared" si="5"/>
        <v>4.4887362974304316E-4</v>
      </c>
      <c r="I86">
        <v>0.81647758999999998</v>
      </c>
    </row>
    <row r="87" spans="1:9" x14ac:dyDescent="0.45">
      <c r="A87" t="s">
        <v>137</v>
      </c>
      <c r="B87">
        <v>0.75137439399999995</v>
      </c>
      <c r="C87">
        <v>0.73449729799999997</v>
      </c>
      <c r="D87">
        <f t="shared" si="3"/>
        <v>-1.687709599999998E-2</v>
      </c>
      <c r="E87">
        <f t="shared" si="4"/>
        <v>1.687709599999998E-2</v>
      </c>
      <c r="F87">
        <f t="shared" si="5"/>
        <v>2.8483636939321535E-4</v>
      </c>
      <c r="I87">
        <v>0.75137439399999995</v>
      </c>
    </row>
    <row r="88" spans="1:9" x14ac:dyDescent="0.45">
      <c r="A88" t="s">
        <v>138</v>
      </c>
      <c r="B88">
        <v>0.82678554800000004</v>
      </c>
      <c r="C88">
        <v>0.79831345499999995</v>
      </c>
      <c r="D88">
        <f t="shared" si="3"/>
        <v>-2.8472093000000087E-2</v>
      </c>
      <c r="E88">
        <f t="shared" si="4"/>
        <v>2.8472093000000087E-2</v>
      </c>
      <c r="F88">
        <f t="shared" si="5"/>
        <v>8.1066007980065398E-4</v>
      </c>
      <c r="I88">
        <v>0.82678554800000004</v>
      </c>
    </row>
    <row r="89" spans="1:9" x14ac:dyDescent="0.45">
      <c r="A89" t="s">
        <v>68</v>
      </c>
      <c r="B89">
        <v>0.95056839400000004</v>
      </c>
      <c r="C89">
        <v>0.92039577900000002</v>
      </c>
      <c r="D89">
        <f t="shared" si="3"/>
        <v>-3.0172615000000014E-2</v>
      </c>
      <c r="E89">
        <f t="shared" si="4"/>
        <v>3.0172615000000014E-2</v>
      </c>
      <c r="F89">
        <f t="shared" si="5"/>
        <v>9.1038669593822578E-4</v>
      </c>
      <c r="I89">
        <v>0.95056839400000004</v>
      </c>
    </row>
    <row r="90" spans="1:9" x14ac:dyDescent="0.45">
      <c r="A90" t="s">
        <v>69</v>
      </c>
      <c r="B90">
        <v>0.64634387800000004</v>
      </c>
      <c r="C90">
        <v>0.62856993100000003</v>
      </c>
      <c r="D90">
        <f t="shared" si="3"/>
        <v>-1.7773947000000012E-2</v>
      </c>
      <c r="E90">
        <f t="shared" si="4"/>
        <v>1.7773947000000012E-2</v>
      </c>
      <c r="F90">
        <f t="shared" si="5"/>
        <v>3.1591319195880944E-4</v>
      </c>
      <c r="I90">
        <v>0.64634387800000004</v>
      </c>
    </row>
    <row r="91" spans="1:9" x14ac:dyDescent="0.45">
      <c r="A91" t="s">
        <v>70</v>
      </c>
      <c r="B91">
        <v>0.65857948200000005</v>
      </c>
      <c r="C91">
        <v>0.62368966599999998</v>
      </c>
      <c r="D91">
        <f t="shared" si="3"/>
        <v>-3.4889816000000073E-2</v>
      </c>
      <c r="E91">
        <f t="shared" si="4"/>
        <v>3.4889816000000073E-2</v>
      </c>
      <c r="F91">
        <f t="shared" si="5"/>
        <v>1.2172992605138612E-3</v>
      </c>
      <c r="I91">
        <v>0.65857948200000005</v>
      </c>
    </row>
    <row r="92" spans="1:9" x14ac:dyDescent="0.45">
      <c r="A92" t="s">
        <v>71</v>
      </c>
      <c r="B92">
        <v>0.63394521100000001</v>
      </c>
      <c r="C92">
        <v>0.62154654300000001</v>
      </c>
      <c r="D92">
        <f t="shared" si="3"/>
        <v>-1.2398668000000002E-2</v>
      </c>
      <c r="E92">
        <f t="shared" si="4"/>
        <v>1.2398668000000002E-2</v>
      </c>
      <c r="F92">
        <f t="shared" si="5"/>
        <v>1.5372696817422403E-4</v>
      </c>
      <c r="I92">
        <v>0.63394521100000001</v>
      </c>
    </row>
    <row r="93" spans="1:9" x14ac:dyDescent="0.45">
      <c r="A93" t="s">
        <v>72</v>
      </c>
      <c r="B93">
        <v>0.66852637000000004</v>
      </c>
      <c r="C93">
        <v>0.64157426399999995</v>
      </c>
      <c r="D93">
        <f t="shared" si="3"/>
        <v>-2.6952106000000087E-2</v>
      </c>
      <c r="E93">
        <f t="shared" si="4"/>
        <v>2.6952106000000087E-2</v>
      </c>
      <c r="F93">
        <f t="shared" si="5"/>
        <v>7.2641601783524068E-4</v>
      </c>
      <c r="I93">
        <v>0.66852637000000004</v>
      </c>
    </row>
    <row r="94" spans="1:9" x14ac:dyDescent="0.45">
      <c r="A94" t="s">
        <v>73</v>
      </c>
      <c r="B94">
        <v>0.69392936999999999</v>
      </c>
      <c r="C94">
        <v>0.68631196400000005</v>
      </c>
      <c r="D94">
        <f t="shared" si="3"/>
        <v>-7.6174059999999377E-3</v>
      </c>
      <c r="E94">
        <f t="shared" si="4"/>
        <v>7.6174059999999377E-3</v>
      </c>
      <c r="F94">
        <f t="shared" si="5"/>
        <v>5.8024874168835048E-5</v>
      </c>
      <c r="I94">
        <v>0.69392936999999999</v>
      </c>
    </row>
    <row r="95" spans="1:9" x14ac:dyDescent="0.45">
      <c r="A95" t="s">
        <v>74</v>
      </c>
      <c r="B95">
        <v>0.68295168699999997</v>
      </c>
      <c r="C95">
        <v>0.67702897900000003</v>
      </c>
      <c r="D95">
        <f t="shared" si="3"/>
        <v>-5.9227079999999432E-3</v>
      </c>
      <c r="E95">
        <f t="shared" si="4"/>
        <v>5.9227079999999432E-3</v>
      </c>
      <c r="F95">
        <f t="shared" si="5"/>
        <v>3.5078470053263327E-5</v>
      </c>
      <c r="I95">
        <v>0.68295168699999997</v>
      </c>
    </row>
    <row r="96" spans="1:9" x14ac:dyDescent="0.45">
      <c r="A96" t="s">
        <v>75</v>
      </c>
      <c r="B96">
        <v>0.72176667900000002</v>
      </c>
      <c r="C96">
        <v>0.70826733100000006</v>
      </c>
      <c r="D96">
        <f t="shared" si="3"/>
        <v>-1.3499347999999967E-2</v>
      </c>
      <c r="E96">
        <f t="shared" si="4"/>
        <v>1.3499347999999967E-2</v>
      </c>
      <c r="F96">
        <f t="shared" si="5"/>
        <v>1.8223239642510311E-4</v>
      </c>
      <c r="I96">
        <v>0.72176667900000002</v>
      </c>
    </row>
    <row r="97" spans="1:9" x14ac:dyDescent="0.45">
      <c r="A97" t="s">
        <v>76</v>
      </c>
      <c r="B97">
        <v>0.679964126</v>
      </c>
      <c r="C97">
        <v>0.65804952500000002</v>
      </c>
      <c r="D97">
        <f t="shared" si="3"/>
        <v>-2.1914600999999978E-2</v>
      </c>
      <c r="E97">
        <f t="shared" si="4"/>
        <v>2.1914600999999978E-2</v>
      </c>
      <c r="F97">
        <f t="shared" si="5"/>
        <v>4.8024973698920006E-4</v>
      </c>
      <c r="I97">
        <v>0.679964126</v>
      </c>
    </row>
    <row r="98" spans="1:9" x14ac:dyDescent="0.45">
      <c r="A98" t="s">
        <v>77</v>
      </c>
      <c r="B98">
        <v>0.69477963099999995</v>
      </c>
      <c r="C98">
        <v>0.69733623700000003</v>
      </c>
      <c r="D98">
        <f t="shared" si="3"/>
        <v>2.5566060000000723E-3</v>
      </c>
      <c r="E98">
        <f t="shared" si="4"/>
        <v>2.5566060000000723E-3</v>
      </c>
      <c r="F98">
        <f t="shared" si="5"/>
        <v>6.53623423923637E-6</v>
      </c>
      <c r="I98">
        <v>0.69477963099999995</v>
      </c>
    </row>
    <row r="99" spans="1:9" x14ac:dyDescent="0.45">
      <c r="A99" t="s">
        <v>78</v>
      </c>
      <c r="B99">
        <v>0.71717759999999997</v>
      </c>
      <c r="C99">
        <v>0.72079411999999998</v>
      </c>
      <c r="D99">
        <f t="shared" si="3"/>
        <v>3.6165200000000119E-3</v>
      </c>
      <c r="E99">
        <f t="shared" si="4"/>
        <v>3.6165200000000119E-3</v>
      </c>
      <c r="F99">
        <f t="shared" si="5"/>
        <v>1.3079216910400086E-5</v>
      </c>
      <c r="I99">
        <v>0.71717759999999997</v>
      </c>
    </row>
    <row r="100" spans="1:9" x14ac:dyDescent="0.45">
      <c r="A100" t="s">
        <v>79</v>
      </c>
      <c r="B100">
        <v>0.84132151499999996</v>
      </c>
      <c r="C100">
        <v>0.82347186000000006</v>
      </c>
      <c r="D100">
        <f t="shared" si="3"/>
        <v>-1.7849654999999909E-2</v>
      </c>
      <c r="E100">
        <f t="shared" si="4"/>
        <v>1.7849654999999909E-2</v>
      </c>
      <c r="F100">
        <f t="shared" si="5"/>
        <v>3.1861018361902172E-4</v>
      </c>
      <c r="I100">
        <v>0.84132151499999996</v>
      </c>
    </row>
    <row r="101" spans="1:9" x14ac:dyDescent="0.45">
      <c r="A101" t="s">
        <v>80</v>
      </c>
      <c r="B101">
        <v>0.80590756600000002</v>
      </c>
      <c r="C101">
        <v>0.76271314800000001</v>
      </c>
      <c r="D101">
        <f t="shared" si="3"/>
        <v>-4.3194418000000012E-2</v>
      </c>
      <c r="E101">
        <f t="shared" si="4"/>
        <v>4.3194418000000012E-2</v>
      </c>
      <c r="F101">
        <f t="shared" si="5"/>
        <v>1.865757746358725E-3</v>
      </c>
      <c r="I101">
        <v>0.80590756600000002</v>
      </c>
    </row>
    <row r="102" spans="1:9" x14ac:dyDescent="0.45">
      <c r="A102" t="s">
        <v>81</v>
      </c>
      <c r="B102">
        <v>0.829709048</v>
      </c>
      <c r="C102">
        <v>0.80548825899999998</v>
      </c>
      <c r="D102">
        <f t="shared" si="3"/>
        <v>-2.422078900000002E-2</v>
      </c>
      <c r="E102">
        <f t="shared" si="4"/>
        <v>2.422078900000002E-2</v>
      </c>
      <c r="F102">
        <f t="shared" si="5"/>
        <v>5.8664661978252198E-4</v>
      </c>
      <c r="I102">
        <v>0.829709048</v>
      </c>
    </row>
    <row r="103" spans="1:9" x14ac:dyDescent="0.45">
      <c r="A103" t="s">
        <v>82</v>
      </c>
      <c r="B103">
        <v>0.76281797399999995</v>
      </c>
      <c r="C103">
        <v>0.78463357199999995</v>
      </c>
      <c r="D103">
        <f t="shared" si="3"/>
        <v>2.1815597999999992E-2</v>
      </c>
      <c r="E103">
        <f t="shared" si="4"/>
        <v>2.1815597999999992E-2</v>
      </c>
      <c r="F103">
        <f t="shared" si="5"/>
        <v>4.7592031609760361E-4</v>
      </c>
      <c r="I103">
        <v>0.76281797399999995</v>
      </c>
    </row>
    <row r="104" spans="1:9" x14ac:dyDescent="0.45">
      <c r="A104" t="s">
        <v>83</v>
      </c>
      <c r="B104">
        <v>0.70683470000000004</v>
      </c>
      <c r="C104">
        <v>0.76580553500000004</v>
      </c>
      <c r="D104">
        <f t="shared" si="3"/>
        <v>5.8970834999999999E-2</v>
      </c>
      <c r="E104">
        <f t="shared" si="4"/>
        <v>5.8970834999999999E-2</v>
      </c>
      <c r="F104">
        <f t="shared" si="5"/>
        <v>3.477559380597225E-3</v>
      </c>
      <c r="I104">
        <v>0.70683470000000004</v>
      </c>
    </row>
    <row r="105" spans="1:9" x14ac:dyDescent="0.45">
      <c r="A105" t="s">
        <v>84</v>
      </c>
      <c r="B105">
        <v>0.90034476299999999</v>
      </c>
      <c r="C105">
        <v>0.90779910500000005</v>
      </c>
      <c r="D105">
        <f t="shared" si="3"/>
        <v>7.4543420000000582E-3</v>
      </c>
      <c r="E105">
        <f t="shared" si="4"/>
        <v>7.4543420000000582E-3</v>
      </c>
      <c r="F105">
        <f t="shared" si="5"/>
        <v>5.5567214652964869E-5</v>
      </c>
      <c r="I105">
        <v>0.90034476299999999</v>
      </c>
    </row>
    <row r="106" spans="1:9" x14ac:dyDescent="0.45">
      <c r="A106" t="s">
        <v>139</v>
      </c>
      <c r="B106">
        <v>0.66601052900000002</v>
      </c>
      <c r="C106">
        <v>0.66504379400000002</v>
      </c>
      <c r="D106">
        <f t="shared" si="3"/>
        <v>-9.6673499999999635E-4</v>
      </c>
      <c r="E106">
        <f t="shared" si="4"/>
        <v>9.6673499999999635E-4</v>
      </c>
      <c r="F106">
        <f t="shared" si="5"/>
        <v>9.3457656022499292E-7</v>
      </c>
      <c r="I106">
        <v>0.66601052900000002</v>
      </c>
    </row>
    <row r="107" spans="1:9" x14ac:dyDescent="0.45">
      <c r="A107" t="s">
        <v>140</v>
      </c>
      <c r="B107">
        <v>0.74184681299999999</v>
      </c>
      <c r="C107">
        <v>0.73694907799999998</v>
      </c>
      <c r="D107">
        <f t="shared" si="3"/>
        <v>-4.8977350000000142E-3</v>
      </c>
      <c r="E107">
        <f t="shared" si="4"/>
        <v>4.8977350000000142E-3</v>
      </c>
      <c r="F107">
        <f t="shared" si="5"/>
        <v>2.3987808130225139E-5</v>
      </c>
      <c r="I107">
        <v>0.74184681299999999</v>
      </c>
    </row>
    <row r="108" spans="1:9" x14ac:dyDescent="0.45">
      <c r="A108" t="s">
        <v>85</v>
      </c>
      <c r="B108">
        <v>0.85578759800000004</v>
      </c>
      <c r="C108">
        <v>0.85254379400000002</v>
      </c>
      <c r="D108">
        <f t="shared" si="3"/>
        <v>-3.2438040000000168E-3</v>
      </c>
      <c r="E108">
        <f t="shared" si="4"/>
        <v>3.2438040000000168E-3</v>
      </c>
      <c r="F108">
        <f t="shared" si="5"/>
        <v>1.0522264390416109E-5</v>
      </c>
      <c r="I108">
        <v>0.85578759800000004</v>
      </c>
    </row>
    <row r="109" spans="1:9" x14ac:dyDescent="0.45">
      <c r="A109" t="s">
        <v>86</v>
      </c>
      <c r="B109">
        <v>0.87191343600000004</v>
      </c>
      <c r="C109">
        <v>0.85791324999999996</v>
      </c>
      <c r="D109">
        <f t="shared" si="3"/>
        <v>-1.4000186000000081E-2</v>
      </c>
      <c r="E109">
        <f t="shared" si="4"/>
        <v>1.4000186000000081E-2</v>
      </c>
      <c r="F109">
        <f t="shared" si="5"/>
        <v>1.9600520803459827E-4</v>
      </c>
      <c r="I109">
        <v>0.87191343600000004</v>
      </c>
    </row>
    <row r="110" spans="1:9" x14ac:dyDescent="0.45">
      <c r="A110" t="s">
        <v>87</v>
      </c>
      <c r="B110">
        <v>0.91217853100000001</v>
      </c>
      <c r="C110">
        <v>0.86215873099999996</v>
      </c>
      <c r="D110">
        <f t="shared" si="3"/>
        <v>-5.0019800000000059E-2</v>
      </c>
      <c r="E110">
        <f t="shared" si="4"/>
        <v>5.0019800000000059E-2</v>
      </c>
      <c r="F110">
        <f t="shared" si="5"/>
        <v>2.5019803920400059E-3</v>
      </c>
      <c r="I110">
        <v>0.91217853100000001</v>
      </c>
    </row>
    <row r="111" spans="1:9" x14ac:dyDescent="0.45">
      <c r="A111" t="s">
        <v>88</v>
      </c>
      <c r="B111">
        <v>0.85286409799999996</v>
      </c>
      <c r="C111">
        <v>0.84766353000000005</v>
      </c>
      <c r="D111">
        <f t="shared" si="3"/>
        <v>-5.2005679999999055E-3</v>
      </c>
      <c r="E111">
        <f t="shared" si="4"/>
        <v>5.2005679999999055E-3</v>
      </c>
      <c r="F111">
        <f t="shared" si="5"/>
        <v>2.7045907522623019E-5</v>
      </c>
      <c r="I111">
        <v>0.85286409799999996</v>
      </c>
    </row>
    <row r="112" spans="1:9" x14ac:dyDescent="0.45">
      <c r="A112" t="s">
        <v>89</v>
      </c>
      <c r="B112">
        <v>0.87688688000000004</v>
      </c>
      <c r="C112">
        <v>0.85094809900000001</v>
      </c>
      <c r="D112">
        <f t="shared" si="3"/>
        <v>-2.5938781000000022E-2</v>
      </c>
      <c r="E112">
        <f t="shared" si="4"/>
        <v>2.5938781000000022E-2</v>
      </c>
      <c r="F112">
        <f t="shared" si="5"/>
        <v>6.7282035976596211E-4</v>
      </c>
      <c r="I112">
        <v>0.87688688000000004</v>
      </c>
    </row>
    <row r="113" spans="1:9" x14ac:dyDescent="0.45">
      <c r="A113" t="s">
        <v>90</v>
      </c>
      <c r="B113">
        <v>0.73489913299999998</v>
      </c>
      <c r="C113">
        <v>0.72631499300000002</v>
      </c>
      <c r="D113">
        <f t="shared" si="3"/>
        <v>-8.5841399999999624E-3</v>
      </c>
      <c r="E113">
        <f t="shared" si="4"/>
        <v>8.5841399999999624E-3</v>
      </c>
      <c r="F113">
        <f t="shared" si="5"/>
        <v>7.3687459539599354E-5</v>
      </c>
      <c r="I113">
        <v>0.73489913299999998</v>
      </c>
    </row>
    <row r="114" spans="1:9" x14ac:dyDescent="0.45">
      <c r="A114" t="s">
        <v>91</v>
      </c>
      <c r="B114">
        <v>0.780696748</v>
      </c>
      <c r="C114">
        <v>0.78263021799999999</v>
      </c>
      <c r="D114">
        <f t="shared" si="3"/>
        <v>1.9334699999999927E-3</v>
      </c>
      <c r="E114">
        <f t="shared" si="4"/>
        <v>1.9334699999999927E-3</v>
      </c>
      <c r="F114">
        <f t="shared" si="5"/>
        <v>3.7383062408999717E-6</v>
      </c>
      <c r="I114">
        <v>0.780696748</v>
      </c>
    </row>
    <row r="115" spans="1:9" x14ac:dyDescent="0.45">
      <c r="A115" t="s">
        <v>92</v>
      </c>
      <c r="B115">
        <v>0.75825801299999995</v>
      </c>
      <c r="C115">
        <v>0.75704085899999995</v>
      </c>
      <c r="D115">
        <f t="shared" si="3"/>
        <v>-1.2171539999999981E-3</v>
      </c>
      <c r="E115">
        <f t="shared" si="4"/>
        <v>1.2171539999999981E-3</v>
      </c>
      <c r="F115">
        <f t="shared" si="5"/>
        <v>1.4814638597159953E-6</v>
      </c>
      <c r="I115">
        <v>0.75825801299999995</v>
      </c>
    </row>
    <row r="116" spans="1:9" x14ac:dyDescent="0.45">
      <c r="A116" t="s">
        <v>93</v>
      </c>
      <c r="B116">
        <v>0.75750093200000002</v>
      </c>
      <c r="C116">
        <v>0.755713054</v>
      </c>
      <c r="D116">
        <f t="shared" si="3"/>
        <v>-1.7878780000000205E-3</v>
      </c>
      <c r="E116">
        <f t="shared" si="4"/>
        <v>1.7878780000000205E-3</v>
      </c>
      <c r="F116">
        <f t="shared" si="5"/>
        <v>3.1965077428840734E-6</v>
      </c>
      <c r="I116">
        <v>0.75750093200000002</v>
      </c>
    </row>
    <row r="117" spans="1:9" x14ac:dyDescent="0.45">
      <c r="A117" t="s">
        <v>94</v>
      </c>
      <c r="B117">
        <v>0.74248159700000005</v>
      </c>
      <c r="C117">
        <v>0.73369362699999996</v>
      </c>
      <c r="D117">
        <f t="shared" si="3"/>
        <v>-8.7879700000000893E-3</v>
      </c>
      <c r="E117">
        <f t="shared" si="4"/>
        <v>8.7879700000000893E-3</v>
      </c>
      <c r="F117">
        <f t="shared" si="5"/>
        <v>7.7228416720901574E-5</v>
      </c>
      <c r="I117">
        <v>0.74248159700000005</v>
      </c>
    </row>
    <row r="118" spans="1:9" x14ac:dyDescent="0.45">
      <c r="A118" t="s">
        <v>95</v>
      </c>
      <c r="B118">
        <v>0.74778116800000005</v>
      </c>
      <c r="C118">
        <v>0.72095136000000004</v>
      </c>
      <c r="D118">
        <f t="shared" si="3"/>
        <v>-2.6829808000000011E-2</v>
      </c>
      <c r="E118">
        <f t="shared" si="4"/>
        <v>2.6829808000000011E-2</v>
      </c>
      <c r="F118">
        <f t="shared" si="5"/>
        <v>7.1983859731686458E-4</v>
      </c>
      <c r="I118">
        <v>0.74778116800000005</v>
      </c>
    </row>
    <row r="119" spans="1:9" x14ac:dyDescent="0.45">
      <c r="A119" t="s">
        <v>96</v>
      </c>
      <c r="B119">
        <v>0.75044842499999997</v>
      </c>
      <c r="C119">
        <v>0.73498648899999997</v>
      </c>
      <c r="D119">
        <f t="shared" si="3"/>
        <v>-1.5461936000000009E-2</v>
      </c>
      <c r="E119">
        <f t="shared" si="4"/>
        <v>1.5461936000000009E-2</v>
      </c>
      <c r="F119">
        <f t="shared" si="5"/>
        <v>2.3907146486809629E-4</v>
      </c>
      <c r="I119">
        <v>0.75044842499999997</v>
      </c>
    </row>
    <row r="120" spans="1:9" x14ac:dyDescent="0.45">
      <c r="A120" t="s">
        <v>97</v>
      </c>
      <c r="B120">
        <v>0.737653746</v>
      </c>
      <c r="C120">
        <v>0.74072283800000005</v>
      </c>
      <c r="D120">
        <f t="shared" si="3"/>
        <v>3.069092000000051E-3</v>
      </c>
      <c r="E120">
        <f t="shared" si="4"/>
        <v>3.069092000000051E-3</v>
      </c>
      <c r="F120">
        <f t="shared" si="5"/>
        <v>9.4193257044643136E-6</v>
      </c>
      <c r="I120">
        <v>0.737653746</v>
      </c>
    </row>
    <row r="121" spans="1:9" x14ac:dyDescent="0.45">
      <c r="A121" t="s">
        <v>98</v>
      </c>
      <c r="B121">
        <v>0.77584560199999997</v>
      </c>
      <c r="C121">
        <v>0.76437872699999998</v>
      </c>
      <c r="D121">
        <f t="shared" si="3"/>
        <v>-1.1466874999999987E-2</v>
      </c>
      <c r="E121">
        <f t="shared" si="4"/>
        <v>1.1466874999999987E-2</v>
      </c>
      <c r="F121">
        <f t="shared" si="5"/>
        <v>1.314892222656247E-4</v>
      </c>
      <c r="I121">
        <v>0.77584560199999997</v>
      </c>
    </row>
    <row r="122" spans="1:9" x14ac:dyDescent="0.45">
      <c r="A122" t="s">
        <v>99</v>
      </c>
      <c r="B122">
        <v>0.79211703300000003</v>
      </c>
      <c r="C122">
        <v>0.75567811200000001</v>
      </c>
      <c r="D122">
        <f t="shared" si="3"/>
        <v>-3.6438921000000013E-2</v>
      </c>
      <c r="E122">
        <f t="shared" si="4"/>
        <v>3.6438921000000013E-2</v>
      </c>
      <c r="F122">
        <f t="shared" si="5"/>
        <v>1.3277949636442419E-3</v>
      </c>
      <c r="I122">
        <v>0.79211703300000003</v>
      </c>
    </row>
    <row r="123" spans="1:9" x14ac:dyDescent="0.45">
      <c r="A123" t="s">
        <v>100</v>
      </c>
      <c r="B123">
        <v>0.62017214899999995</v>
      </c>
      <c r="C123">
        <v>0.60613702000000003</v>
      </c>
      <c r="D123">
        <f t="shared" si="3"/>
        <v>-1.4035128999999924E-2</v>
      </c>
      <c r="E123">
        <f t="shared" si="4"/>
        <v>1.4035128999999924E-2</v>
      </c>
      <c r="F123">
        <f t="shared" si="5"/>
        <v>1.9698484604663887E-4</v>
      </c>
      <c r="I123">
        <v>0.62017214899999995</v>
      </c>
    </row>
    <row r="124" spans="1:9" x14ac:dyDescent="0.45">
      <c r="A124" t="s">
        <v>101</v>
      </c>
      <c r="B124">
        <v>0.694494269</v>
      </c>
      <c r="C124">
        <v>0.69451174100000002</v>
      </c>
      <c r="D124">
        <f t="shared" si="3"/>
        <v>1.7472000000018362E-5</v>
      </c>
      <c r="E124">
        <f t="shared" si="4"/>
        <v>1.7472000000018362E-5</v>
      </c>
      <c r="F124">
        <f t="shared" si="5"/>
        <v>3.0527078400064164E-10</v>
      </c>
      <c r="I124">
        <v>0.694494269</v>
      </c>
    </row>
    <row r="125" spans="1:9" x14ac:dyDescent="0.45">
      <c r="A125" t="s">
        <v>102</v>
      </c>
      <c r="B125">
        <v>0.81606410699999998</v>
      </c>
      <c r="C125">
        <v>0.76582300599999997</v>
      </c>
      <c r="D125">
        <f t="shared" si="3"/>
        <v>-5.024110100000001E-2</v>
      </c>
      <c r="E125">
        <f t="shared" si="4"/>
        <v>5.024110100000001E-2</v>
      </c>
      <c r="F125">
        <f t="shared" si="5"/>
        <v>2.5241682296922021E-3</v>
      </c>
      <c r="I125">
        <v>0.81606410699999998</v>
      </c>
    </row>
    <row r="126" spans="1:9" x14ac:dyDescent="0.45">
      <c r="A126" t="s">
        <v>103</v>
      </c>
      <c r="B126">
        <v>0.86037085400000002</v>
      </c>
      <c r="C126">
        <v>0.83425153699999999</v>
      </c>
      <c r="D126">
        <f t="shared" si="3"/>
        <v>-2.6119317000000031E-2</v>
      </c>
      <c r="E126">
        <f t="shared" si="4"/>
        <v>2.6119317000000031E-2</v>
      </c>
      <c r="F126">
        <f t="shared" si="5"/>
        <v>6.8221872054649059E-4</v>
      </c>
      <c r="I126">
        <v>0.86037085400000002</v>
      </c>
    </row>
    <row r="127" spans="1:9" x14ac:dyDescent="0.45">
      <c r="A127" t="s">
        <v>104</v>
      </c>
      <c r="B127">
        <v>0.75931210400000004</v>
      </c>
      <c r="C127">
        <v>0.74297078800000005</v>
      </c>
      <c r="D127">
        <f t="shared" ref="D127:D137" si="6">(C127-B127)</f>
        <v>-1.6341315999999995E-2</v>
      </c>
      <c r="E127">
        <f t="shared" ref="E127:E137" si="7">ABS(D127)</f>
        <v>1.6341315999999995E-2</v>
      </c>
      <c r="F127">
        <f t="shared" ref="F127:F137" si="8">E127^2</f>
        <v>2.6703860861185583E-4</v>
      </c>
      <c r="I127">
        <v>0.75931210400000004</v>
      </c>
    </row>
    <row r="128" spans="1:9" x14ac:dyDescent="0.45">
      <c r="A128" t="s">
        <v>105</v>
      </c>
      <c r="B128">
        <v>0.857843366</v>
      </c>
      <c r="C128">
        <v>0.85088986200000005</v>
      </c>
      <c r="D128">
        <f t="shared" si="6"/>
        <v>-6.9535039999999437E-3</v>
      </c>
      <c r="E128">
        <f t="shared" si="7"/>
        <v>6.9535039999999437E-3</v>
      </c>
      <c r="F128">
        <f t="shared" si="8"/>
        <v>4.8351217878015216E-5</v>
      </c>
      <c r="I128">
        <v>0.857843366</v>
      </c>
    </row>
    <row r="129" spans="1:9" x14ac:dyDescent="0.45">
      <c r="A129" t="s">
        <v>106</v>
      </c>
      <c r="B129">
        <v>0.81871971700000001</v>
      </c>
      <c r="C129">
        <v>0.77156517899999999</v>
      </c>
      <c r="D129">
        <f t="shared" si="6"/>
        <v>-4.7154538000000024E-2</v>
      </c>
      <c r="E129">
        <f t="shared" si="7"/>
        <v>4.7154538000000024E-2</v>
      </c>
      <c r="F129">
        <f t="shared" si="8"/>
        <v>2.2235504539934461E-3</v>
      </c>
      <c r="I129">
        <v>0.81871971700000001</v>
      </c>
    </row>
    <row r="130" spans="1:9" x14ac:dyDescent="0.45">
      <c r="A130" t="s">
        <v>141</v>
      </c>
      <c r="B130">
        <v>0.71541884099999997</v>
      </c>
      <c r="C130">
        <v>0.69107575499999996</v>
      </c>
      <c r="D130">
        <f t="shared" si="6"/>
        <v>-2.4343086000000014E-2</v>
      </c>
      <c r="E130">
        <f t="shared" si="7"/>
        <v>2.4343086000000014E-2</v>
      </c>
      <c r="F130">
        <f t="shared" si="8"/>
        <v>5.9258583600339668E-4</v>
      </c>
      <c r="I130">
        <v>0.71541884099999997</v>
      </c>
    </row>
    <row r="131" spans="1:9" x14ac:dyDescent="0.45">
      <c r="A131" t="s">
        <v>142</v>
      </c>
      <c r="B131">
        <v>0.76768076799999996</v>
      </c>
      <c r="C131">
        <v>0.76143775599999997</v>
      </c>
      <c r="D131">
        <f t="shared" si="6"/>
        <v>-6.2430119999999922E-3</v>
      </c>
      <c r="E131">
        <f t="shared" si="7"/>
        <v>6.2430119999999922E-3</v>
      </c>
      <c r="F131">
        <f t="shared" si="8"/>
        <v>3.8975198832143904E-5</v>
      </c>
      <c r="I131">
        <v>0.76768076799999996</v>
      </c>
    </row>
    <row r="132" spans="1:9" x14ac:dyDescent="0.45">
      <c r="A132" t="s">
        <v>107</v>
      </c>
      <c r="B132">
        <v>0.88271058499999999</v>
      </c>
      <c r="C132">
        <v>0.83266748999999995</v>
      </c>
      <c r="D132">
        <f t="shared" si="6"/>
        <v>-5.0043095000000037E-2</v>
      </c>
      <c r="E132">
        <f t="shared" si="7"/>
        <v>5.0043095000000037E-2</v>
      </c>
      <c r="F132">
        <f t="shared" si="8"/>
        <v>2.5043113571790289E-3</v>
      </c>
      <c r="I132">
        <v>0.88271058499999999</v>
      </c>
    </row>
    <row r="133" spans="1:9" x14ac:dyDescent="0.45">
      <c r="A133" t="s">
        <v>108</v>
      </c>
      <c r="B133">
        <v>0.89544120400000005</v>
      </c>
      <c r="C133">
        <v>0.91141562600000003</v>
      </c>
      <c r="D133">
        <f t="shared" si="6"/>
        <v>1.5974421999999988E-2</v>
      </c>
      <c r="E133">
        <f t="shared" si="7"/>
        <v>1.5974421999999988E-2</v>
      </c>
      <c r="F133">
        <f t="shared" si="8"/>
        <v>2.5518215823408362E-4</v>
      </c>
      <c r="I133">
        <v>0.89544120400000005</v>
      </c>
    </row>
    <row r="134" spans="1:9" x14ac:dyDescent="0.45">
      <c r="A134" t="s">
        <v>109</v>
      </c>
      <c r="B134">
        <v>0.90212099300000004</v>
      </c>
      <c r="C134">
        <v>0.91445560000000004</v>
      </c>
      <c r="D134">
        <f t="shared" si="6"/>
        <v>1.2334606999999997E-2</v>
      </c>
      <c r="E134">
        <f t="shared" si="7"/>
        <v>1.2334606999999997E-2</v>
      </c>
      <c r="F134">
        <f t="shared" si="8"/>
        <v>1.5214252984444894E-4</v>
      </c>
      <c r="I134">
        <v>0.90212099300000004</v>
      </c>
    </row>
    <row r="135" spans="1:9" x14ac:dyDescent="0.45">
      <c r="A135" t="s">
        <v>110</v>
      </c>
      <c r="B135">
        <v>0.88315318700000001</v>
      </c>
      <c r="C135">
        <v>0.86519870499999996</v>
      </c>
      <c r="D135">
        <f t="shared" si="6"/>
        <v>-1.7954482000000049E-2</v>
      </c>
      <c r="E135">
        <f t="shared" si="7"/>
        <v>1.7954482000000049E-2</v>
      </c>
      <c r="F135">
        <f t="shared" si="8"/>
        <v>3.223634238883258E-4</v>
      </c>
      <c r="I135">
        <v>0.88315318700000001</v>
      </c>
    </row>
    <row r="136" spans="1:9" x14ac:dyDescent="0.45">
      <c r="A136" t="s">
        <v>111</v>
      </c>
      <c r="B136">
        <v>0.620265328</v>
      </c>
      <c r="C136">
        <v>0.613620481</v>
      </c>
      <c r="D136">
        <f t="shared" si="6"/>
        <v>-6.6448470000000093E-3</v>
      </c>
      <c r="E136">
        <f t="shared" si="7"/>
        <v>6.6448470000000093E-3</v>
      </c>
      <c r="F136">
        <f t="shared" si="8"/>
        <v>4.4153991653409123E-5</v>
      </c>
      <c r="I136">
        <v>0.620265328</v>
      </c>
    </row>
    <row r="137" spans="1:9" x14ac:dyDescent="0.45">
      <c r="A137" t="s">
        <v>112</v>
      </c>
      <c r="B137">
        <v>0.61997996600000005</v>
      </c>
      <c r="C137">
        <v>0.612717807</v>
      </c>
      <c r="D137">
        <f t="shared" si="6"/>
        <v>-7.2621590000000458E-3</v>
      </c>
      <c r="E137">
        <f t="shared" si="7"/>
        <v>7.2621590000000458E-3</v>
      </c>
      <c r="F137">
        <f t="shared" si="8"/>
        <v>5.2738953341281666E-5</v>
      </c>
      <c r="I137">
        <v>0.61997996600000005</v>
      </c>
    </row>
    <row r="138" spans="1:9" x14ac:dyDescent="0.45">
      <c r="D138">
        <f>AVERAGE(D2:D137)</f>
        <v>-1.4423004470588242E-2</v>
      </c>
      <c r="E138">
        <f>AVERAGE(E2:E137)</f>
        <v>2.0941785544117658E-2</v>
      </c>
      <c r="F138">
        <f>SQRT(AVERAGE(F2:F137))</f>
        <v>2.9191444982013592E-2</v>
      </c>
    </row>
    <row r="139" spans="1:9" x14ac:dyDescent="0.45">
      <c r="B139">
        <f>MIN(B2:B137)</f>
        <v>0.61997996600000005</v>
      </c>
      <c r="C139">
        <f>MIN(C2:C137)</f>
        <v>0.59941064099999997</v>
      </c>
    </row>
    <row r="140" spans="1:9" x14ac:dyDescent="0.45">
      <c r="B140">
        <f>MAX(B2:B137)</f>
        <v>0.95056839400000004</v>
      </c>
      <c r="C140">
        <f>MAX(C2:C137)</f>
        <v>0.94929882600000004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xTB vs DFT Buried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Tyagi</cp:lastModifiedBy>
  <cp:lastPrinted>2026-04-24T10:18:01Z</cp:lastPrinted>
  <dcterms:created xsi:type="dcterms:W3CDTF">2026-01-23T16:01:03Z</dcterms:created>
  <dcterms:modified xsi:type="dcterms:W3CDTF">2026-06-08T11:45:51Z</dcterms:modified>
</cp:coreProperties>
</file>