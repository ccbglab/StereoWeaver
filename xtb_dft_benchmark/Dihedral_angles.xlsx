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1844" documentId="13_ncr:1_{C2F42A1A-F3AD-459C-B9F6-1A17F21557F3}" xr6:coauthVersionLast="47" xr6:coauthVersionMax="47" xr10:uidLastSave="{CC5962B3-94CF-4727-BE6E-C466D6258CBF}"/>
  <bookViews>
    <workbookView xWindow="-98" yWindow="-98" windowWidth="19396" windowHeight="11596" firstSheet="7" activeTab="9" xr2:uid="{00000000-000D-0000-FFFF-FFFF00000000}"/>
  </bookViews>
  <sheets>
    <sheet name="xTB vs DFT D_spirodiimine" sheetId="18" r:id="rId1"/>
    <sheet name="xTB vs DFT D_SPSiBox" sheetId="17" r:id="rId2"/>
    <sheet name="xTB vs DFT D_spiroBox" sheetId="3" r:id="rId3"/>
    <sheet name="xTB vs DFT D_biimidazole" sheetId="21" r:id="rId4"/>
    <sheet name="xTB vs DFT ACBP" sheetId="26" r:id="rId5"/>
    <sheet name="xTB vs DFT Binol" sheetId="27" r:id="rId6"/>
    <sheet name="Bipyridine-n,n'-dioxide" sheetId="28" r:id="rId7"/>
    <sheet name="Binaphthyl derivatives" sheetId="30" r:id="rId8"/>
    <sheet name="all dft dihedral angles" sheetId="25" r:id="rId9"/>
    <sheet name="all xTB dihedral angles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0" l="1"/>
  <c r="B12" i="30"/>
  <c r="C11" i="30"/>
  <c r="B11" i="30"/>
  <c r="D9" i="30"/>
  <c r="E9" i="30" s="1"/>
  <c r="F9" i="30" s="1"/>
  <c r="D8" i="30"/>
  <c r="E8" i="30" s="1"/>
  <c r="F8" i="30" s="1"/>
  <c r="D7" i="30"/>
  <c r="E7" i="30" s="1"/>
  <c r="F7" i="30" s="1"/>
  <c r="D6" i="30"/>
  <c r="E6" i="30" s="1"/>
  <c r="F6" i="30" s="1"/>
  <c r="D5" i="30"/>
  <c r="E5" i="30" s="1"/>
  <c r="F5" i="30" s="1"/>
  <c r="D4" i="30"/>
  <c r="E4" i="30" s="1"/>
  <c r="F4" i="30" s="1"/>
  <c r="D3" i="30"/>
  <c r="E3" i="30" s="1"/>
  <c r="F3" i="30" s="1"/>
  <c r="G2" i="30"/>
  <c r="H2" i="30" s="1"/>
  <c r="D2" i="30"/>
  <c r="G2" i="28"/>
  <c r="H2" i="28" s="1"/>
  <c r="C20" i="28"/>
  <c r="C19" i="28"/>
  <c r="B20" i="28"/>
  <c r="B19" i="28"/>
  <c r="F18" i="28"/>
  <c r="E18" i="28"/>
  <c r="D18" i="28"/>
  <c r="F17" i="28"/>
  <c r="E17" i="28"/>
  <c r="D17" i="28"/>
  <c r="D16" i="28"/>
  <c r="E16" i="28" s="1"/>
  <c r="F16" i="28" s="1"/>
  <c r="D15" i="28"/>
  <c r="E15" i="28" s="1"/>
  <c r="F15" i="28" s="1"/>
  <c r="D14" i="28"/>
  <c r="E14" i="28" s="1"/>
  <c r="F14" i="28" s="1"/>
  <c r="D13" i="28"/>
  <c r="E13" i="28" s="1"/>
  <c r="F13" i="28" s="1"/>
  <c r="D12" i="28"/>
  <c r="E12" i="28" s="1"/>
  <c r="F12" i="28" s="1"/>
  <c r="D11" i="28"/>
  <c r="E11" i="28" s="1"/>
  <c r="F11" i="28" s="1"/>
  <c r="D10" i="28"/>
  <c r="E10" i="28" s="1"/>
  <c r="F10" i="28" s="1"/>
  <c r="D9" i="28"/>
  <c r="E9" i="28" s="1"/>
  <c r="F9" i="28" s="1"/>
  <c r="D8" i="28"/>
  <c r="E8" i="28" s="1"/>
  <c r="F8" i="28" s="1"/>
  <c r="D7" i="28"/>
  <c r="E7" i="28" s="1"/>
  <c r="F7" i="28" s="1"/>
  <c r="D6" i="28"/>
  <c r="E6" i="28" s="1"/>
  <c r="F6" i="28" s="1"/>
  <c r="D5" i="28"/>
  <c r="E5" i="28" s="1"/>
  <c r="F5" i="28" s="1"/>
  <c r="D4" i="28"/>
  <c r="E4" i="28" s="1"/>
  <c r="F4" i="28" s="1"/>
  <c r="D3" i="28"/>
  <c r="E3" i="28" s="1"/>
  <c r="F3" i="28" s="1"/>
  <c r="D2" i="28"/>
  <c r="F12" i="27"/>
  <c r="F13" i="27"/>
  <c r="F14" i="27"/>
  <c r="F15" i="27"/>
  <c r="F16" i="27"/>
  <c r="E12" i="27"/>
  <c r="E13" i="27"/>
  <c r="E14" i="27"/>
  <c r="E15" i="27"/>
  <c r="E16" i="27"/>
  <c r="D12" i="27"/>
  <c r="D13" i="27"/>
  <c r="D14" i="27"/>
  <c r="D15" i="27"/>
  <c r="D16" i="27"/>
  <c r="G2" i="27"/>
  <c r="H2" i="27" s="1"/>
  <c r="C20" i="27"/>
  <c r="C19" i="27"/>
  <c r="B20" i="27"/>
  <c r="B19" i="27"/>
  <c r="F17" i="27"/>
  <c r="E17" i="27"/>
  <c r="D11" i="27"/>
  <c r="E11" i="27" s="1"/>
  <c r="F11" i="27" s="1"/>
  <c r="D10" i="27"/>
  <c r="E10" i="27" s="1"/>
  <c r="F10" i="27" s="1"/>
  <c r="D9" i="27"/>
  <c r="E9" i="27" s="1"/>
  <c r="F9" i="27" s="1"/>
  <c r="D8" i="27"/>
  <c r="E8" i="27" s="1"/>
  <c r="F8" i="27" s="1"/>
  <c r="D7" i="27"/>
  <c r="E7" i="27" s="1"/>
  <c r="F7" i="27" s="1"/>
  <c r="D6" i="27"/>
  <c r="E6" i="27" s="1"/>
  <c r="F6" i="27" s="1"/>
  <c r="D5" i="27"/>
  <c r="E5" i="27" s="1"/>
  <c r="F5" i="27" s="1"/>
  <c r="D4" i="27"/>
  <c r="E4" i="27" s="1"/>
  <c r="F4" i="27" s="1"/>
  <c r="D3" i="27"/>
  <c r="E3" i="27" s="1"/>
  <c r="F3" i="27" s="1"/>
  <c r="D2" i="27"/>
  <c r="C14" i="26"/>
  <c r="B14" i="26"/>
  <c r="C13" i="26"/>
  <c r="B13" i="26"/>
  <c r="D11" i="26"/>
  <c r="E11" i="26" s="1"/>
  <c r="F11" i="26" s="1"/>
  <c r="D10" i="26"/>
  <c r="E10" i="26" s="1"/>
  <c r="F10" i="26" s="1"/>
  <c r="D9" i="26"/>
  <c r="E9" i="26" s="1"/>
  <c r="F9" i="26" s="1"/>
  <c r="D8" i="26"/>
  <c r="E8" i="26" s="1"/>
  <c r="F8" i="26" s="1"/>
  <c r="D7" i="26"/>
  <c r="E7" i="26" s="1"/>
  <c r="F7" i="26" s="1"/>
  <c r="D6" i="26"/>
  <c r="E6" i="26" s="1"/>
  <c r="F6" i="26" s="1"/>
  <c r="D5" i="26"/>
  <c r="E5" i="26" s="1"/>
  <c r="F5" i="26" s="1"/>
  <c r="D4" i="26"/>
  <c r="E4" i="26" s="1"/>
  <c r="F4" i="26" s="1"/>
  <c r="D3" i="26"/>
  <c r="E3" i="26" s="1"/>
  <c r="F3" i="26" s="1"/>
  <c r="G2" i="26"/>
  <c r="H2" i="26" s="1"/>
  <c r="D2" i="26"/>
  <c r="Q20" i="21"/>
  <c r="P20" i="21"/>
  <c r="C20" i="21"/>
  <c r="B20" i="21"/>
  <c r="Q19" i="21"/>
  <c r="P19" i="21"/>
  <c r="C19" i="21"/>
  <c r="B19" i="21"/>
  <c r="R17" i="21"/>
  <c r="S17" i="21" s="1"/>
  <c r="T17" i="21" s="1"/>
  <c r="D17" i="21"/>
  <c r="E17" i="21" s="1"/>
  <c r="F17" i="21" s="1"/>
  <c r="R16" i="21"/>
  <c r="S16" i="21" s="1"/>
  <c r="T16" i="21" s="1"/>
  <c r="D16" i="21"/>
  <c r="E16" i="21" s="1"/>
  <c r="F16" i="21" s="1"/>
  <c r="R15" i="21"/>
  <c r="S15" i="21" s="1"/>
  <c r="T15" i="21" s="1"/>
  <c r="D15" i="21"/>
  <c r="E15" i="21" s="1"/>
  <c r="F15" i="21" s="1"/>
  <c r="R14" i="21"/>
  <c r="S14" i="21" s="1"/>
  <c r="T14" i="21" s="1"/>
  <c r="D14" i="21"/>
  <c r="E14" i="21" s="1"/>
  <c r="F14" i="21" s="1"/>
  <c r="R13" i="21"/>
  <c r="S13" i="21" s="1"/>
  <c r="T13" i="21" s="1"/>
  <c r="D13" i="21"/>
  <c r="E13" i="21" s="1"/>
  <c r="F13" i="21" s="1"/>
  <c r="R12" i="21"/>
  <c r="S12" i="21" s="1"/>
  <c r="T12" i="21" s="1"/>
  <c r="D12" i="21"/>
  <c r="E12" i="21" s="1"/>
  <c r="F12" i="21" s="1"/>
  <c r="R11" i="21"/>
  <c r="S11" i="21" s="1"/>
  <c r="T11" i="21" s="1"/>
  <c r="D11" i="21"/>
  <c r="E11" i="21" s="1"/>
  <c r="F11" i="21" s="1"/>
  <c r="R10" i="21"/>
  <c r="S10" i="21" s="1"/>
  <c r="T10" i="21" s="1"/>
  <c r="D10" i="21"/>
  <c r="E10" i="21" s="1"/>
  <c r="F10" i="21" s="1"/>
  <c r="R9" i="21"/>
  <c r="S9" i="21" s="1"/>
  <c r="T9" i="21" s="1"/>
  <c r="D9" i="21"/>
  <c r="E9" i="21" s="1"/>
  <c r="F9" i="21" s="1"/>
  <c r="R8" i="21"/>
  <c r="S8" i="21" s="1"/>
  <c r="T8" i="21" s="1"/>
  <c r="D8" i="21"/>
  <c r="E8" i="21" s="1"/>
  <c r="F8" i="21" s="1"/>
  <c r="R7" i="21"/>
  <c r="S7" i="21" s="1"/>
  <c r="T7" i="21" s="1"/>
  <c r="D7" i="21"/>
  <c r="E7" i="21" s="1"/>
  <c r="F7" i="21" s="1"/>
  <c r="R6" i="21"/>
  <c r="S6" i="21" s="1"/>
  <c r="T6" i="21" s="1"/>
  <c r="D6" i="21"/>
  <c r="E6" i="21" s="1"/>
  <c r="F6" i="21" s="1"/>
  <c r="R5" i="21"/>
  <c r="S5" i="21" s="1"/>
  <c r="T5" i="21" s="1"/>
  <c r="D5" i="21"/>
  <c r="E5" i="21" s="1"/>
  <c r="F5" i="21" s="1"/>
  <c r="R4" i="21"/>
  <c r="S4" i="21" s="1"/>
  <c r="T4" i="21" s="1"/>
  <c r="D4" i="21"/>
  <c r="E4" i="21" s="1"/>
  <c r="F4" i="21" s="1"/>
  <c r="R3" i="21"/>
  <c r="S3" i="21" s="1"/>
  <c r="T3" i="21" s="1"/>
  <c r="D3" i="21"/>
  <c r="E3" i="21" s="1"/>
  <c r="F3" i="21" s="1"/>
  <c r="U2" i="21"/>
  <c r="V2" i="21" s="1"/>
  <c r="R2" i="21"/>
  <c r="G2" i="21"/>
  <c r="H2" i="21" s="1"/>
  <c r="D2" i="21"/>
  <c r="AI14" i="18"/>
  <c r="AH14" i="18"/>
  <c r="Q14" i="18"/>
  <c r="P14" i="18"/>
  <c r="C14" i="18"/>
  <c r="B14" i="18"/>
  <c r="AI13" i="18"/>
  <c r="AH13" i="18"/>
  <c r="Q13" i="18"/>
  <c r="P13" i="18"/>
  <c r="C13" i="18"/>
  <c r="B13" i="18"/>
  <c r="AJ11" i="18"/>
  <c r="AK11" i="18" s="1"/>
  <c r="AL11" i="18" s="1"/>
  <c r="R11" i="18"/>
  <c r="S11" i="18" s="1"/>
  <c r="T11" i="18" s="1"/>
  <c r="D11" i="18"/>
  <c r="E11" i="18" s="1"/>
  <c r="F11" i="18" s="1"/>
  <c r="AJ10" i="18"/>
  <c r="AK10" i="18" s="1"/>
  <c r="AL10" i="18" s="1"/>
  <c r="R10" i="18"/>
  <c r="S10" i="18" s="1"/>
  <c r="T10" i="18" s="1"/>
  <c r="D10" i="18"/>
  <c r="E10" i="18" s="1"/>
  <c r="F10" i="18" s="1"/>
  <c r="AJ9" i="18"/>
  <c r="AK9" i="18" s="1"/>
  <c r="AL9" i="18" s="1"/>
  <c r="R9" i="18"/>
  <c r="S9" i="18" s="1"/>
  <c r="T9" i="18" s="1"/>
  <c r="D9" i="18"/>
  <c r="E9" i="18" s="1"/>
  <c r="F9" i="18" s="1"/>
  <c r="AJ8" i="18"/>
  <c r="AK8" i="18" s="1"/>
  <c r="AL8" i="18" s="1"/>
  <c r="R8" i="18"/>
  <c r="S8" i="18" s="1"/>
  <c r="T8" i="18" s="1"/>
  <c r="D8" i="18"/>
  <c r="E8" i="18" s="1"/>
  <c r="F8" i="18" s="1"/>
  <c r="AJ7" i="18"/>
  <c r="AK7" i="18" s="1"/>
  <c r="AL7" i="18" s="1"/>
  <c r="R7" i="18"/>
  <c r="S7" i="18" s="1"/>
  <c r="T7" i="18" s="1"/>
  <c r="D7" i="18"/>
  <c r="E7" i="18" s="1"/>
  <c r="F7" i="18" s="1"/>
  <c r="AJ6" i="18"/>
  <c r="AK6" i="18" s="1"/>
  <c r="AL6" i="18" s="1"/>
  <c r="R6" i="18"/>
  <c r="S6" i="18" s="1"/>
  <c r="T6" i="18" s="1"/>
  <c r="D6" i="18"/>
  <c r="E6" i="18" s="1"/>
  <c r="F6" i="18" s="1"/>
  <c r="AJ5" i="18"/>
  <c r="AK5" i="18" s="1"/>
  <c r="AL5" i="18" s="1"/>
  <c r="R5" i="18"/>
  <c r="S5" i="18" s="1"/>
  <c r="T5" i="18" s="1"/>
  <c r="D5" i="18"/>
  <c r="E5" i="18" s="1"/>
  <c r="F5" i="18" s="1"/>
  <c r="AJ4" i="18"/>
  <c r="AK4" i="18" s="1"/>
  <c r="AL4" i="18" s="1"/>
  <c r="R4" i="18"/>
  <c r="S4" i="18" s="1"/>
  <c r="T4" i="18" s="1"/>
  <c r="D4" i="18"/>
  <c r="E4" i="18" s="1"/>
  <c r="F4" i="18" s="1"/>
  <c r="AJ3" i="18"/>
  <c r="AK3" i="18" s="1"/>
  <c r="AL3" i="18" s="1"/>
  <c r="R3" i="18"/>
  <c r="S3" i="18" s="1"/>
  <c r="T3" i="18" s="1"/>
  <c r="D3" i="18"/>
  <c r="E3" i="18" s="1"/>
  <c r="F3" i="18" s="1"/>
  <c r="AM2" i="18"/>
  <c r="AN2" i="18" s="1"/>
  <c r="AJ2" i="18"/>
  <c r="U2" i="18"/>
  <c r="V2" i="18" s="1"/>
  <c r="R2" i="18"/>
  <c r="G2" i="18"/>
  <c r="H2" i="18" s="1"/>
  <c r="D2" i="18"/>
  <c r="AM2" i="17"/>
  <c r="AN2" i="17" s="1"/>
  <c r="AJ17" i="17"/>
  <c r="AK17" i="17" s="1"/>
  <c r="AL17" i="17" s="1"/>
  <c r="AJ16" i="17"/>
  <c r="AK16" i="17" s="1"/>
  <c r="AL16" i="17" s="1"/>
  <c r="AJ15" i="17"/>
  <c r="AK15" i="17" s="1"/>
  <c r="AL15" i="17" s="1"/>
  <c r="AJ14" i="17"/>
  <c r="AK14" i="17" s="1"/>
  <c r="AL14" i="17" s="1"/>
  <c r="AJ13" i="17"/>
  <c r="AK13" i="17" s="1"/>
  <c r="AL13" i="17" s="1"/>
  <c r="AJ12" i="17"/>
  <c r="AK12" i="17" s="1"/>
  <c r="AL12" i="17" s="1"/>
  <c r="AJ11" i="17"/>
  <c r="AK11" i="17" s="1"/>
  <c r="AL11" i="17" s="1"/>
  <c r="AJ10" i="17"/>
  <c r="AK10" i="17" s="1"/>
  <c r="AL10" i="17" s="1"/>
  <c r="AJ9" i="17"/>
  <c r="AK9" i="17" s="1"/>
  <c r="AL9" i="17" s="1"/>
  <c r="AJ8" i="17"/>
  <c r="AK8" i="17" s="1"/>
  <c r="AL8" i="17" s="1"/>
  <c r="AJ7" i="17"/>
  <c r="AK7" i="17" s="1"/>
  <c r="AL7" i="17" s="1"/>
  <c r="AJ6" i="17"/>
  <c r="AK6" i="17" s="1"/>
  <c r="AL6" i="17" s="1"/>
  <c r="AJ5" i="17"/>
  <c r="AK5" i="17" s="1"/>
  <c r="AL5" i="17" s="1"/>
  <c r="AJ4" i="17"/>
  <c r="AK4" i="17" s="1"/>
  <c r="AL4" i="17" s="1"/>
  <c r="AJ3" i="17"/>
  <c r="AK3" i="17" s="1"/>
  <c r="AL3" i="17" s="1"/>
  <c r="AJ2" i="17"/>
  <c r="AK2" i="17" s="1"/>
  <c r="AL2" i="17" s="1"/>
  <c r="AL18" i="17" s="1"/>
  <c r="AJ18" i="17"/>
  <c r="D2" i="17"/>
  <c r="E2" i="17" s="1"/>
  <c r="F2" i="17" s="1"/>
  <c r="G2" i="17"/>
  <c r="H2" i="17" s="1"/>
  <c r="D3" i="17"/>
  <c r="E3" i="17" s="1"/>
  <c r="F3" i="17" s="1"/>
  <c r="D4" i="17"/>
  <c r="E4" i="17" s="1"/>
  <c r="F4" i="17" s="1"/>
  <c r="D5" i="17"/>
  <c r="E5" i="17" s="1"/>
  <c r="F5" i="17" s="1"/>
  <c r="D6" i="17"/>
  <c r="E6" i="17"/>
  <c r="F6" i="17"/>
  <c r="D7" i="17"/>
  <c r="E7" i="17" s="1"/>
  <c r="F7" i="17" s="1"/>
  <c r="D8" i="17"/>
  <c r="E8" i="17" s="1"/>
  <c r="F8" i="17" s="1"/>
  <c r="D9" i="17"/>
  <c r="E9" i="17" s="1"/>
  <c r="F9" i="17" s="1"/>
  <c r="D10" i="17"/>
  <c r="E10" i="17" s="1"/>
  <c r="F10" i="17" s="1"/>
  <c r="D11" i="17"/>
  <c r="E11" i="17" s="1"/>
  <c r="F11" i="17" s="1"/>
  <c r="D12" i="17"/>
  <c r="E12" i="17" s="1"/>
  <c r="F12" i="17" s="1"/>
  <c r="D13" i="17"/>
  <c r="E13" i="17"/>
  <c r="F13" i="17" s="1"/>
  <c r="D14" i="17"/>
  <c r="E14" i="17" s="1"/>
  <c r="F14" i="17" s="1"/>
  <c r="D15" i="17"/>
  <c r="E15" i="17" s="1"/>
  <c r="F15" i="17" s="1"/>
  <c r="D16" i="17"/>
  <c r="E16" i="17" s="1"/>
  <c r="F16" i="17" s="1"/>
  <c r="D17" i="17"/>
  <c r="E17" i="17"/>
  <c r="F17" i="17" s="1"/>
  <c r="AI20" i="17"/>
  <c r="AH20" i="17"/>
  <c r="Q20" i="17"/>
  <c r="P20" i="17"/>
  <c r="C20" i="17"/>
  <c r="B20" i="17"/>
  <c r="AI19" i="17"/>
  <c r="AH19" i="17"/>
  <c r="Q19" i="17"/>
  <c r="P19" i="17"/>
  <c r="C19" i="17"/>
  <c r="B19" i="17"/>
  <c r="R17" i="17"/>
  <c r="S17" i="17" s="1"/>
  <c r="T17" i="17" s="1"/>
  <c r="R16" i="17"/>
  <c r="S16" i="17" s="1"/>
  <c r="T16" i="17" s="1"/>
  <c r="R15" i="17"/>
  <c r="S15" i="17" s="1"/>
  <c r="T15" i="17" s="1"/>
  <c r="R14" i="17"/>
  <c r="S14" i="17" s="1"/>
  <c r="T14" i="17" s="1"/>
  <c r="R13" i="17"/>
  <c r="S13" i="17" s="1"/>
  <c r="T13" i="17" s="1"/>
  <c r="R12" i="17"/>
  <c r="S12" i="17" s="1"/>
  <c r="T12" i="17" s="1"/>
  <c r="R11" i="17"/>
  <c r="S11" i="17" s="1"/>
  <c r="T11" i="17" s="1"/>
  <c r="R10" i="17"/>
  <c r="S10" i="17" s="1"/>
  <c r="T10" i="17" s="1"/>
  <c r="R9" i="17"/>
  <c r="S9" i="17" s="1"/>
  <c r="T9" i="17" s="1"/>
  <c r="R8" i="17"/>
  <c r="S8" i="17" s="1"/>
  <c r="T8" i="17" s="1"/>
  <c r="R7" i="17"/>
  <c r="S7" i="17" s="1"/>
  <c r="T7" i="17" s="1"/>
  <c r="R6" i="17"/>
  <c r="S6" i="17" s="1"/>
  <c r="T6" i="17" s="1"/>
  <c r="R5" i="17"/>
  <c r="S5" i="17" s="1"/>
  <c r="T5" i="17" s="1"/>
  <c r="R4" i="17"/>
  <c r="S4" i="17" s="1"/>
  <c r="T4" i="17" s="1"/>
  <c r="R3" i="17"/>
  <c r="S3" i="17" s="1"/>
  <c r="T3" i="17" s="1"/>
  <c r="U2" i="17"/>
  <c r="V2" i="17" s="1"/>
  <c r="R2" i="17"/>
  <c r="Q21" i="3"/>
  <c r="Q20" i="3"/>
  <c r="P21" i="3"/>
  <c r="P20" i="3"/>
  <c r="C21" i="3"/>
  <c r="C20" i="3"/>
  <c r="B21" i="3"/>
  <c r="B20" i="3"/>
  <c r="R18" i="3"/>
  <c r="S18" i="3" s="1"/>
  <c r="T18" i="3" s="1"/>
  <c r="R17" i="3"/>
  <c r="S17" i="3" s="1"/>
  <c r="T17" i="3" s="1"/>
  <c r="R16" i="3"/>
  <c r="S16" i="3" s="1"/>
  <c r="T16" i="3" s="1"/>
  <c r="R15" i="3"/>
  <c r="S15" i="3" s="1"/>
  <c r="T15" i="3" s="1"/>
  <c r="R14" i="3"/>
  <c r="S14" i="3" s="1"/>
  <c r="T14" i="3" s="1"/>
  <c r="R13" i="3"/>
  <c r="S13" i="3" s="1"/>
  <c r="T13" i="3" s="1"/>
  <c r="R12" i="3"/>
  <c r="S12" i="3" s="1"/>
  <c r="T12" i="3" s="1"/>
  <c r="R11" i="3"/>
  <c r="S11" i="3" s="1"/>
  <c r="T11" i="3" s="1"/>
  <c r="R10" i="3"/>
  <c r="S10" i="3" s="1"/>
  <c r="T10" i="3" s="1"/>
  <c r="R9" i="3"/>
  <c r="S9" i="3" s="1"/>
  <c r="T9" i="3" s="1"/>
  <c r="R8" i="3"/>
  <c r="S8" i="3" s="1"/>
  <c r="T8" i="3" s="1"/>
  <c r="R7" i="3"/>
  <c r="S7" i="3" s="1"/>
  <c r="T7" i="3" s="1"/>
  <c r="R6" i="3"/>
  <c r="S6" i="3" s="1"/>
  <c r="T6" i="3" s="1"/>
  <c r="R5" i="3"/>
  <c r="S5" i="3" s="1"/>
  <c r="T5" i="3" s="1"/>
  <c r="R4" i="3"/>
  <c r="S4" i="3" s="1"/>
  <c r="T4" i="3" s="1"/>
  <c r="R3" i="3"/>
  <c r="S3" i="3" s="1"/>
  <c r="T3" i="3" s="1"/>
  <c r="U2" i="3"/>
  <c r="V2" i="3" s="1"/>
  <c r="R2" i="3"/>
  <c r="D18" i="3"/>
  <c r="E18" i="3" s="1"/>
  <c r="F18" i="3" s="1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D13" i="3"/>
  <c r="E13" i="3" s="1"/>
  <c r="F13" i="3" s="1"/>
  <c r="D12" i="3"/>
  <c r="E12" i="3" s="1"/>
  <c r="F12" i="3" s="1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D7" i="3"/>
  <c r="E7" i="3" s="1"/>
  <c r="F7" i="3" s="1"/>
  <c r="D6" i="3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G2" i="3"/>
  <c r="H2" i="3" s="1"/>
  <c r="D2" i="3"/>
  <c r="AJ18" i="3"/>
  <c r="AK18" i="3" s="1"/>
  <c r="AL18" i="3" s="1"/>
  <c r="AJ17" i="3"/>
  <c r="AK17" i="3" s="1"/>
  <c r="AL17" i="3" s="1"/>
  <c r="AJ16" i="3"/>
  <c r="AK16" i="3" s="1"/>
  <c r="AL16" i="3" s="1"/>
  <c r="AJ15" i="3"/>
  <c r="AK15" i="3" s="1"/>
  <c r="AL15" i="3" s="1"/>
  <c r="AJ14" i="3"/>
  <c r="AK14" i="3" s="1"/>
  <c r="AL14" i="3" s="1"/>
  <c r="AJ13" i="3"/>
  <c r="AK13" i="3" s="1"/>
  <c r="AL13" i="3" s="1"/>
  <c r="AJ12" i="3"/>
  <c r="AK12" i="3" s="1"/>
  <c r="AL12" i="3" s="1"/>
  <c r="AJ11" i="3"/>
  <c r="AK11" i="3" s="1"/>
  <c r="AL11" i="3" s="1"/>
  <c r="AJ10" i="3"/>
  <c r="AK10" i="3" s="1"/>
  <c r="AL10" i="3" s="1"/>
  <c r="AJ9" i="3"/>
  <c r="AK9" i="3" s="1"/>
  <c r="AL9" i="3" s="1"/>
  <c r="AJ8" i="3"/>
  <c r="AK8" i="3" s="1"/>
  <c r="AL8" i="3" s="1"/>
  <c r="AJ7" i="3"/>
  <c r="AK7" i="3" s="1"/>
  <c r="AL7" i="3" s="1"/>
  <c r="AJ6" i="3"/>
  <c r="AK6" i="3" s="1"/>
  <c r="AL6" i="3" s="1"/>
  <c r="AJ5" i="3"/>
  <c r="AK5" i="3" s="1"/>
  <c r="AL5" i="3" s="1"/>
  <c r="AJ4" i="3"/>
  <c r="AK4" i="3" s="1"/>
  <c r="AL4" i="3" s="1"/>
  <c r="AJ3" i="3"/>
  <c r="AK3" i="3" s="1"/>
  <c r="AL3" i="3" s="1"/>
  <c r="AM2" i="3"/>
  <c r="AN2" i="3" s="1"/>
  <c r="AJ2" i="3"/>
  <c r="AH20" i="3"/>
  <c r="AH21" i="3"/>
  <c r="AI21" i="3"/>
  <c r="AI20" i="3"/>
  <c r="E2" i="30" l="1"/>
  <c r="D10" i="30"/>
  <c r="E2" i="28"/>
  <c r="E2" i="27"/>
  <c r="D12" i="26"/>
  <c r="E2" i="26"/>
  <c r="S2" i="21"/>
  <c r="R18" i="21"/>
  <c r="D18" i="21"/>
  <c r="E2" i="21"/>
  <c r="AJ12" i="18"/>
  <c r="AK2" i="18"/>
  <c r="R12" i="18"/>
  <c r="S2" i="18"/>
  <c r="D12" i="18"/>
  <c r="E2" i="18"/>
  <c r="R18" i="17"/>
  <c r="S2" i="17"/>
  <c r="D18" i="17"/>
  <c r="R19" i="3"/>
  <c r="S2" i="3"/>
  <c r="D19" i="3"/>
  <c r="E2" i="3"/>
  <c r="AJ19" i="3"/>
  <c r="AK2" i="3"/>
  <c r="F2" i="30" l="1"/>
  <c r="F10" i="30" s="1"/>
  <c r="E10" i="30"/>
  <c r="F2" i="28"/>
  <c r="F2" i="27"/>
  <c r="E12" i="26"/>
  <c r="F2" i="26"/>
  <c r="F12" i="26" s="1"/>
  <c r="T2" i="21"/>
  <c r="T18" i="21" s="1"/>
  <c r="S18" i="21"/>
  <c r="F2" i="21"/>
  <c r="F18" i="21" s="1"/>
  <c r="E18" i="21"/>
  <c r="AL2" i="18"/>
  <c r="AL12" i="18" s="1"/>
  <c r="AK12" i="18"/>
  <c r="T2" i="18"/>
  <c r="T12" i="18" s="1"/>
  <c r="S12" i="18"/>
  <c r="F2" i="18"/>
  <c r="F12" i="18" s="1"/>
  <c r="E12" i="18"/>
  <c r="AK18" i="17"/>
  <c r="T2" i="17"/>
  <c r="T18" i="17" s="1"/>
  <c r="S18" i="17"/>
  <c r="F18" i="17"/>
  <c r="E18" i="17"/>
  <c r="S19" i="3"/>
  <c r="T2" i="3"/>
  <c r="T19" i="3" s="1"/>
  <c r="F2" i="3"/>
  <c r="F19" i="3" s="1"/>
  <c r="E19" i="3"/>
  <c r="AL2" i="3"/>
  <c r="AL19" i="3" s="1"/>
  <c r="AK19" i="3"/>
  <c r="D17" i="27"/>
</calcChain>
</file>

<file path=xl/sharedStrings.xml><?xml version="1.0" encoding="utf-8"?>
<sst xmlns="http://schemas.openxmlformats.org/spreadsheetml/2006/main" count="632" uniqueCount="170">
  <si>
    <t>D_spiro_1</t>
  </si>
  <si>
    <t>D_spiro_2</t>
  </si>
  <si>
    <t>D_spiro_3</t>
  </si>
  <si>
    <t>D_biimidazole_1</t>
  </si>
  <si>
    <t>D_biimidazole_2</t>
  </si>
  <si>
    <t>D_biphenyl/bipyridine_1</t>
  </si>
  <si>
    <t>xTB_D_spiro_1</t>
  </si>
  <si>
    <t>DFT_D_spiro_1</t>
  </si>
  <si>
    <t>xTB_D_spiro_2</t>
  </si>
  <si>
    <t>DFT_D_spiro_2</t>
  </si>
  <si>
    <t>xTB_D_spiro_3</t>
  </si>
  <si>
    <t>DFT_D_spiro_3</t>
  </si>
  <si>
    <t>Bias</t>
  </si>
  <si>
    <t>MAE</t>
  </si>
  <si>
    <t>RMSE</t>
  </si>
  <si>
    <t>R</t>
  </si>
  <si>
    <t>R2</t>
  </si>
  <si>
    <t>xTB_D_biimidazole_1</t>
  </si>
  <si>
    <t>DFT_D_biimidazole_1</t>
  </si>
  <si>
    <t>xTB_D_biimidazole_2</t>
  </si>
  <si>
    <t>DFT_D_biimidazole_2</t>
  </si>
  <si>
    <t>xTB_D_biphenyl/bipyridine_1</t>
  </si>
  <si>
    <t>DFT_D_biphenyl/bipyridine_1</t>
  </si>
  <si>
    <t>Perfect line</t>
  </si>
  <si>
    <t>Name</t>
  </si>
  <si>
    <t>M4_L6_D1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</si>
  <si>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</si>
  <si>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</si>
  <si>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</si>
  <si>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</si>
  <si>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</si>
  <si>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</si>
  <si>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</si>
  <si>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</si>
  <si>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</si>
  <si>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</si>
  <si>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</si>
  <si>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</si>
  <si>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</si>
  <si>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</si>
  <si>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</si>
  <si>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</si>
  <si>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</si>
  <si>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</si>
  <si>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M4_L34_D1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</si>
  <si>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</si>
  <si>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</si>
  <si>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</si>
  <si>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</si>
  <si>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</si>
  <si>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</si>
  <si>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</si>
  <si>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</si>
  <si>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</si>
  <si>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</si>
  <si>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</si>
  <si>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</si>
  <si>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</si>
  <si>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</si>
  <si>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</si>
  <si>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</si>
  <si>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</si>
  <si>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</si>
  <si>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</si>
  <si>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</si>
  <si>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</si>
  <si>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</si>
  <si>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</si>
  <si>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</si>
  <si>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</si>
  <si>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</si>
  <si>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</si>
  <si>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</si>
  <si>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</si>
  <si>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</si>
  <si>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</si>
  <si>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</si>
  <si>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</si>
  <si>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</si>
  <si>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</si>
  <si>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</si>
  <si>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</si>
  <si>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</si>
  <si>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</si>
  <si>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</si>
  <si>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</si>
  <si>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</si>
  <si>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</si>
  <si>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</si>
  <si>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</si>
  <si>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</si>
  <si>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</si>
  <si>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</si>
  <si>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</si>
  <si>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</si>
  <si>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</si>
  <si>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</si>
  <si>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</si>
  <si>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</si>
  <si>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</si>
  <si>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</si>
  <si>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</si>
  <si>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</si>
  <si>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</si>
  <si>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</si>
  <si>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</si>
  <si>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</si>
  <si>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</si>
  <si>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</si>
  <si>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</si>
  <si>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</si>
  <si>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</si>
  <si>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</si>
  <si>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</si>
  <si>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</si>
  <si>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</si>
  <si>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</si>
  <si>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</si>
  <si>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</si>
  <si>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</si>
  <si>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</si>
  <si>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</si>
  <si>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</si>
  <si>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</si>
  <si>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</si>
  <si>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</si>
  <si>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</si>
  <si>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</si>
  <si>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</si>
  <si>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</si>
  <si>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</si>
  <si>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</si>
  <si>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</si>
  <si>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 xml:space="preserve"> </t>
  </si>
  <si>
    <t>xTB_D_ACBP</t>
  </si>
  <si>
    <t>DFT_D_ACBP</t>
  </si>
  <si>
    <t>xTB_D_Binol_derivatives</t>
  </si>
  <si>
    <t>DFT_D_Binol_derivatives</t>
  </si>
  <si>
    <t>xTB_D_binaphthyl</t>
  </si>
  <si>
    <t>DFT_D_binaphthyl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</si>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</sst>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Spirodiimine 2</a:t>
            </a:r>
          </a:p>
        </c:rich>
      </c:tx>
      <c:layout>
        <c:manualLayout>
          <c:xMode val="edge"/>
          <c:yMode val="edge"/>
          <c:x val="0.35169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8763888888888891"/>
          <c:w val="0.87041666666666662"/>
          <c:h val="0.56156058617672788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905511811023619E-2"/>
                  <c:y val="0.330879629629629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1.09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+ 1.20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3.56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4.90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10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D_spirodiimine'!$B$2:$B$12</c:f>
              <c:numCache>
                <c:formatCode>General</c:formatCode>
                <c:ptCount val="11"/>
                <c:pt idx="0">
                  <c:v>40.763772299999999</c:v>
                </c:pt>
                <c:pt idx="1">
                  <c:v>33.775610309999998</c:v>
                </c:pt>
                <c:pt idx="2">
                  <c:v>29.719676230000001</c:v>
                </c:pt>
                <c:pt idx="3">
                  <c:v>30.99044984</c:v>
                </c:pt>
                <c:pt idx="4">
                  <c:v>44.234566039999997</c:v>
                </c:pt>
                <c:pt idx="5">
                  <c:v>-31.620045659999999</c:v>
                </c:pt>
                <c:pt idx="6">
                  <c:v>-31.64916388</c:v>
                </c:pt>
                <c:pt idx="7">
                  <c:v>-34.647302510000003</c:v>
                </c:pt>
                <c:pt idx="8">
                  <c:v>-41.503978340000003</c:v>
                </c:pt>
                <c:pt idx="9">
                  <c:v>-28.600327230000001</c:v>
                </c:pt>
              </c:numCache>
            </c:numRef>
          </c:xVal>
          <c:yVal>
            <c:numRef>
              <c:f>'xTB vs DFT D_spirodiimine'!$C$2:$C$12</c:f>
              <c:numCache>
                <c:formatCode>General</c:formatCode>
                <c:ptCount val="11"/>
                <c:pt idx="0">
                  <c:v>44.580383740000002</c:v>
                </c:pt>
                <c:pt idx="1">
                  <c:v>46.131173619999998</c:v>
                </c:pt>
                <c:pt idx="2">
                  <c:v>35.505870989999998</c:v>
                </c:pt>
                <c:pt idx="3">
                  <c:v>32.867506339999998</c:v>
                </c:pt>
                <c:pt idx="4">
                  <c:v>44.16259779</c:v>
                </c:pt>
                <c:pt idx="5">
                  <c:v>-31.14032216</c:v>
                </c:pt>
                <c:pt idx="6">
                  <c:v>-35.559339690000002</c:v>
                </c:pt>
                <c:pt idx="7">
                  <c:v>-37.269966840000002</c:v>
                </c:pt>
                <c:pt idx="8">
                  <c:v>-42.595306839999999</c:v>
                </c:pt>
                <c:pt idx="9">
                  <c:v>-32.161729549999997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5D-4D84-B7F7-552DF412F86E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D_spirodiimine'!$B$2:$B$11</c:f>
              <c:numCache>
                <c:formatCode>General</c:formatCode>
                <c:ptCount val="10"/>
                <c:pt idx="0">
                  <c:v>40.763772299999999</c:v>
                </c:pt>
                <c:pt idx="1">
                  <c:v>33.775610309999998</c:v>
                </c:pt>
                <c:pt idx="2">
                  <c:v>29.719676230000001</c:v>
                </c:pt>
                <c:pt idx="3">
                  <c:v>30.99044984</c:v>
                </c:pt>
                <c:pt idx="4">
                  <c:v>44.234566039999997</c:v>
                </c:pt>
                <c:pt idx="5">
                  <c:v>-31.620045659999999</c:v>
                </c:pt>
                <c:pt idx="6">
                  <c:v>-31.64916388</c:v>
                </c:pt>
                <c:pt idx="7">
                  <c:v>-34.647302510000003</c:v>
                </c:pt>
                <c:pt idx="8">
                  <c:v>-41.503978340000003</c:v>
                </c:pt>
                <c:pt idx="9">
                  <c:v>-28.600327230000001</c:v>
                </c:pt>
              </c:numCache>
            </c:numRef>
          </c:xVal>
          <c:yVal>
            <c:numRef>
              <c:f>'xTB vs DFT D_spirodiimine'!$I$2:$I$11</c:f>
              <c:numCache>
                <c:formatCode>General</c:formatCode>
                <c:ptCount val="10"/>
                <c:pt idx="0">
                  <c:v>40.763772299999999</c:v>
                </c:pt>
                <c:pt idx="1">
                  <c:v>33.775610309999998</c:v>
                </c:pt>
                <c:pt idx="2">
                  <c:v>29.719676230000001</c:v>
                </c:pt>
                <c:pt idx="3">
                  <c:v>30.99044984</c:v>
                </c:pt>
                <c:pt idx="4">
                  <c:v>44.234566039999997</c:v>
                </c:pt>
                <c:pt idx="5">
                  <c:v>-31.620045659999999</c:v>
                </c:pt>
                <c:pt idx="6">
                  <c:v>-31.64916388</c:v>
                </c:pt>
                <c:pt idx="7">
                  <c:v>-34.647302510000003</c:v>
                </c:pt>
                <c:pt idx="8">
                  <c:v>-41.503978340000003</c:v>
                </c:pt>
                <c:pt idx="9">
                  <c:v>-28.600327230000001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5D-4D84-B7F7-552DF412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50"/>
          <c:min val="-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5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Spirodiimine </a:t>
            </a:r>
            <a:r>
              <a:rPr lang="en-IN" sz="1600" b="1" baseline="0">
                <a:solidFill>
                  <a:sysClr val="windowText" lastClr="000000"/>
                </a:solidFill>
              </a:rPr>
              <a:t>3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5523148148148147"/>
          <c:w val="0.86408333333333331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287839020122485E-2"/>
                  <c:y val="0.3956944444444444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1.01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- 1.54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3.34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5.36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10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D_spirodiimine'!$P$2:$P$11</c:f>
              <c:numCache>
                <c:formatCode>General</c:formatCode>
                <c:ptCount val="10"/>
                <c:pt idx="0">
                  <c:v>43.211318140000003</c:v>
                </c:pt>
                <c:pt idx="1">
                  <c:v>34.536897770000003</c:v>
                </c:pt>
                <c:pt idx="2">
                  <c:v>46.645348339999998</c:v>
                </c:pt>
                <c:pt idx="3">
                  <c:v>45.744276999999997</c:v>
                </c:pt>
                <c:pt idx="4">
                  <c:v>30.671964809999999</c:v>
                </c:pt>
                <c:pt idx="5">
                  <c:v>-35.626947250000001</c:v>
                </c:pt>
                <c:pt idx="6">
                  <c:v>-36.56049161</c:v>
                </c:pt>
                <c:pt idx="7">
                  <c:v>-38.116941560000001</c:v>
                </c:pt>
                <c:pt idx="8">
                  <c:v>-30.318976119999999</c:v>
                </c:pt>
                <c:pt idx="9">
                  <c:v>-49.227125540000003</c:v>
                </c:pt>
              </c:numCache>
            </c:numRef>
          </c:xVal>
          <c:yVal>
            <c:numRef>
              <c:f>'xTB vs DFT D_spirodiimine'!$Q$2:$Q$11</c:f>
              <c:numCache>
                <c:formatCode>General</c:formatCode>
                <c:ptCount val="10"/>
                <c:pt idx="0">
                  <c:v>41.52708982</c:v>
                </c:pt>
                <c:pt idx="1">
                  <c:v>33.186568289999997</c:v>
                </c:pt>
                <c:pt idx="2">
                  <c:v>43.960294939999997</c:v>
                </c:pt>
                <c:pt idx="3">
                  <c:v>46.979163929999999</c:v>
                </c:pt>
                <c:pt idx="4">
                  <c:v>32.085121669999999</c:v>
                </c:pt>
                <c:pt idx="5">
                  <c:v>-50.937846819999997</c:v>
                </c:pt>
                <c:pt idx="6">
                  <c:v>-35.830362630000003</c:v>
                </c:pt>
                <c:pt idx="7">
                  <c:v>-37.502845479999998</c:v>
                </c:pt>
                <c:pt idx="8">
                  <c:v>-33.659350959999998</c:v>
                </c:pt>
                <c:pt idx="9">
                  <c:v>-44.143388270000003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F-4B49-B164-033161123C2C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D_spirodiimine'!$P$2:$P$11</c:f>
              <c:numCache>
                <c:formatCode>General</c:formatCode>
                <c:ptCount val="10"/>
                <c:pt idx="0">
                  <c:v>43.211318140000003</c:v>
                </c:pt>
                <c:pt idx="1">
                  <c:v>34.536897770000003</c:v>
                </c:pt>
                <c:pt idx="2">
                  <c:v>46.645348339999998</c:v>
                </c:pt>
                <c:pt idx="3">
                  <c:v>45.744276999999997</c:v>
                </c:pt>
                <c:pt idx="4">
                  <c:v>30.671964809999999</c:v>
                </c:pt>
                <c:pt idx="5">
                  <c:v>-35.626947250000001</c:v>
                </c:pt>
                <c:pt idx="6">
                  <c:v>-36.56049161</c:v>
                </c:pt>
                <c:pt idx="7">
                  <c:v>-38.116941560000001</c:v>
                </c:pt>
                <c:pt idx="8">
                  <c:v>-30.318976119999999</c:v>
                </c:pt>
                <c:pt idx="9">
                  <c:v>-49.227125540000003</c:v>
                </c:pt>
              </c:numCache>
            </c:numRef>
          </c:xVal>
          <c:yVal>
            <c:numRef>
              <c:f>'xTB vs DFT D_spirodiimine'!$W$2:$W$11</c:f>
              <c:numCache>
                <c:formatCode>General</c:formatCode>
                <c:ptCount val="10"/>
                <c:pt idx="0">
                  <c:v>43.211318140000003</c:v>
                </c:pt>
                <c:pt idx="1">
                  <c:v>34.536897770000003</c:v>
                </c:pt>
                <c:pt idx="2">
                  <c:v>46.645348339999998</c:v>
                </c:pt>
                <c:pt idx="3">
                  <c:v>45.744276999999997</c:v>
                </c:pt>
                <c:pt idx="4">
                  <c:v>30.671964809999999</c:v>
                </c:pt>
                <c:pt idx="5">
                  <c:v>-35.626947250000001</c:v>
                </c:pt>
                <c:pt idx="6">
                  <c:v>-36.56049161</c:v>
                </c:pt>
                <c:pt idx="7">
                  <c:v>-38.116941560000001</c:v>
                </c:pt>
                <c:pt idx="8">
                  <c:v>-30.318976119999999</c:v>
                </c:pt>
                <c:pt idx="9">
                  <c:v>-49.227125540000003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7F-4B49-B164-03316112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50"/>
          <c:min val="-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55"/>
          <c:min val="-5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1797900262467"/>
          <c:y val="0.92187445319335082"/>
          <c:w val="0.8166526684164479"/>
          <c:h val="7.81255468066491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Spirodiimine 1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9117891513560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7472222222222224E-2"/>
          <c:y val="0.15060185185185185"/>
          <c:w val="0.86154068241469806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fit</c:nam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67169728783902"/>
                  <c:y val="0.3771759259259259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= 1.02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- 1.18</a:t>
                    </a:r>
                    <a:br>
                      <a:rPr lang="en-US" sz="10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R²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MAE = 3.84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RMSE = 6.51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N = 10</a:t>
                    </a:r>
                    <a:endParaRPr lang="en-US" sz="10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D_spirodiimine'!$AH$2:$AH$11</c:f>
              <c:numCache>
                <c:formatCode>General</c:formatCode>
                <c:ptCount val="10"/>
                <c:pt idx="0">
                  <c:v>96.028644729999996</c:v>
                </c:pt>
                <c:pt idx="1">
                  <c:v>85.921376719999998</c:v>
                </c:pt>
                <c:pt idx="2">
                  <c:v>102.3861189</c:v>
                </c:pt>
                <c:pt idx="3">
                  <c:v>104.4179979</c:v>
                </c:pt>
                <c:pt idx="4">
                  <c:v>93.175336020000003</c:v>
                </c:pt>
                <c:pt idx="5">
                  <c:v>-85.526271109999996</c:v>
                </c:pt>
                <c:pt idx="6">
                  <c:v>-85.848333879999998</c:v>
                </c:pt>
                <c:pt idx="7">
                  <c:v>-99.919215080000001</c:v>
                </c:pt>
                <c:pt idx="8">
                  <c:v>-93.18230355</c:v>
                </c:pt>
                <c:pt idx="9">
                  <c:v>-103.6989777</c:v>
                </c:pt>
              </c:numCache>
            </c:numRef>
          </c:xVal>
          <c:yVal>
            <c:numRef>
              <c:f>'xTB vs DFT D_spirodiimine'!$AI$2:$AI$11</c:f>
              <c:numCache>
                <c:formatCode>General</c:formatCode>
                <c:ptCount val="10"/>
                <c:pt idx="0">
                  <c:v>95.155504969999996</c:v>
                </c:pt>
                <c:pt idx="1">
                  <c:v>94.370376620000002</c:v>
                </c:pt>
                <c:pt idx="2">
                  <c:v>100.48120520000001</c:v>
                </c:pt>
                <c:pt idx="3">
                  <c:v>102.3398126</c:v>
                </c:pt>
                <c:pt idx="4">
                  <c:v>93.510362200000003</c:v>
                </c:pt>
                <c:pt idx="5">
                  <c:v>-103.67145650000001</c:v>
                </c:pt>
                <c:pt idx="6">
                  <c:v>-83.346466879999994</c:v>
                </c:pt>
                <c:pt idx="7">
                  <c:v>-97.916505520000001</c:v>
                </c:pt>
                <c:pt idx="8">
                  <c:v>-95.190922889999996</c:v>
                </c:pt>
                <c:pt idx="9">
                  <c:v>-103.5679538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4-4823-B5D5-3910C283C4CF}"/>
            </c:ext>
          </c:extLst>
        </c:ser>
        <c:ser>
          <c:idx val="1"/>
          <c:order val="1"/>
          <c:tx>
            <c:v>Perfect fit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D_spirodiimine'!$AH$2:$AH$11</c:f>
              <c:numCache>
                <c:formatCode>General</c:formatCode>
                <c:ptCount val="10"/>
                <c:pt idx="0">
                  <c:v>96.028644729999996</c:v>
                </c:pt>
                <c:pt idx="1">
                  <c:v>85.921376719999998</c:v>
                </c:pt>
                <c:pt idx="2">
                  <c:v>102.3861189</c:v>
                </c:pt>
                <c:pt idx="3">
                  <c:v>104.4179979</c:v>
                </c:pt>
                <c:pt idx="4">
                  <c:v>93.175336020000003</c:v>
                </c:pt>
                <c:pt idx="5">
                  <c:v>-85.526271109999996</c:v>
                </c:pt>
                <c:pt idx="6">
                  <c:v>-85.848333879999998</c:v>
                </c:pt>
                <c:pt idx="7">
                  <c:v>-99.919215080000001</c:v>
                </c:pt>
                <c:pt idx="8">
                  <c:v>-93.18230355</c:v>
                </c:pt>
                <c:pt idx="9">
                  <c:v>-103.6989777</c:v>
                </c:pt>
              </c:numCache>
            </c:numRef>
          </c:xVal>
          <c:yVal>
            <c:numRef>
              <c:f>'xTB vs DFT D_spirodiimine'!$AO$2:$AO$12</c:f>
              <c:numCache>
                <c:formatCode>General</c:formatCode>
                <c:ptCount val="11"/>
                <c:pt idx="0">
                  <c:v>96.028644729999996</c:v>
                </c:pt>
                <c:pt idx="1">
                  <c:v>85.921376719999998</c:v>
                </c:pt>
                <c:pt idx="2">
                  <c:v>102.3861189</c:v>
                </c:pt>
                <c:pt idx="3">
                  <c:v>104.4179979</c:v>
                </c:pt>
                <c:pt idx="4">
                  <c:v>93.175336020000003</c:v>
                </c:pt>
                <c:pt idx="5">
                  <c:v>-85.526271109999996</c:v>
                </c:pt>
                <c:pt idx="6">
                  <c:v>-85.848333879999998</c:v>
                </c:pt>
                <c:pt idx="7">
                  <c:v>-99.919215080000001</c:v>
                </c:pt>
                <c:pt idx="8">
                  <c:v>-93.18230355</c:v>
                </c:pt>
                <c:pt idx="9">
                  <c:v>-103.6989777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74-4823-B5D5-3910C283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40"/>
          <c:min val="-1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40"/>
          <c:min val="-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628280839895015"/>
          <c:w val="0.72441863517060379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SPSiBox 2</a:t>
            </a:r>
          </a:p>
        </c:rich>
      </c:tx>
      <c:layout>
        <c:manualLayout>
          <c:xMode val="edge"/>
          <c:yMode val="edge"/>
          <c:x val="0.35169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485564304461939E-2"/>
                  <c:y val="0.307731481481481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1.08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- 2.27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5.67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 7.81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16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D_SPSiBox'!$B$2:$B$18</c:f>
              <c:numCache>
                <c:formatCode>General</c:formatCode>
                <c:ptCount val="17"/>
                <c:pt idx="0">
                  <c:v>-56.723790940000001</c:v>
                </c:pt>
                <c:pt idx="1">
                  <c:v>-83.254574809999994</c:v>
                </c:pt>
                <c:pt idx="2">
                  <c:v>-28.25640598</c:v>
                </c:pt>
                <c:pt idx="3">
                  <c:v>-33.21150334</c:v>
                </c:pt>
                <c:pt idx="4">
                  <c:v>-60.408755810000002</c:v>
                </c:pt>
                <c:pt idx="5">
                  <c:v>-32.485002719999997</c:v>
                </c:pt>
                <c:pt idx="6">
                  <c:v>-33.053818669999998</c:v>
                </c:pt>
                <c:pt idx="7">
                  <c:v>-30.514739200000001</c:v>
                </c:pt>
                <c:pt idx="8">
                  <c:v>44.345814439999998</c:v>
                </c:pt>
                <c:pt idx="9">
                  <c:v>30.34600932</c:v>
                </c:pt>
                <c:pt idx="10">
                  <c:v>34.761996860000004</c:v>
                </c:pt>
                <c:pt idx="11">
                  <c:v>40.982852110000003</c:v>
                </c:pt>
                <c:pt idx="12">
                  <c:v>36.272188739999997</c:v>
                </c:pt>
                <c:pt idx="13">
                  <c:v>31.524562400000001</c:v>
                </c:pt>
                <c:pt idx="14">
                  <c:v>40.622704579999997</c:v>
                </c:pt>
                <c:pt idx="15">
                  <c:v>32.701005430000002</c:v>
                </c:pt>
              </c:numCache>
            </c:numRef>
          </c:xVal>
          <c:yVal>
            <c:numRef>
              <c:f>'xTB vs DFT D_SPSiBox'!$C$2:$C$18</c:f>
              <c:numCache>
                <c:formatCode>General</c:formatCode>
                <c:ptCount val="17"/>
                <c:pt idx="0">
                  <c:v>-55.260859189999998</c:v>
                </c:pt>
                <c:pt idx="1">
                  <c:v>-85.347083229999996</c:v>
                </c:pt>
                <c:pt idx="2">
                  <c:v>-32.896711529999997</c:v>
                </c:pt>
                <c:pt idx="3">
                  <c:v>-40.855942749999997</c:v>
                </c:pt>
                <c:pt idx="4">
                  <c:v>-84.863200160000005</c:v>
                </c:pt>
                <c:pt idx="5">
                  <c:v>-36.863351029999997</c:v>
                </c:pt>
                <c:pt idx="6">
                  <c:v>-36.329762160000001</c:v>
                </c:pt>
                <c:pt idx="7">
                  <c:v>-34.005246649999997</c:v>
                </c:pt>
                <c:pt idx="8">
                  <c:v>35.876241559999997</c:v>
                </c:pt>
                <c:pt idx="9">
                  <c:v>36.535691630000002</c:v>
                </c:pt>
                <c:pt idx="10">
                  <c:v>37.891986189999997</c:v>
                </c:pt>
                <c:pt idx="11">
                  <c:v>48.68447922</c:v>
                </c:pt>
                <c:pt idx="12">
                  <c:v>35.659460559999999</c:v>
                </c:pt>
                <c:pt idx="13">
                  <c:v>33.883402689999997</c:v>
                </c:pt>
                <c:pt idx="14">
                  <c:v>33.638322799999997</c:v>
                </c:pt>
                <c:pt idx="15">
                  <c:v>36.487722929999997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0C-41AF-99EF-C09E74355422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D_SPSiBox'!$B$2:$B$17</c:f>
              <c:numCache>
                <c:formatCode>General</c:formatCode>
                <c:ptCount val="16"/>
                <c:pt idx="0">
                  <c:v>-56.723790940000001</c:v>
                </c:pt>
                <c:pt idx="1">
                  <c:v>-83.254574809999994</c:v>
                </c:pt>
                <c:pt idx="2">
                  <c:v>-28.25640598</c:v>
                </c:pt>
                <c:pt idx="3">
                  <c:v>-33.21150334</c:v>
                </c:pt>
                <c:pt idx="4">
                  <c:v>-60.408755810000002</c:v>
                </c:pt>
                <c:pt idx="5">
                  <c:v>-32.485002719999997</c:v>
                </c:pt>
                <c:pt idx="6">
                  <c:v>-33.053818669999998</c:v>
                </c:pt>
                <c:pt idx="7">
                  <c:v>-30.514739200000001</c:v>
                </c:pt>
                <c:pt idx="8">
                  <c:v>44.345814439999998</c:v>
                </c:pt>
                <c:pt idx="9">
                  <c:v>30.34600932</c:v>
                </c:pt>
                <c:pt idx="10">
                  <c:v>34.761996860000004</c:v>
                </c:pt>
                <c:pt idx="11">
                  <c:v>40.982852110000003</c:v>
                </c:pt>
                <c:pt idx="12">
                  <c:v>36.272188739999997</c:v>
                </c:pt>
                <c:pt idx="13">
                  <c:v>31.524562400000001</c:v>
                </c:pt>
                <c:pt idx="14">
                  <c:v>40.622704579999997</c:v>
                </c:pt>
                <c:pt idx="15">
                  <c:v>32.701005430000002</c:v>
                </c:pt>
              </c:numCache>
            </c:numRef>
          </c:xVal>
          <c:yVal>
            <c:numRef>
              <c:f>'xTB vs DFT D_SPSiBox'!$I$2:$I$17</c:f>
              <c:numCache>
                <c:formatCode>General</c:formatCode>
                <c:ptCount val="16"/>
                <c:pt idx="0">
                  <c:v>-56.723790940000001</c:v>
                </c:pt>
                <c:pt idx="1">
                  <c:v>-83.254574809999994</c:v>
                </c:pt>
                <c:pt idx="2">
                  <c:v>-28.25640598</c:v>
                </c:pt>
                <c:pt idx="3">
                  <c:v>-33.21150334</c:v>
                </c:pt>
                <c:pt idx="4">
                  <c:v>-60.408755810000002</c:v>
                </c:pt>
                <c:pt idx="5">
                  <c:v>-32.485002719999997</c:v>
                </c:pt>
                <c:pt idx="6">
                  <c:v>-33.053818669999998</c:v>
                </c:pt>
                <c:pt idx="7">
                  <c:v>-30.514739200000001</c:v>
                </c:pt>
                <c:pt idx="8">
                  <c:v>44.345814439999998</c:v>
                </c:pt>
                <c:pt idx="9">
                  <c:v>30.34600932</c:v>
                </c:pt>
                <c:pt idx="10">
                  <c:v>34.761996860000004</c:v>
                </c:pt>
                <c:pt idx="11">
                  <c:v>40.982852110000003</c:v>
                </c:pt>
                <c:pt idx="12">
                  <c:v>36.272188739999997</c:v>
                </c:pt>
                <c:pt idx="13">
                  <c:v>31.524562400000001</c:v>
                </c:pt>
                <c:pt idx="14">
                  <c:v>40.622704579999997</c:v>
                </c:pt>
                <c:pt idx="15">
                  <c:v>32.701005430000002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0C-41AF-99EF-C09E74355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50"/>
          <c:min val="-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50"/>
          <c:min val="-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SPSiBox </a:t>
            </a:r>
            <a:r>
              <a:rPr lang="en-IN" sz="1600" b="1" baseline="0">
                <a:solidFill>
                  <a:sysClr val="windowText" lastClr="000000"/>
                </a:solidFill>
              </a:rPr>
              <a:t>3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5523148148148147"/>
          <c:w val="0.86408333333333331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988188976377952E-2"/>
                  <c:y val="0.4003240740740740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1.09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+ 0.67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7.49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10.59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16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D_SPSiBox'!$P$2:$P$17</c:f>
              <c:numCache>
                <c:formatCode>General</c:formatCode>
                <c:ptCount val="16"/>
                <c:pt idx="0">
                  <c:v>-39.241813350000001</c:v>
                </c:pt>
                <c:pt idx="1">
                  <c:v>-30.277118460000001</c:v>
                </c:pt>
                <c:pt idx="2">
                  <c:v>-83.170979450000004</c:v>
                </c:pt>
                <c:pt idx="3">
                  <c:v>-30.382052309999999</c:v>
                </c:pt>
                <c:pt idx="4">
                  <c:v>-38.729889399999998</c:v>
                </c:pt>
                <c:pt idx="5">
                  <c:v>-31.07316239</c:v>
                </c:pt>
                <c:pt idx="6">
                  <c:v>-31.445310020000001</c:v>
                </c:pt>
                <c:pt idx="7">
                  <c:v>-30.371560519999999</c:v>
                </c:pt>
                <c:pt idx="8">
                  <c:v>57.04281727</c:v>
                </c:pt>
                <c:pt idx="9">
                  <c:v>75.80605826</c:v>
                </c:pt>
                <c:pt idx="10">
                  <c:v>34.995808259999997</c:v>
                </c:pt>
                <c:pt idx="11">
                  <c:v>60.0908637</c:v>
                </c:pt>
                <c:pt idx="12">
                  <c:v>51.295449910000002</c:v>
                </c:pt>
                <c:pt idx="13">
                  <c:v>77.281162969999997</c:v>
                </c:pt>
                <c:pt idx="14">
                  <c:v>61.982182950000002</c:v>
                </c:pt>
                <c:pt idx="15">
                  <c:v>42.022386879999999</c:v>
                </c:pt>
              </c:numCache>
            </c:numRef>
          </c:xVal>
          <c:yVal>
            <c:numRef>
              <c:f>'xTB vs DFT D_SPSiBox'!$Q$2:$Q$17</c:f>
              <c:numCache>
                <c:formatCode>General</c:formatCode>
                <c:ptCount val="16"/>
                <c:pt idx="0">
                  <c:v>-41.183187799999999</c:v>
                </c:pt>
                <c:pt idx="1">
                  <c:v>-33.699798870000002</c:v>
                </c:pt>
                <c:pt idx="2">
                  <c:v>-85.907742510000006</c:v>
                </c:pt>
                <c:pt idx="3">
                  <c:v>-34.18851386</c:v>
                </c:pt>
                <c:pt idx="4">
                  <c:v>-34.046050090000001</c:v>
                </c:pt>
                <c:pt idx="5">
                  <c:v>-36.934255149999998</c:v>
                </c:pt>
                <c:pt idx="6">
                  <c:v>-36.005421259999999</c:v>
                </c:pt>
                <c:pt idx="7">
                  <c:v>-34.568726689999998</c:v>
                </c:pt>
                <c:pt idx="8">
                  <c:v>84.254403879999998</c:v>
                </c:pt>
                <c:pt idx="9">
                  <c:v>81.14107448</c:v>
                </c:pt>
                <c:pt idx="10">
                  <c:v>36.617219200000001</c:v>
                </c:pt>
                <c:pt idx="11">
                  <c:v>62.631182289999998</c:v>
                </c:pt>
                <c:pt idx="12">
                  <c:v>35.068289350000001</c:v>
                </c:pt>
                <c:pt idx="13">
                  <c:v>84.259548370000005</c:v>
                </c:pt>
                <c:pt idx="14">
                  <c:v>85.302217880000001</c:v>
                </c:pt>
                <c:pt idx="15">
                  <c:v>36.668350119999999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3-4452-B817-F64973F7E722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D_SPSiBox'!$P$2:$P$17</c:f>
              <c:numCache>
                <c:formatCode>General</c:formatCode>
                <c:ptCount val="16"/>
                <c:pt idx="0">
                  <c:v>-39.241813350000001</c:v>
                </c:pt>
                <c:pt idx="1">
                  <c:v>-30.277118460000001</c:v>
                </c:pt>
                <c:pt idx="2">
                  <c:v>-83.170979450000004</c:v>
                </c:pt>
                <c:pt idx="3">
                  <c:v>-30.382052309999999</c:v>
                </c:pt>
                <c:pt idx="4">
                  <c:v>-38.729889399999998</c:v>
                </c:pt>
                <c:pt idx="5">
                  <c:v>-31.07316239</c:v>
                </c:pt>
                <c:pt idx="6">
                  <c:v>-31.445310020000001</c:v>
                </c:pt>
                <c:pt idx="7">
                  <c:v>-30.371560519999999</c:v>
                </c:pt>
                <c:pt idx="8">
                  <c:v>57.04281727</c:v>
                </c:pt>
                <c:pt idx="9">
                  <c:v>75.80605826</c:v>
                </c:pt>
                <c:pt idx="10">
                  <c:v>34.995808259999997</c:v>
                </c:pt>
                <c:pt idx="11">
                  <c:v>60.0908637</c:v>
                </c:pt>
                <c:pt idx="12">
                  <c:v>51.295449910000002</c:v>
                </c:pt>
                <c:pt idx="13">
                  <c:v>77.281162969999997</c:v>
                </c:pt>
                <c:pt idx="14">
                  <c:v>61.982182950000002</c:v>
                </c:pt>
                <c:pt idx="15">
                  <c:v>42.022386879999999</c:v>
                </c:pt>
              </c:numCache>
            </c:numRef>
          </c:xVal>
          <c:yVal>
            <c:numRef>
              <c:f>'xTB vs DFT D_SPSiBox'!$W$2:$W$17</c:f>
              <c:numCache>
                <c:formatCode>General</c:formatCode>
                <c:ptCount val="16"/>
                <c:pt idx="0">
                  <c:v>-39.241813350000001</c:v>
                </c:pt>
                <c:pt idx="1">
                  <c:v>-30.277118460000001</c:v>
                </c:pt>
                <c:pt idx="2">
                  <c:v>-83.170979450000004</c:v>
                </c:pt>
                <c:pt idx="3">
                  <c:v>-30.382052309999999</c:v>
                </c:pt>
                <c:pt idx="4">
                  <c:v>-38.729889399999998</c:v>
                </c:pt>
                <c:pt idx="5">
                  <c:v>-31.07316239</c:v>
                </c:pt>
                <c:pt idx="6">
                  <c:v>-31.445310020000001</c:v>
                </c:pt>
                <c:pt idx="7">
                  <c:v>-30.371560519999999</c:v>
                </c:pt>
                <c:pt idx="8">
                  <c:v>57.04281727</c:v>
                </c:pt>
                <c:pt idx="9">
                  <c:v>75.80605826</c:v>
                </c:pt>
                <c:pt idx="10">
                  <c:v>34.995808259999997</c:v>
                </c:pt>
                <c:pt idx="11">
                  <c:v>60.0908637</c:v>
                </c:pt>
                <c:pt idx="12">
                  <c:v>51.295449910000002</c:v>
                </c:pt>
                <c:pt idx="13">
                  <c:v>77.281162969999997</c:v>
                </c:pt>
                <c:pt idx="14">
                  <c:v>61.982182950000002</c:v>
                </c:pt>
                <c:pt idx="15">
                  <c:v>42.022386879999999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03-4452-B817-F64973F7E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1797900262467"/>
          <c:y val="0.92187445319335082"/>
          <c:w val="0.8166526684164479"/>
          <c:h val="7.81255468066491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SPSiBox 1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996734470691163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7472222222222224E-2"/>
          <c:y val="0.15060185185185185"/>
          <c:w val="0.85042957130358698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fit</c:nam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63429571303587E-2"/>
                  <c:y val="0.391064814814814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= 1.02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+ 2.24</a:t>
                    </a:r>
                    <a:br>
                      <a:rPr lang="en-US" sz="10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R²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MAE = 4.56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RMSE = 7.34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N = 16</a:t>
                    </a:r>
                    <a:endParaRPr lang="en-US" sz="10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D_SPSiBox'!$AH$2:$AH$17</c:f>
              <c:numCache>
                <c:formatCode>General</c:formatCode>
                <c:ptCount val="16"/>
                <c:pt idx="0">
                  <c:v>-107.2344183</c:v>
                </c:pt>
                <c:pt idx="1">
                  <c:v>-96.806327510000003</c:v>
                </c:pt>
                <c:pt idx="2">
                  <c:v>-140.35174129999999</c:v>
                </c:pt>
                <c:pt idx="3">
                  <c:v>-114.0301832</c:v>
                </c:pt>
                <c:pt idx="4">
                  <c:v>-104.363995</c:v>
                </c:pt>
                <c:pt idx="5">
                  <c:v>-121.5254778</c:v>
                </c:pt>
                <c:pt idx="6">
                  <c:v>-121.6679827</c:v>
                </c:pt>
                <c:pt idx="7">
                  <c:v>-119.824089</c:v>
                </c:pt>
                <c:pt idx="8">
                  <c:v>122.7913004</c:v>
                </c:pt>
                <c:pt idx="9">
                  <c:v>140.1015166</c:v>
                </c:pt>
                <c:pt idx="10">
                  <c:v>123.084203</c:v>
                </c:pt>
                <c:pt idx="11">
                  <c:v>111.7410046</c:v>
                </c:pt>
                <c:pt idx="12">
                  <c:v>127.35483050000001</c:v>
                </c:pt>
                <c:pt idx="13">
                  <c:v>141.64866549999999</c:v>
                </c:pt>
                <c:pt idx="14">
                  <c:v>126.6069408</c:v>
                </c:pt>
                <c:pt idx="15">
                  <c:v>125.39592690000001</c:v>
                </c:pt>
              </c:numCache>
            </c:numRef>
          </c:xVal>
          <c:yVal>
            <c:numRef>
              <c:f>'xTB vs DFT D_SPSiBox'!$AI$2:$AI$17</c:f>
              <c:numCache>
                <c:formatCode>General</c:formatCode>
                <c:ptCount val="16"/>
                <c:pt idx="0">
                  <c:v>-107.1133189</c:v>
                </c:pt>
                <c:pt idx="1">
                  <c:v>-97.097859810000003</c:v>
                </c:pt>
                <c:pt idx="2">
                  <c:v>-143.0456002</c:v>
                </c:pt>
                <c:pt idx="3">
                  <c:v>-111.7109446</c:v>
                </c:pt>
                <c:pt idx="4">
                  <c:v>-96.861063619999996</c:v>
                </c:pt>
                <c:pt idx="5">
                  <c:v>-124.2772973</c:v>
                </c:pt>
                <c:pt idx="6">
                  <c:v>-124.4869911</c:v>
                </c:pt>
                <c:pt idx="7">
                  <c:v>-122.7535639</c:v>
                </c:pt>
                <c:pt idx="8">
                  <c:v>144.49727110000001</c:v>
                </c:pt>
                <c:pt idx="9">
                  <c:v>142.3384466</c:v>
                </c:pt>
                <c:pt idx="10">
                  <c:v>123.94991659999999</c:v>
                </c:pt>
                <c:pt idx="11">
                  <c:v>114.9010748</c:v>
                </c:pt>
                <c:pt idx="12">
                  <c:v>124.1946999</c:v>
                </c:pt>
                <c:pt idx="13">
                  <c:v>142.944232</c:v>
                </c:pt>
                <c:pt idx="14">
                  <c:v>142.79397059999999</c:v>
                </c:pt>
                <c:pt idx="15">
                  <c:v>122.513323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3-4A5E-9E1A-8685EAFC7772}"/>
            </c:ext>
          </c:extLst>
        </c:ser>
        <c:ser>
          <c:idx val="1"/>
          <c:order val="1"/>
          <c:tx>
            <c:v>Perfect fit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D_SPSiBox'!$AH$2:$AH$17</c:f>
              <c:numCache>
                <c:formatCode>General</c:formatCode>
                <c:ptCount val="16"/>
                <c:pt idx="0">
                  <c:v>-107.2344183</c:v>
                </c:pt>
                <c:pt idx="1">
                  <c:v>-96.806327510000003</c:v>
                </c:pt>
                <c:pt idx="2">
                  <c:v>-140.35174129999999</c:v>
                </c:pt>
                <c:pt idx="3">
                  <c:v>-114.0301832</c:v>
                </c:pt>
                <c:pt idx="4">
                  <c:v>-104.363995</c:v>
                </c:pt>
                <c:pt idx="5">
                  <c:v>-121.5254778</c:v>
                </c:pt>
                <c:pt idx="6">
                  <c:v>-121.6679827</c:v>
                </c:pt>
                <c:pt idx="7">
                  <c:v>-119.824089</c:v>
                </c:pt>
                <c:pt idx="8">
                  <c:v>122.7913004</c:v>
                </c:pt>
                <c:pt idx="9">
                  <c:v>140.1015166</c:v>
                </c:pt>
                <c:pt idx="10">
                  <c:v>123.084203</c:v>
                </c:pt>
                <c:pt idx="11">
                  <c:v>111.7410046</c:v>
                </c:pt>
                <c:pt idx="12">
                  <c:v>127.35483050000001</c:v>
                </c:pt>
                <c:pt idx="13">
                  <c:v>141.64866549999999</c:v>
                </c:pt>
                <c:pt idx="14">
                  <c:v>126.6069408</c:v>
                </c:pt>
                <c:pt idx="15">
                  <c:v>125.39592690000001</c:v>
                </c:pt>
              </c:numCache>
            </c:numRef>
          </c:xVal>
          <c:yVal>
            <c:numRef>
              <c:f>'xTB vs DFT D_SPSiBox'!$AO$2:$AO$18</c:f>
              <c:numCache>
                <c:formatCode>General</c:formatCode>
                <c:ptCount val="17"/>
                <c:pt idx="0">
                  <c:v>-107.2344183</c:v>
                </c:pt>
                <c:pt idx="1">
                  <c:v>-96.806327510000003</c:v>
                </c:pt>
                <c:pt idx="2">
                  <c:v>-140.35174129999999</c:v>
                </c:pt>
                <c:pt idx="3">
                  <c:v>-114.0301832</c:v>
                </c:pt>
                <c:pt idx="4">
                  <c:v>-104.363995</c:v>
                </c:pt>
                <c:pt idx="5">
                  <c:v>-121.5254778</c:v>
                </c:pt>
                <c:pt idx="6">
                  <c:v>-121.6679827</c:v>
                </c:pt>
                <c:pt idx="7">
                  <c:v>-119.824089</c:v>
                </c:pt>
                <c:pt idx="8">
                  <c:v>122.7913004</c:v>
                </c:pt>
                <c:pt idx="9">
                  <c:v>140.1015166</c:v>
                </c:pt>
                <c:pt idx="10">
                  <c:v>123.084203</c:v>
                </c:pt>
                <c:pt idx="11">
                  <c:v>111.7410046</c:v>
                </c:pt>
                <c:pt idx="12">
                  <c:v>127.35483050000001</c:v>
                </c:pt>
                <c:pt idx="13">
                  <c:v>141.64866549999999</c:v>
                </c:pt>
                <c:pt idx="14">
                  <c:v>126.6069408</c:v>
                </c:pt>
                <c:pt idx="15">
                  <c:v>125.39592690000001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E3-4A5E-9E1A-8685EAFC7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40"/>
          <c:min val="-1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40"/>
          <c:min val="-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56846019247594"/>
          <c:y val="0.91628280839895015"/>
          <c:w val="0.72441863517060379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spiroBox 2</a:t>
            </a:r>
          </a:p>
        </c:rich>
      </c:tx>
      <c:layout>
        <c:manualLayout>
          <c:xMode val="edge"/>
          <c:yMode val="edge"/>
          <c:x val="0.35169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485564304461939E-2"/>
                  <c:y val="0.307731481481481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 = 1.04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+ 0.71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Perason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3.75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6.25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18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D_spiroBox'!$B$2:$B$19</c:f>
              <c:numCache>
                <c:formatCode>General</c:formatCode>
                <c:ptCount val="18"/>
                <c:pt idx="0">
                  <c:v>-29.656558220000001</c:v>
                </c:pt>
                <c:pt idx="1">
                  <c:v>-37.888702879999997</c:v>
                </c:pt>
                <c:pt idx="2">
                  <c:v>-39.5594404</c:v>
                </c:pt>
                <c:pt idx="3">
                  <c:v>-78.324463789999996</c:v>
                </c:pt>
                <c:pt idx="4">
                  <c:v>40.174198480000001</c:v>
                </c:pt>
                <c:pt idx="5">
                  <c:v>-39.208530160000002</c:v>
                </c:pt>
                <c:pt idx="6">
                  <c:v>46.964837260000003</c:v>
                </c:pt>
                <c:pt idx="7">
                  <c:v>47.61971509</c:v>
                </c:pt>
                <c:pt idx="8">
                  <c:v>28.78687175</c:v>
                </c:pt>
                <c:pt idx="9">
                  <c:v>39.787306839999999</c:v>
                </c:pt>
                <c:pt idx="10">
                  <c:v>29.247898360000001</c:v>
                </c:pt>
                <c:pt idx="11">
                  <c:v>27.612243920000001</c:v>
                </c:pt>
                <c:pt idx="12">
                  <c:v>-35.972344649999997</c:v>
                </c:pt>
                <c:pt idx="13">
                  <c:v>39.271065159999999</c:v>
                </c:pt>
                <c:pt idx="14">
                  <c:v>-45.120086309999998</c:v>
                </c:pt>
                <c:pt idx="15">
                  <c:v>-44.06432307</c:v>
                </c:pt>
                <c:pt idx="16">
                  <c:v>-31.16204999</c:v>
                </c:pt>
              </c:numCache>
            </c:numRef>
          </c:xVal>
          <c:yVal>
            <c:numRef>
              <c:f>'xTB vs DFT D_spiroBox'!$C$2:$C$19</c:f>
              <c:numCache>
                <c:formatCode>General</c:formatCode>
                <c:ptCount val="18"/>
                <c:pt idx="0">
                  <c:v>-31.182233029999999</c:v>
                </c:pt>
                <c:pt idx="1">
                  <c:v>-39.079276389999997</c:v>
                </c:pt>
                <c:pt idx="2">
                  <c:v>-40.052557460000003</c:v>
                </c:pt>
                <c:pt idx="3">
                  <c:v>-71.360056790000002</c:v>
                </c:pt>
                <c:pt idx="4">
                  <c:v>45.46835068</c:v>
                </c:pt>
                <c:pt idx="5">
                  <c:v>-39.233616679999997</c:v>
                </c:pt>
                <c:pt idx="6">
                  <c:v>50.729448699999999</c:v>
                </c:pt>
                <c:pt idx="7">
                  <c:v>50.253235549999999</c:v>
                </c:pt>
                <c:pt idx="8">
                  <c:v>40.384299679999998</c:v>
                </c:pt>
                <c:pt idx="9">
                  <c:v>40.01538309</c:v>
                </c:pt>
                <c:pt idx="10">
                  <c:v>31.391150339999999</c:v>
                </c:pt>
                <c:pt idx="11">
                  <c:v>27.9248476</c:v>
                </c:pt>
                <c:pt idx="12">
                  <c:v>-37.781178429999997</c:v>
                </c:pt>
                <c:pt idx="13">
                  <c:v>39.24387729</c:v>
                </c:pt>
                <c:pt idx="14">
                  <c:v>-40.679253719999998</c:v>
                </c:pt>
                <c:pt idx="15">
                  <c:v>-46.459803839999999</c:v>
                </c:pt>
                <c:pt idx="16">
                  <c:v>-51.913637970000003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6-4171-BC6F-EF0301C649CE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D_spiroBox'!$B$2:$B$18</c:f>
              <c:numCache>
                <c:formatCode>General</c:formatCode>
                <c:ptCount val="17"/>
                <c:pt idx="0">
                  <c:v>-29.656558220000001</c:v>
                </c:pt>
                <c:pt idx="1">
                  <c:v>-37.888702879999997</c:v>
                </c:pt>
                <c:pt idx="2">
                  <c:v>-39.5594404</c:v>
                </c:pt>
                <c:pt idx="3">
                  <c:v>-78.324463789999996</c:v>
                </c:pt>
                <c:pt idx="4">
                  <c:v>40.174198480000001</c:v>
                </c:pt>
                <c:pt idx="5">
                  <c:v>-39.208530160000002</c:v>
                </c:pt>
                <c:pt idx="6">
                  <c:v>46.964837260000003</c:v>
                </c:pt>
                <c:pt idx="7">
                  <c:v>47.61971509</c:v>
                </c:pt>
                <c:pt idx="8">
                  <c:v>28.78687175</c:v>
                </c:pt>
                <c:pt idx="9">
                  <c:v>39.787306839999999</c:v>
                </c:pt>
                <c:pt idx="10">
                  <c:v>29.247898360000001</c:v>
                </c:pt>
                <c:pt idx="11">
                  <c:v>27.612243920000001</c:v>
                </c:pt>
                <c:pt idx="12">
                  <c:v>-35.972344649999997</c:v>
                </c:pt>
                <c:pt idx="13">
                  <c:v>39.271065159999999</c:v>
                </c:pt>
                <c:pt idx="14">
                  <c:v>-45.120086309999998</c:v>
                </c:pt>
                <c:pt idx="15">
                  <c:v>-44.06432307</c:v>
                </c:pt>
                <c:pt idx="16">
                  <c:v>-31.16204999</c:v>
                </c:pt>
              </c:numCache>
            </c:numRef>
          </c:xVal>
          <c:yVal>
            <c:numRef>
              <c:f>'xTB vs DFT D_spiroBox'!$I$2:$I$18</c:f>
              <c:numCache>
                <c:formatCode>General</c:formatCode>
                <c:ptCount val="17"/>
                <c:pt idx="0">
                  <c:v>-29.656558220000001</c:v>
                </c:pt>
                <c:pt idx="1">
                  <c:v>-37.888702879999997</c:v>
                </c:pt>
                <c:pt idx="2">
                  <c:v>-39.5594404</c:v>
                </c:pt>
                <c:pt idx="3">
                  <c:v>-78.324463789999996</c:v>
                </c:pt>
                <c:pt idx="4">
                  <c:v>40.174198480000001</c:v>
                </c:pt>
                <c:pt idx="5">
                  <c:v>-39.208530160000002</c:v>
                </c:pt>
                <c:pt idx="6">
                  <c:v>46.964837260000003</c:v>
                </c:pt>
                <c:pt idx="7">
                  <c:v>47.61971509</c:v>
                </c:pt>
                <c:pt idx="8">
                  <c:v>28.78687175</c:v>
                </c:pt>
                <c:pt idx="9">
                  <c:v>39.787306839999999</c:v>
                </c:pt>
                <c:pt idx="10">
                  <c:v>29.247898360000001</c:v>
                </c:pt>
                <c:pt idx="11">
                  <c:v>27.612243920000001</c:v>
                </c:pt>
                <c:pt idx="12">
                  <c:v>-35.972344649999997</c:v>
                </c:pt>
                <c:pt idx="13">
                  <c:v>39.271065159999999</c:v>
                </c:pt>
                <c:pt idx="14">
                  <c:v>-45.120086309999998</c:v>
                </c:pt>
                <c:pt idx="15">
                  <c:v>-44.06432307</c:v>
                </c:pt>
                <c:pt idx="16">
                  <c:v>-31.16204999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FD-4E3A-9E22-B9E045824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-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in val="-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spiroBox </a:t>
            </a:r>
            <a:r>
              <a:rPr lang="en-IN" sz="1600" b="1" baseline="0">
                <a:solidFill>
                  <a:sysClr val="windowText" lastClr="000000"/>
                </a:solidFill>
              </a:rPr>
              <a:t>3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5523148148148147"/>
          <c:w val="0.86408333333333331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14654418197725E-2"/>
                  <c:y val="0.386435185185185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/>
                      <a:t>= 0.89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+ 0.12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/>
                      <a:t>Perason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/>
                      <a:t>MAE = 5.72°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/>
                      <a:t>RMSE = 12.04°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/>
                      <a:t>N = 18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D_spiroBox'!$P$2:$P$20</c:f>
              <c:numCache>
                <c:formatCode>General</c:formatCode>
                <c:ptCount val="19"/>
                <c:pt idx="0">
                  <c:v>-81.466770629999999</c:v>
                </c:pt>
                <c:pt idx="1">
                  <c:v>-37.989590890000002</c:v>
                </c:pt>
                <c:pt idx="2">
                  <c:v>-39.271177960000003</c:v>
                </c:pt>
                <c:pt idx="3">
                  <c:v>-30.61176202</c:v>
                </c:pt>
                <c:pt idx="4">
                  <c:v>37.65864698</c:v>
                </c:pt>
                <c:pt idx="5">
                  <c:v>-38.566134060000003</c:v>
                </c:pt>
                <c:pt idx="6">
                  <c:v>43.519792219999999</c:v>
                </c:pt>
                <c:pt idx="7">
                  <c:v>49.135718150000002</c:v>
                </c:pt>
                <c:pt idx="8">
                  <c:v>75.929943949999995</c:v>
                </c:pt>
                <c:pt idx="9">
                  <c:v>40.436893259999998</c:v>
                </c:pt>
                <c:pt idx="10">
                  <c:v>76.2705725</c:v>
                </c:pt>
                <c:pt idx="11">
                  <c:v>76.833045260000006</c:v>
                </c:pt>
                <c:pt idx="12">
                  <c:v>-45.918938320000002</c:v>
                </c:pt>
                <c:pt idx="13">
                  <c:v>38.507304730000001</c:v>
                </c:pt>
                <c:pt idx="14">
                  <c:v>-46.161838430000003</c:v>
                </c:pt>
                <c:pt idx="15">
                  <c:v>-44.785748669999997</c:v>
                </c:pt>
                <c:pt idx="16">
                  <c:v>-86.063813179999997</c:v>
                </c:pt>
                <c:pt idx="18">
                  <c:v>-86.063813179999997</c:v>
                </c:pt>
              </c:numCache>
            </c:numRef>
          </c:xVal>
          <c:yVal>
            <c:numRef>
              <c:f>'xTB vs DFT D_spiroBox'!$Q$2:$Q$20</c:f>
              <c:numCache>
                <c:formatCode>General</c:formatCode>
                <c:ptCount val="19"/>
                <c:pt idx="0">
                  <c:v>-79.2746961</c:v>
                </c:pt>
                <c:pt idx="1">
                  <c:v>-38.766936690000001</c:v>
                </c:pt>
                <c:pt idx="2">
                  <c:v>-40.074010059999999</c:v>
                </c:pt>
                <c:pt idx="3">
                  <c:v>-27.933100150000001</c:v>
                </c:pt>
                <c:pt idx="4">
                  <c:v>38.868304539999997</c:v>
                </c:pt>
                <c:pt idx="5">
                  <c:v>-38.223580349999999</c:v>
                </c:pt>
                <c:pt idx="6">
                  <c:v>37.051560289999998</c:v>
                </c:pt>
                <c:pt idx="7">
                  <c:v>52.021831730000002</c:v>
                </c:pt>
                <c:pt idx="8">
                  <c:v>40.282864189999998</c:v>
                </c:pt>
                <c:pt idx="9">
                  <c:v>39.833230630000003</c:v>
                </c:pt>
                <c:pt idx="10">
                  <c:v>79.430938190000006</c:v>
                </c:pt>
                <c:pt idx="11">
                  <c:v>71.366891710000004</c:v>
                </c:pt>
                <c:pt idx="12">
                  <c:v>-45.85700439</c:v>
                </c:pt>
                <c:pt idx="13">
                  <c:v>38.231019940000003</c:v>
                </c:pt>
                <c:pt idx="14">
                  <c:v>-48.284131309999999</c:v>
                </c:pt>
                <c:pt idx="15">
                  <c:v>-42.863448409999997</c:v>
                </c:pt>
                <c:pt idx="16">
                  <c:v>-51.034977130000001</c:v>
                </c:pt>
                <c:pt idx="18">
                  <c:v>-79.2746961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F-4475-A3D4-B7C912067665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D_spiroBox'!$P$2:$P$18</c:f>
              <c:numCache>
                <c:formatCode>General</c:formatCode>
                <c:ptCount val="17"/>
                <c:pt idx="0">
                  <c:v>-81.466770629999999</c:v>
                </c:pt>
                <c:pt idx="1">
                  <c:v>-37.989590890000002</c:v>
                </c:pt>
                <c:pt idx="2">
                  <c:v>-39.271177960000003</c:v>
                </c:pt>
                <c:pt idx="3">
                  <c:v>-30.61176202</c:v>
                </c:pt>
                <c:pt idx="4">
                  <c:v>37.65864698</c:v>
                </c:pt>
                <c:pt idx="5">
                  <c:v>-38.566134060000003</c:v>
                </c:pt>
                <c:pt idx="6">
                  <c:v>43.519792219999999</c:v>
                </c:pt>
                <c:pt idx="7">
                  <c:v>49.135718150000002</c:v>
                </c:pt>
                <c:pt idx="8">
                  <c:v>75.929943949999995</c:v>
                </c:pt>
                <c:pt idx="9">
                  <c:v>40.436893259999998</c:v>
                </c:pt>
                <c:pt idx="10">
                  <c:v>76.2705725</c:v>
                </c:pt>
                <c:pt idx="11">
                  <c:v>76.833045260000006</c:v>
                </c:pt>
                <c:pt idx="12">
                  <c:v>-45.918938320000002</c:v>
                </c:pt>
                <c:pt idx="13">
                  <c:v>38.507304730000001</c:v>
                </c:pt>
                <c:pt idx="14">
                  <c:v>-46.161838430000003</c:v>
                </c:pt>
                <c:pt idx="15">
                  <c:v>-44.785748669999997</c:v>
                </c:pt>
                <c:pt idx="16">
                  <c:v>-86.063813179999997</c:v>
                </c:pt>
              </c:numCache>
            </c:numRef>
          </c:xVal>
          <c:yVal>
            <c:numRef>
              <c:f>'xTB vs DFT D_spiroBox'!$W$2:$W$18</c:f>
              <c:numCache>
                <c:formatCode>General</c:formatCode>
                <c:ptCount val="17"/>
                <c:pt idx="0">
                  <c:v>-81.466770629999999</c:v>
                </c:pt>
                <c:pt idx="1">
                  <c:v>-37.989590890000002</c:v>
                </c:pt>
                <c:pt idx="2">
                  <c:v>-39.271177960000003</c:v>
                </c:pt>
                <c:pt idx="3">
                  <c:v>-30.61176202</c:v>
                </c:pt>
                <c:pt idx="4">
                  <c:v>37.65864698</c:v>
                </c:pt>
                <c:pt idx="5">
                  <c:v>-38.566134060000003</c:v>
                </c:pt>
                <c:pt idx="6">
                  <c:v>43.519792219999999</c:v>
                </c:pt>
                <c:pt idx="7">
                  <c:v>49.135718150000002</c:v>
                </c:pt>
                <c:pt idx="8">
                  <c:v>75.929943949999995</c:v>
                </c:pt>
                <c:pt idx="9">
                  <c:v>40.436893259999998</c:v>
                </c:pt>
                <c:pt idx="10">
                  <c:v>76.2705725</c:v>
                </c:pt>
                <c:pt idx="11">
                  <c:v>76.833045260000006</c:v>
                </c:pt>
                <c:pt idx="12">
                  <c:v>-45.918938320000002</c:v>
                </c:pt>
                <c:pt idx="13">
                  <c:v>38.507304730000001</c:v>
                </c:pt>
                <c:pt idx="14">
                  <c:v>-46.161838430000003</c:v>
                </c:pt>
                <c:pt idx="15">
                  <c:v>-44.785748669999997</c:v>
                </c:pt>
                <c:pt idx="16">
                  <c:v>-86.063813179999997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C5-4AA3-A900-07D2C9B51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1797900262467"/>
          <c:y val="0.92187445319335082"/>
          <c:w val="0.8166526684164479"/>
          <c:h val="7.81255468066491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SpiroBox 1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996734470691163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7472222222222224E-2"/>
          <c:y val="0.15060185185185185"/>
          <c:w val="0.84487401574803145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Linear fit</c:nam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338582677165357E-5"/>
                  <c:y val="0.391064814814814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 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= 0.96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 + 0.35</a:t>
                    </a:r>
                    <a:br>
                      <a:rPr lang="en-US" sz="1000" b="1" baseline="0">
                        <a:solidFill>
                          <a:sysClr val="windowText" lastClr="000000"/>
                        </a:solidFill>
                      </a:rPr>
                    </a:b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R²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MAE = 4.44</a:t>
                    </a:r>
                    <a:r>
                      <a:rPr lang="en-IN" sz="1000" b="0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RMSE = 10.29</a:t>
                    </a:r>
                    <a:r>
                      <a:rPr lang="en-IN" sz="1000" b="0" i="0" u="none" strike="noStrike" baseline="0">
                        <a:effectLst/>
                      </a:rPr>
                      <a:t>°</a:t>
                    </a:r>
                    <a:endParaRPr lang="en-US" sz="1000" b="1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>
                        <a:solidFill>
                          <a:sysClr val="windowText" lastClr="000000"/>
                        </a:solidFill>
                      </a:rPr>
                      <a:t>N = 17</a:t>
                    </a:r>
                    <a:endParaRPr lang="en-US" sz="1000" b="1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D_spiroBox'!$AH$2:$AH$18</c:f>
              <c:numCache>
                <c:formatCode>General</c:formatCode>
                <c:ptCount val="17"/>
                <c:pt idx="0">
                  <c:v>-137.54730559999999</c:v>
                </c:pt>
                <c:pt idx="1">
                  <c:v>-107.1231585</c:v>
                </c:pt>
                <c:pt idx="2">
                  <c:v>-108.06915100000001</c:v>
                </c:pt>
                <c:pt idx="3">
                  <c:v>-89.597721750000005</c:v>
                </c:pt>
                <c:pt idx="4">
                  <c:v>101.3209298</c:v>
                </c:pt>
                <c:pt idx="5">
                  <c:v>-107.6662168</c:v>
                </c:pt>
                <c:pt idx="6">
                  <c:v>100.18460450000001</c:v>
                </c:pt>
                <c:pt idx="7">
                  <c:v>100.6524259</c:v>
                </c:pt>
                <c:pt idx="8">
                  <c:v>135.28343459999999</c:v>
                </c:pt>
                <c:pt idx="9">
                  <c:v>108.7627274</c:v>
                </c:pt>
                <c:pt idx="10">
                  <c:v>135.3266587</c:v>
                </c:pt>
                <c:pt idx="11">
                  <c:v>136.47891670000001</c:v>
                </c:pt>
                <c:pt idx="12">
                  <c:v>-108.4245047</c:v>
                </c:pt>
                <c:pt idx="13">
                  <c:v>107.6042884</c:v>
                </c:pt>
                <c:pt idx="14">
                  <c:v>-103.1195111</c:v>
                </c:pt>
                <c:pt idx="15">
                  <c:v>-105.7763174</c:v>
                </c:pt>
                <c:pt idx="16">
                  <c:v>-134.3867678</c:v>
                </c:pt>
              </c:numCache>
            </c:numRef>
          </c:xVal>
          <c:yVal>
            <c:numRef>
              <c:f>'xTB vs DFT D_spiroBox'!$AI$2:$AI$18</c:f>
              <c:numCache>
                <c:formatCode>General</c:formatCode>
                <c:ptCount val="17"/>
                <c:pt idx="0">
                  <c:v>-136.89023610000001</c:v>
                </c:pt>
                <c:pt idx="1">
                  <c:v>-105.821646</c:v>
                </c:pt>
                <c:pt idx="2">
                  <c:v>-108.7121229</c:v>
                </c:pt>
                <c:pt idx="3">
                  <c:v>-89.635633900000002</c:v>
                </c:pt>
                <c:pt idx="4">
                  <c:v>99.708705429999995</c:v>
                </c:pt>
                <c:pt idx="5">
                  <c:v>-106.91325809999999</c:v>
                </c:pt>
                <c:pt idx="6">
                  <c:v>97.50178846</c:v>
                </c:pt>
                <c:pt idx="7">
                  <c:v>99.990720780000004</c:v>
                </c:pt>
                <c:pt idx="8">
                  <c:v>109.35440029999999</c:v>
                </c:pt>
                <c:pt idx="9">
                  <c:v>108.4128018</c:v>
                </c:pt>
                <c:pt idx="10">
                  <c:v>136.03335240000001</c:v>
                </c:pt>
                <c:pt idx="11">
                  <c:v>134.86017279999999</c:v>
                </c:pt>
                <c:pt idx="12">
                  <c:v>-105.75584360000001</c:v>
                </c:pt>
                <c:pt idx="13">
                  <c:v>106.9184569</c:v>
                </c:pt>
                <c:pt idx="14">
                  <c:v>-105.287752</c:v>
                </c:pt>
                <c:pt idx="15">
                  <c:v>-104.03377860000001</c:v>
                </c:pt>
                <c:pt idx="16">
                  <c:v>-99.742821579999998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2-49DB-BA7E-AE2D349C2FE6}"/>
            </c:ext>
          </c:extLst>
        </c:ser>
        <c:ser>
          <c:idx val="1"/>
          <c:order val="1"/>
          <c:tx>
            <c:v>Perfect fit</c:v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D_spiroBox'!$AH$2:$AH$18</c:f>
              <c:numCache>
                <c:formatCode>General</c:formatCode>
                <c:ptCount val="17"/>
                <c:pt idx="0">
                  <c:v>-137.54730559999999</c:v>
                </c:pt>
                <c:pt idx="1">
                  <c:v>-107.1231585</c:v>
                </c:pt>
                <c:pt idx="2">
                  <c:v>-108.06915100000001</c:v>
                </c:pt>
                <c:pt idx="3">
                  <c:v>-89.597721750000005</c:v>
                </c:pt>
                <c:pt idx="4">
                  <c:v>101.3209298</c:v>
                </c:pt>
                <c:pt idx="5">
                  <c:v>-107.6662168</c:v>
                </c:pt>
                <c:pt idx="6">
                  <c:v>100.18460450000001</c:v>
                </c:pt>
                <c:pt idx="7">
                  <c:v>100.6524259</c:v>
                </c:pt>
                <c:pt idx="8">
                  <c:v>135.28343459999999</c:v>
                </c:pt>
                <c:pt idx="9">
                  <c:v>108.7627274</c:v>
                </c:pt>
                <c:pt idx="10">
                  <c:v>135.3266587</c:v>
                </c:pt>
                <c:pt idx="11">
                  <c:v>136.47891670000001</c:v>
                </c:pt>
                <c:pt idx="12">
                  <c:v>-108.4245047</c:v>
                </c:pt>
                <c:pt idx="13">
                  <c:v>107.6042884</c:v>
                </c:pt>
                <c:pt idx="14">
                  <c:v>-103.1195111</c:v>
                </c:pt>
                <c:pt idx="15">
                  <c:v>-105.7763174</c:v>
                </c:pt>
                <c:pt idx="16">
                  <c:v>-134.3867678</c:v>
                </c:pt>
              </c:numCache>
            </c:numRef>
          </c:xVal>
          <c:yVal>
            <c:numRef>
              <c:f>'xTB vs DFT D_spiroBox'!$AO$2:$AO$18</c:f>
              <c:numCache>
                <c:formatCode>General</c:formatCode>
                <c:ptCount val="17"/>
                <c:pt idx="0">
                  <c:v>-137.54730559999999</c:v>
                </c:pt>
                <c:pt idx="1">
                  <c:v>-107.1231585</c:v>
                </c:pt>
                <c:pt idx="2">
                  <c:v>-108.06915100000001</c:v>
                </c:pt>
                <c:pt idx="3">
                  <c:v>-89.597721750000005</c:v>
                </c:pt>
                <c:pt idx="4">
                  <c:v>101.3209298</c:v>
                </c:pt>
                <c:pt idx="5">
                  <c:v>-107.6662168</c:v>
                </c:pt>
                <c:pt idx="6">
                  <c:v>100.18460450000001</c:v>
                </c:pt>
                <c:pt idx="7">
                  <c:v>100.6524259</c:v>
                </c:pt>
                <c:pt idx="8">
                  <c:v>135.28343459999999</c:v>
                </c:pt>
                <c:pt idx="9">
                  <c:v>108.7627274</c:v>
                </c:pt>
                <c:pt idx="10">
                  <c:v>135.3266587</c:v>
                </c:pt>
                <c:pt idx="11">
                  <c:v>136.47891670000001</c:v>
                </c:pt>
                <c:pt idx="12">
                  <c:v>-108.4245047</c:v>
                </c:pt>
                <c:pt idx="13">
                  <c:v>107.6042884</c:v>
                </c:pt>
                <c:pt idx="14">
                  <c:v>-103.1195111</c:v>
                </c:pt>
                <c:pt idx="15">
                  <c:v>-105.7763174</c:v>
                </c:pt>
                <c:pt idx="16">
                  <c:v>-134.3867678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E3-43F1-BABE-4424B460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40"/>
          <c:min val="-1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40"/>
          <c:min val="-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56846019247594"/>
          <c:y val="0.91628280839895015"/>
          <c:w val="0.72441863517060379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Biimidazole 1</a:t>
            </a:r>
          </a:p>
        </c:rich>
      </c:tx>
      <c:layout>
        <c:manualLayout>
          <c:xMode val="edge"/>
          <c:yMode val="edge"/>
          <c:x val="0.351694444444444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813867016622922E-2"/>
                  <c:y val="0.330879629629629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1.13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- 0.26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8.03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5.44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16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D_biimidazole'!$B$2:$B$18</c:f>
              <c:numCache>
                <c:formatCode>General</c:formatCode>
                <c:ptCount val="17"/>
                <c:pt idx="0">
                  <c:v>33.968432810000003</c:v>
                </c:pt>
                <c:pt idx="1">
                  <c:v>38.178206430000003</c:v>
                </c:pt>
                <c:pt idx="2">
                  <c:v>37.017099100000003</c:v>
                </c:pt>
                <c:pt idx="3">
                  <c:v>36.928374509999998</c:v>
                </c:pt>
                <c:pt idx="4">
                  <c:v>38.25549556</c:v>
                </c:pt>
                <c:pt idx="5">
                  <c:v>37.839335480000003</c:v>
                </c:pt>
                <c:pt idx="6">
                  <c:v>-22.78416086</c:v>
                </c:pt>
                <c:pt idx="7">
                  <c:v>28.027106700000001</c:v>
                </c:pt>
                <c:pt idx="8">
                  <c:v>-33.34454101</c:v>
                </c:pt>
                <c:pt idx="9">
                  <c:v>-38.199515839999997</c:v>
                </c:pt>
                <c:pt idx="10">
                  <c:v>-37.207981439999998</c:v>
                </c:pt>
                <c:pt idx="11">
                  <c:v>-32.43160408</c:v>
                </c:pt>
                <c:pt idx="12">
                  <c:v>-39.090436050000001</c:v>
                </c:pt>
                <c:pt idx="13">
                  <c:v>-36.164909479999999</c:v>
                </c:pt>
                <c:pt idx="14">
                  <c:v>-19.230590549999999</c:v>
                </c:pt>
                <c:pt idx="15">
                  <c:v>17.330626519999999</c:v>
                </c:pt>
              </c:numCache>
            </c:numRef>
          </c:xVal>
          <c:yVal>
            <c:numRef>
              <c:f>'xTB vs DFT D_biimidazole'!$C$2:$C$18</c:f>
              <c:numCache>
                <c:formatCode>General</c:formatCode>
                <c:ptCount val="17"/>
                <c:pt idx="0">
                  <c:v>34.15235448</c:v>
                </c:pt>
                <c:pt idx="1">
                  <c:v>41.681739299999997</c:v>
                </c:pt>
                <c:pt idx="2">
                  <c:v>42.912857219999999</c:v>
                </c:pt>
                <c:pt idx="3">
                  <c:v>38.543020990000002</c:v>
                </c:pt>
                <c:pt idx="4">
                  <c:v>46.061254499999997</c:v>
                </c:pt>
                <c:pt idx="5">
                  <c:v>38.524007439999998</c:v>
                </c:pt>
                <c:pt idx="6">
                  <c:v>-29.83080575</c:v>
                </c:pt>
                <c:pt idx="7">
                  <c:v>31.340144590000001</c:v>
                </c:pt>
                <c:pt idx="8">
                  <c:v>-34.086733289999998</c:v>
                </c:pt>
                <c:pt idx="9">
                  <c:v>-41.041461740000003</c:v>
                </c:pt>
                <c:pt idx="10">
                  <c:v>-41.047233749999997</c:v>
                </c:pt>
                <c:pt idx="11">
                  <c:v>-35.454910959999999</c:v>
                </c:pt>
                <c:pt idx="12">
                  <c:v>-43.363643240000002</c:v>
                </c:pt>
                <c:pt idx="13">
                  <c:v>-38.304219519999997</c:v>
                </c:pt>
                <c:pt idx="14">
                  <c:v>-40.269534700000001</c:v>
                </c:pt>
                <c:pt idx="15">
                  <c:v>36.360462400000003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E-455A-B981-910CB665219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D_biimidazole'!$B$2:$B$17</c:f>
              <c:numCache>
                <c:formatCode>General</c:formatCode>
                <c:ptCount val="16"/>
                <c:pt idx="0">
                  <c:v>33.968432810000003</c:v>
                </c:pt>
                <c:pt idx="1">
                  <c:v>38.178206430000003</c:v>
                </c:pt>
                <c:pt idx="2">
                  <c:v>37.017099100000003</c:v>
                </c:pt>
                <c:pt idx="3">
                  <c:v>36.928374509999998</c:v>
                </c:pt>
                <c:pt idx="4">
                  <c:v>38.25549556</c:v>
                </c:pt>
                <c:pt idx="5">
                  <c:v>37.839335480000003</c:v>
                </c:pt>
                <c:pt idx="6">
                  <c:v>-22.78416086</c:v>
                </c:pt>
                <c:pt idx="7">
                  <c:v>28.027106700000001</c:v>
                </c:pt>
                <c:pt idx="8">
                  <c:v>-33.34454101</c:v>
                </c:pt>
                <c:pt idx="9">
                  <c:v>-38.199515839999997</c:v>
                </c:pt>
                <c:pt idx="10">
                  <c:v>-37.207981439999998</c:v>
                </c:pt>
                <c:pt idx="11">
                  <c:v>-32.43160408</c:v>
                </c:pt>
                <c:pt idx="12">
                  <c:v>-39.090436050000001</c:v>
                </c:pt>
                <c:pt idx="13">
                  <c:v>-36.164909479999999</c:v>
                </c:pt>
                <c:pt idx="14">
                  <c:v>-19.230590549999999</c:v>
                </c:pt>
                <c:pt idx="15">
                  <c:v>17.330626519999999</c:v>
                </c:pt>
              </c:numCache>
            </c:numRef>
          </c:xVal>
          <c:yVal>
            <c:numRef>
              <c:f>'xTB vs DFT D_biimidazole'!$I$2:$I$17</c:f>
              <c:numCache>
                <c:formatCode>General</c:formatCode>
                <c:ptCount val="16"/>
                <c:pt idx="0">
                  <c:v>33.968432810000003</c:v>
                </c:pt>
                <c:pt idx="1">
                  <c:v>38.178206430000003</c:v>
                </c:pt>
                <c:pt idx="2">
                  <c:v>37.017099100000003</c:v>
                </c:pt>
                <c:pt idx="3">
                  <c:v>36.928374509999998</c:v>
                </c:pt>
                <c:pt idx="4">
                  <c:v>38.25549556</c:v>
                </c:pt>
                <c:pt idx="5">
                  <c:v>37.839335480000003</c:v>
                </c:pt>
                <c:pt idx="6">
                  <c:v>-22.78416086</c:v>
                </c:pt>
                <c:pt idx="7">
                  <c:v>28.027106700000001</c:v>
                </c:pt>
                <c:pt idx="8">
                  <c:v>-33.34454101</c:v>
                </c:pt>
                <c:pt idx="9">
                  <c:v>-38.199515839999997</c:v>
                </c:pt>
                <c:pt idx="10">
                  <c:v>-37.207981439999998</c:v>
                </c:pt>
                <c:pt idx="11">
                  <c:v>-32.43160408</c:v>
                </c:pt>
                <c:pt idx="12">
                  <c:v>-39.090436050000001</c:v>
                </c:pt>
                <c:pt idx="13">
                  <c:v>-36.164909479999999</c:v>
                </c:pt>
                <c:pt idx="14">
                  <c:v>-19.230590549999999</c:v>
                </c:pt>
                <c:pt idx="15">
                  <c:v>17.330626519999999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8E-455A-B981-910CB6652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40"/>
          <c:min val="-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5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Biimidazole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5523148148148147"/>
          <c:w val="0.86408333333333331"/>
          <c:h val="0.67305555555555552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14654418197725E-2"/>
                  <c:y val="0.386435185185185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1.02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- 0.18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2.37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4,75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16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D_biimidazole'!$P$2:$P$19</c:f>
              <c:numCache>
                <c:formatCode>General</c:formatCode>
                <c:ptCount val="18"/>
                <c:pt idx="0">
                  <c:v>78.054891179999998</c:v>
                </c:pt>
                <c:pt idx="1">
                  <c:v>79.682424560000001</c:v>
                </c:pt>
                <c:pt idx="2">
                  <c:v>81.738174670000006</c:v>
                </c:pt>
                <c:pt idx="3">
                  <c:v>82.419026909999999</c:v>
                </c:pt>
                <c:pt idx="4">
                  <c:v>78.354573400000007</c:v>
                </c:pt>
                <c:pt idx="5">
                  <c:v>79.032111970000003</c:v>
                </c:pt>
                <c:pt idx="6">
                  <c:v>70.726577930000005</c:v>
                </c:pt>
                <c:pt idx="7">
                  <c:v>-71.270701009999996</c:v>
                </c:pt>
                <c:pt idx="8">
                  <c:v>-78.200973629999993</c:v>
                </c:pt>
                <c:pt idx="9">
                  <c:v>-80.841445770000007</c:v>
                </c:pt>
                <c:pt idx="10">
                  <c:v>-82.221115870000006</c:v>
                </c:pt>
                <c:pt idx="11">
                  <c:v>-84.149191689999995</c:v>
                </c:pt>
                <c:pt idx="12">
                  <c:v>-79.785363140000001</c:v>
                </c:pt>
                <c:pt idx="13">
                  <c:v>-79.172936239999999</c:v>
                </c:pt>
                <c:pt idx="14">
                  <c:v>76.56672863</c:v>
                </c:pt>
                <c:pt idx="15">
                  <c:v>-75.620056219999995</c:v>
                </c:pt>
                <c:pt idx="17">
                  <c:v>-84.149191689999995</c:v>
                </c:pt>
              </c:numCache>
            </c:numRef>
          </c:xVal>
          <c:yVal>
            <c:numRef>
              <c:f>'xTB vs DFT D_biimidazole'!$Q$2:$Q$19</c:f>
              <c:numCache>
                <c:formatCode>General</c:formatCode>
                <c:ptCount val="18"/>
                <c:pt idx="0">
                  <c:v>76.071029300000006</c:v>
                </c:pt>
                <c:pt idx="1">
                  <c:v>79.99552654</c:v>
                </c:pt>
                <c:pt idx="2">
                  <c:v>82.349102209999998</c:v>
                </c:pt>
                <c:pt idx="3">
                  <c:v>80.252299640000004</c:v>
                </c:pt>
                <c:pt idx="4">
                  <c:v>80.325640219999997</c:v>
                </c:pt>
                <c:pt idx="5">
                  <c:v>79.008721800000004</c:v>
                </c:pt>
                <c:pt idx="6">
                  <c:v>70.917335789999996</c:v>
                </c:pt>
                <c:pt idx="7">
                  <c:v>-71.033908850000003</c:v>
                </c:pt>
                <c:pt idx="8">
                  <c:v>-76.541697790000001</c:v>
                </c:pt>
                <c:pt idx="9">
                  <c:v>-79.982299069999996</c:v>
                </c:pt>
                <c:pt idx="10">
                  <c:v>-82.614824630000001</c:v>
                </c:pt>
                <c:pt idx="11">
                  <c:v>-84.484332289999998</c:v>
                </c:pt>
                <c:pt idx="12">
                  <c:v>-80.108799660000003</c:v>
                </c:pt>
                <c:pt idx="13">
                  <c:v>-79.807854250000005</c:v>
                </c:pt>
                <c:pt idx="14">
                  <c:v>89.584789209999997</c:v>
                </c:pt>
                <c:pt idx="15">
                  <c:v>-88.836415340000002</c:v>
                </c:pt>
                <c:pt idx="17">
                  <c:v>-88.836415340000002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5-4386-AE6E-32A9385D2EC0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D_biimidazole'!$P$2:$P$17</c:f>
              <c:numCache>
                <c:formatCode>General</c:formatCode>
                <c:ptCount val="16"/>
                <c:pt idx="0">
                  <c:v>78.054891179999998</c:v>
                </c:pt>
                <c:pt idx="1">
                  <c:v>79.682424560000001</c:v>
                </c:pt>
                <c:pt idx="2">
                  <c:v>81.738174670000006</c:v>
                </c:pt>
                <c:pt idx="3">
                  <c:v>82.419026909999999</c:v>
                </c:pt>
                <c:pt idx="4">
                  <c:v>78.354573400000007</c:v>
                </c:pt>
                <c:pt idx="5">
                  <c:v>79.032111970000003</c:v>
                </c:pt>
                <c:pt idx="6">
                  <c:v>70.726577930000005</c:v>
                </c:pt>
                <c:pt idx="7">
                  <c:v>-71.270701009999996</c:v>
                </c:pt>
                <c:pt idx="8">
                  <c:v>-78.200973629999993</c:v>
                </c:pt>
                <c:pt idx="9">
                  <c:v>-80.841445770000007</c:v>
                </c:pt>
                <c:pt idx="10">
                  <c:v>-82.221115870000006</c:v>
                </c:pt>
                <c:pt idx="11">
                  <c:v>-84.149191689999995</c:v>
                </c:pt>
                <c:pt idx="12">
                  <c:v>-79.785363140000001</c:v>
                </c:pt>
                <c:pt idx="13">
                  <c:v>-79.172936239999999</c:v>
                </c:pt>
                <c:pt idx="14">
                  <c:v>76.56672863</c:v>
                </c:pt>
                <c:pt idx="15">
                  <c:v>-75.620056219999995</c:v>
                </c:pt>
              </c:numCache>
            </c:numRef>
          </c:xVal>
          <c:yVal>
            <c:numRef>
              <c:f>'xTB vs DFT D_biimidazole'!$W$2:$W$17</c:f>
              <c:numCache>
                <c:formatCode>General</c:formatCode>
                <c:ptCount val="16"/>
                <c:pt idx="0">
                  <c:v>78.054891179999998</c:v>
                </c:pt>
                <c:pt idx="1">
                  <c:v>79.682424560000001</c:v>
                </c:pt>
                <c:pt idx="2">
                  <c:v>81.738174670000006</c:v>
                </c:pt>
                <c:pt idx="3">
                  <c:v>82.419026909999999</c:v>
                </c:pt>
                <c:pt idx="4">
                  <c:v>78.354573400000007</c:v>
                </c:pt>
                <c:pt idx="5">
                  <c:v>79.032111970000003</c:v>
                </c:pt>
                <c:pt idx="6">
                  <c:v>70.726577930000005</c:v>
                </c:pt>
                <c:pt idx="7">
                  <c:v>-71.270701009999996</c:v>
                </c:pt>
                <c:pt idx="8">
                  <c:v>-78.200973629999993</c:v>
                </c:pt>
                <c:pt idx="9">
                  <c:v>-80.841445770000007</c:v>
                </c:pt>
                <c:pt idx="10">
                  <c:v>-82.221115870000006</c:v>
                </c:pt>
                <c:pt idx="11">
                  <c:v>-84.149191689999995</c:v>
                </c:pt>
                <c:pt idx="12">
                  <c:v>-79.785363140000001</c:v>
                </c:pt>
                <c:pt idx="13">
                  <c:v>-79.172936239999999</c:v>
                </c:pt>
                <c:pt idx="14">
                  <c:v>76.56672863</c:v>
                </c:pt>
                <c:pt idx="15">
                  <c:v>-75.620056219999995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5-4386-AE6E-32A9385D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90"/>
          <c:min val="-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90"/>
          <c:min val="-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"/>
              <c:y val="0.41752296587926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1797900262467"/>
          <c:y val="0.92187445319335082"/>
          <c:w val="0.8166526684164479"/>
          <c:h val="7.812554680664916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ACBP</a:t>
            </a:r>
          </a:p>
        </c:rich>
      </c:tx>
      <c:layout>
        <c:manualLayout>
          <c:xMode val="edge"/>
          <c:yMode val="edge"/>
          <c:x val="0.460027777777777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4597222222222223"/>
          <c:w val="0.87041666666666662"/>
          <c:h val="0.56156058617672788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849518810148733E-2"/>
                  <c:y val="0.386435185185185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1.07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+ 0.02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7.01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7.44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10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ACBP'!$B$2:$B$12</c:f>
              <c:numCache>
                <c:formatCode>General</c:formatCode>
                <c:ptCount val="11"/>
                <c:pt idx="0">
                  <c:v>-36.096077379999997</c:v>
                </c:pt>
                <c:pt idx="1">
                  <c:v>-30.269808869999999</c:v>
                </c:pt>
                <c:pt idx="2">
                  <c:v>-31.22013523</c:v>
                </c:pt>
                <c:pt idx="3">
                  <c:v>42.694152699999997</c:v>
                </c:pt>
                <c:pt idx="4">
                  <c:v>46.288217090000003</c:v>
                </c:pt>
                <c:pt idx="5">
                  <c:v>36.675754079999997</c:v>
                </c:pt>
                <c:pt idx="6">
                  <c:v>34.175283989999997</c:v>
                </c:pt>
                <c:pt idx="7">
                  <c:v>30.66887672</c:v>
                </c:pt>
                <c:pt idx="8">
                  <c:v>-44.247862220000002</c:v>
                </c:pt>
                <c:pt idx="9">
                  <c:v>-41.947072800000001</c:v>
                </c:pt>
              </c:numCache>
            </c:numRef>
          </c:xVal>
          <c:yVal>
            <c:numRef>
              <c:f>'xTB vs DFT ACBP'!$C$2:$C$12</c:f>
              <c:numCache>
                <c:formatCode>General</c:formatCode>
                <c:ptCount val="11"/>
                <c:pt idx="0">
                  <c:v>-25.365654150000001</c:v>
                </c:pt>
                <c:pt idx="1">
                  <c:v>-38.015044109999998</c:v>
                </c:pt>
                <c:pt idx="2">
                  <c:v>-38.94476118</c:v>
                </c:pt>
                <c:pt idx="3">
                  <c:v>48.322410519999998</c:v>
                </c:pt>
                <c:pt idx="4">
                  <c:v>51.03295731</c:v>
                </c:pt>
                <c:pt idx="5">
                  <c:v>25.4011256</c:v>
                </c:pt>
                <c:pt idx="6">
                  <c:v>40.18336772</c:v>
                </c:pt>
                <c:pt idx="7">
                  <c:v>38.968460069999999</c:v>
                </c:pt>
                <c:pt idx="8">
                  <c:v>-48.763666579999999</c:v>
                </c:pt>
                <c:pt idx="9">
                  <c:v>-45.458105209999999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ACBP'!$B$2:$B$11</c:f>
              <c:numCache>
                <c:formatCode>General</c:formatCode>
                <c:ptCount val="10"/>
                <c:pt idx="0">
                  <c:v>-36.096077379999997</c:v>
                </c:pt>
                <c:pt idx="1">
                  <c:v>-30.269808869999999</c:v>
                </c:pt>
                <c:pt idx="2">
                  <c:v>-31.22013523</c:v>
                </c:pt>
                <c:pt idx="3">
                  <c:v>42.694152699999997</c:v>
                </c:pt>
                <c:pt idx="4">
                  <c:v>46.288217090000003</c:v>
                </c:pt>
                <c:pt idx="5">
                  <c:v>36.675754079999997</c:v>
                </c:pt>
                <c:pt idx="6">
                  <c:v>34.175283989999997</c:v>
                </c:pt>
                <c:pt idx="7">
                  <c:v>30.66887672</c:v>
                </c:pt>
                <c:pt idx="8">
                  <c:v>-44.247862220000002</c:v>
                </c:pt>
                <c:pt idx="9">
                  <c:v>-41.947072800000001</c:v>
                </c:pt>
              </c:numCache>
            </c:numRef>
          </c:xVal>
          <c:yVal>
            <c:numRef>
              <c:f>'xTB vs DFT ACBP'!$I$2:$I$11</c:f>
              <c:numCache>
                <c:formatCode>General</c:formatCode>
                <c:ptCount val="10"/>
                <c:pt idx="0">
                  <c:v>-36.096077379999997</c:v>
                </c:pt>
                <c:pt idx="1">
                  <c:v>-30.269808869999999</c:v>
                </c:pt>
                <c:pt idx="2">
                  <c:v>-31.22013523</c:v>
                </c:pt>
                <c:pt idx="3">
                  <c:v>42.694152699999997</c:v>
                </c:pt>
                <c:pt idx="4">
                  <c:v>46.288217090000003</c:v>
                </c:pt>
                <c:pt idx="5">
                  <c:v>36.675754079999997</c:v>
                </c:pt>
                <c:pt idx="6">
                  <c:v>34.175283989999997</c:v>
                </c:pt>
                <c:pt idx="7">
                  <c:v>30.66887672</c:v>
                </c:pt>
                <c:pt idx="8">
                  <c:v>-44.247862220000002</c:v>
                </c:pt>
                <c:pt idx="9">
                  <c:v>-41.947072800000001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50"/>
          <c:min val="-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7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65791776029E-2"/>
          <c:y val="0.91628280839895015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Binol Derivatives</a:t>
            </a:r>
          </a:p>
        </c:rich>
      </c:tx>
      <c:layout>
        <c:manualLayout>
          <c:xMode val="edge"/>
          <c:yMode val="edge"/>
          <c:x val="0.29613888888888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4597222222222223"/>
          <c:w val="0.87041666666666662"/>
          <c:h val="0.56156058617672788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714129483814523E-2"/>
                  <c:y val="0.386435185185185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1.11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+ 2.46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9.17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15.06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15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Binol'!$B$2:$B$16</c:f>
              <c:numCache>
                <c:formatCode>General</c:formatCode>
                <c:ptCount val="15"/>
                <c:pt idx="0">
                  <c:v>80.18009189</c:v>
                </c:pt>
                <c:pt idx="1">
                  <c:v>66.827142870000003</c:v>
                </c:pt>
                <c:pt idx="2">
                  <c:v>-64.064187750000002</c:v>
                </c:pt>
                <c:pt idx="3">
                  <c:v>-71.23916328</c:v>
                </c:pt>
                <c:pt idx="4">
                  <c:v>-65.126223440000004</c:v>
                </c:pt>
                <c:pt idx="5">
                  <c:v>65.014780110000004</c:v>
                </c:pt>
                <c:pt idx="6">
                  <c:v>-71.124920099999997</c:v>
                </c:pt>
                <c:pt idx="7">
                  <c:v>67.808386560000002</c:v>
                </c:pt>
                <c:pt idx="8">
                  <c:v>-72.452005990000004</c:v>
                </c:pt>
                <c:pt idx="9">
                  <c:v>-67.416329239999996</c:v>
                </c:pt>
                <c:pt idx="10">
                  <c:v>68.670910800000001</c:v>
                </c:pt>
                <c:pt idx="11">
                  <c:v>94.693264249999999</c:v>
                </c:pt>
                <c:pt idx="12">
                  <c:v>-70.77694588</c:v>
                </c:pt>
                <c:pt idx="13">
                  <c:v>-67.821517020000002</c:v>
                </c:pt>
                <c:pt idx="14">
                  <c:v>70.574351919999998</c:v>
                </c:pt>
              </c:numCache>
            </c:numRef>
          </c:xVal>
          <c:yVal>
            <c:numRef>
              <c:f>'xTB vs DFT Binol'!$C$2:$C$16</c:f>
              <c:numCache>
                <c:formatCode>General</c:formatCode>
                <c:ptCount val="15"/>
                <c:pt idx="0">
                  <c:v>78.45732615</c:v>
                </c:pt>
                <c:pt idx="1">
                  <c:v>70.244532230000004</c:v>
                </c:pt>
                <c:pt idx="2">
                  <c:v>-63.213513059999997</c:v>
                </c:pt>
                <c:pt idx="3">
                  <c:v>-70.566677249999998</c:v>
                </c:pt>
                <c:pt idx="4">
                  <c:v>-62.589184869999997</c:v>
                </c:pt>
                <c:pt idx="5">
                  <c:v>63.814011020000002</c:v>
                </c:pt>
                <c:pt idx="6">
                  <c:v>-70.604933720000005</c:v>
                </c:pt>
                <c:pt idx="7">
                  <c:v>96.518068060000004</c:v>
                </c:pt>
                <c:pt idx="8">
                  <c:v>-77.051097209999995</c:v>
                </c:pt>
                <c:pt idx="9">
                  <c:v>-69.538305730000005</c:v>
                </c:pt>
                <c:pt idx="10">
                  <c:v>63.328875379999999</c:v>
                </c:pt>
                <c:pt idx="11">
                  <c:v>111.22823339999999</c:v>
                </c:pt>
                <c:pt idx="12">
                  <c:v>-105.3148502</c:v>
                </c:pt>
                <c:pt idx="13">
                  <c:v>-70.559253639999994</c:v>
                </c:pt>
                <c:pt idx="14">
                  <c:v>102.57878359999999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6-456B-BA17-9BAF05A5D30A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Binol'!$B$2:$B$11</c:f>
              <c:numCache>
                <c:formatCode>General</c:formatCode>
                <c:ptCount val="10"/>
                <c:pt idx="0">
                  <c:v>80.18009189</c:v>
                </c:pt>
                <c:pt idx="1">
                  <c:v>66.827142870000003</c:v>
                </c:pt>
                <c:pt idx="2">
                  <c:v>-64.064187750000002</c:v>
                </c:pt>
                <c:pt idx="3">
                  <c:v>-71.23916328</c:v>
                </c:pt>
                <c:pt idx="4">
                  <c:v>-65.126223440000004</c:v>
                </c:pt>
                <c:pt idx="5">
                  <c:v>65.014780110000004</c:v>
                </c:pt>
                <c:pt idx="6">
                  <c:v>-71.124920099999997</c:v>
                </c:pt>
                <c:pt idx="7">
                  <c:v>67.808386560000002</c:v>
                </c:pt>
                <c:pt idx="8">
                  <c:v>-72.452005990000004</c:v>
                </c:pt>
                <c:pt idx="9">
                  <c:v>-67.416329239999996</c:v>
                </c:pt>
              </c:numCache>
            </c:numRef>
          </c:xVal>
          <c:yVal>
            <c:numRef>
              <c:f>'xTB vs DFT Binol'!$I$2:$I$11</c:f>
              <c:numCache>
                <c:formatCode>General</c:formatCode>
                <c:ptCount val="10"/>
                <c:pt idx="0">
                  <c:v>80.18009189</c:v>
                </c:pt>
                <c:pt idx="1">
                  <c:v>66.827142870000003</c:v>
                </c:pt>
                <c:pt idx="2">
                  <c:v>-64.064187750000002</c:v>
                </c:pt>
                <c:pt idx="3">
                  <c:v>-71.23916328</c:v>
                </c:pt>
                <c:pt idx="4">
                  <c:v>-65.126223440000004</c:v>
                </c:pt>
                <c:pt idx="5">
                  <c:v>65.014780110000004</c:v>
                </c:pt>
                <c:pt idx="6">
                  <c:v>-71.124920099999997</c:v>
                </c:pt>
                <c:pt idx="7">
                  <c:v>67.808386560000002</c:v>
                </c:pt>
                <c:pt idx="8">
                  <c:v>-72.452005990000004</c:v>
                </c:pt>
                <c:pt idx="9">
                  <c:v>-67.416329239999996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C6-456B-BA17-9BAF05A5D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00"/>
          <c:min val="-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0"/>
          <c:min val="-1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65791776029E-2"/>
          <c:y val="0.91628280839895015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Bipyridine-N,N′-dioxide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9613888888888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4597222222222223"/>
          <c:w val="0.87041666666666662"/>
          <c:h val="0.56156058617672788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18985126859143E-3"/>
                  <c:y val="0.344768518518518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0.97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+ 0.23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2.20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2.43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16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'Bipyridine-n,n''-dioxide'!$B$2:$B$16</c:f>
              <c:numCache>
                <c:formatCode>General</c:formatCode>
                <c:ptCount val="15"/>
                <c:pt idx="0">
                  <c:v>65.477147290000005</c:v>
                </c:pt>
                <c:pt idx="1">
                  <c:v>67.272993619999994</c:v>
                </c:pt>
                <c:pt idx="2">
                  <c:v>65.944680959999999</c:v>
                </c:pt>
                <c:pt idx="3">
                  <c:v>66.193383839999996</c:v>
                </c:pt>
                <c:pt idx="4">
                  <c:v>72.882982350000006</c:v>
                </c:pt>
                <c:pt idx="5">
                  <c:v>64.605483879999994</c:v>
                </c:pt>
                <c:pt idx="6">
                  <c:v>66.887185489999993</c:v>
                </c:pt>
                <c:pt idx="7">
                  <c:v>-72.044757689999997</c:v>
                </c:pt>
                <c:pt idx="8">
                  <c:v>-66.766640659999993</c:v>
                </c:pt>
                <c:pt idx="9">
                  <c:v>-65.088754589999994</c:v>
                </c:pt>
                <c:pt idx="10">
                  <c:v>-63.223166200000001</c:v>
                </c:pt>
                <c:pt idx="11">
                  <c:v>-63.769162719999997</c:v>
                </c:pt>
                <c:pt idx="12">
                  <c:v>-71.90881727</c:v>
                </c:pt>
                <c:pt idx="13">
                  <c:v>-67.027318159999993</c:v>
                </c:pt>
                <c:pt idx="14">
                  <c:v>-69.712533190000002</c:v>
                </c:pt>
              </c:numCache>
            </c:numRef>
          </c:xVal>
          <c:yVal>
            <c:numRef>
              <c:f>'Bipyridine-n,n''-dioxide'!$C$2:$C$16</c:f>
              <c:numCache>
                <c:formatCode>General</c:formatCode>
                <c:ptCount val="15"/>
                <c:pt idx="0">
                  <c:v>67.109755579999998</c:v>
                </c:pt>
                <c:pt idx="1">
                  <c:v>63.876382960000001</c:v>
                </c:pt>
                <c:pt idx="2">
                  <c:v>63.039870540000003</c:v>
                </c:pt>
                <c:pt idx="3">
                  <c:v>63.144828830000002</c:v>
                </c:pt>
                <c:pt idx="4">
                  <c:v>75.041238710000002</c:v>
                </c:pt>
                <c:pt idx="5">
                  <c:v>62.3230547</c:v>
                </c:pt>
                <c:pt idx="6">
                  <c:v>64.421421449999997</c:v>
                </c:pt>
                <c:pt idx="7">
                  <c:v>-71.025631439999998</c:v>
                </c:pt>
                <c:pt idx="8">
                  <c:v>-65.42555179</c:v>
                </c:pt>
                <c:pt idx="9">
                  <c:v>-65.098346399999997</c:v>
                </c:pt>
                <c:pt idx="10">
                  <c:v>-62.084184120000003</c:v>
                </c:pt>
                <c:pt idx="11">
                  <c:v>-62.101250239999999</c:v>
                </c:pt>
                <c:pt idx="12">
                  <c:v>-69.101302880000006</c:v>
                </c:pt>
                <c:pt idx="13">
                  <c:v>-63.653457520000003</c:v>
                </c:pt>
                <c:pt idx="14">
                  <c:v>-65.514169140000007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C-4825-A8FB-E91E16D18779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'Bipyridine-n,n''-dioxide'!$B$2:$B$11</c:f>
              <c:numCache>
                <c:formatCode>General</c:formatCode>
                <c:ptCount val="10"/>
                <c:pt idx="0">
                  <c:v>65.477147290000005</c:v>
                </c:pt>
                <c:pt idx="1">
                  <c:v>67.272993619999994</c:v>
                </c:pt>
                <c:pt idx="2">
                  <c:v>65.944680959999999</c:v>
                </c:pt>
                <c:pt idx="3">
                  <c:v>66.193383839999996</c:v>
                </c:pt>
                <c:pt idx="4">
                  <c:v>72.882982350000006</c:v>
                </c:pt>
                <c:pt idx="5">
                  <c:v>64.605483879999994</c:v>
                </c:pt>
                <c:pt idx="6">
                  <c:v>66.887185489999993</c:v>
                </c:pt>
                <c:pt idx="7">
                  <c:v>-72.044757689999997</c:v>
                </c:pt>
                <c:pt idx="8">
                  <c:v>-66.766640659999993</c:v>
                </c:pt>
                <c:pt idx="9">
                  <c:v>-65.088754589999994</c:v>
                </c:pt>
              </c:numCache>
            </c:numRef>
          </c:xVal>
          <c:yVal>
            <c:numRef>
              <c:f>'Bipyridine-n,n''-dioxide'!$I$2:$I$11</c:f>
              <c:numCache>
                <c:formatCode>General</c:formatCode>
                <c:ptCount val="10"/>
                <c:pt idx="0">
                  <c:v>65.477147290000005</c:v>
                </c:pt>
                <c:pt idx="1">
                  <c:v>67.272993619999994</c:v>
                </c:pt>
                <c:pt idx="2">
                  <c:v>65.944680959999999</c:v>
                </c:pt>
                <c:pt idx="3">
                  <c:v>66.193383839999996</c:v>
                </c:pt>
                <c:pt idx="4">
                  <c:v>72.882982350000006</c:v>
                </c:pt>
                <c:pt idx="5">
                  <c:v>64.605483879999994</c:v>
                </c:pt>
                <c:pt idx="6">
                  <c:v>66.887185489999993</c:v>
                </c:pt>
                <c:pt idx="7">
                  <c:v>-72.044757689999997</c:v>
                </c:pt>
                <c:pt idx="8">
                  <c:v>-66.766640659999993</c:v>
                </c:pt>
                <c:pt idx="9">
                  <c:v>-65.088754589999994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C-4825-A8FB-E91E16D18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80"/>
          <c:min val="-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5884711286089241"/>
              <c:y val="0.70753280839895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80"/>
          <c:min val="-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65791776029E-2"/>
          <c:y val="0.91628280839895015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Binaphthyl</a:t>
            </a:r>
            <a:r>
              <a:rPr lang="en-IN" sz="1600" b="1" baseline="0">
                <a:solidFill>
                  <a:sysClr val="windowText" lastClr="000000"/>
                </a:solidFill>
              </a:rPr>
              <a:t> Derivatives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55833333333333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6361111111111111E-2"/>
          <c:y val="0.14597222222222223"/>
          <c:w val="0.87041666666666662"/>
          <c:h val="0.56156058617672788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849518810148733E-2"/>
                  <c:y val="0.386435185185185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1.04</a:t>
                    </a:r>
                    <a:r>
                      <a:rPr lang="el-GR" sz="1000" b="1" i="1" u="none" strike="noStrike" baseline="0">
                        <a:effectLst/>
                      </a:rPr>
                      <a:t>φ</a:t>
                    </a:r>
                    <a:r>
                      <a:rPr lang="en-IN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+ 0.51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1.00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3.87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4.77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8</a:t>
                    </a:r>
                    <a:endParaRPr lang="en-US" sz="1000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'Binaphthyl derivatives'!$B$2:$B$10</c:f>
              <c:numCache>
                <c:formatCode>General</c:formatCode>
                <c:ptCount val="9"/>
                <c:pt idx="0">
                  <c:v>-92.625118180000001</c:v>
                </c:pt>
                <c:pt idx="1">
                  <c:v>109.9440254</c:v>
                </c:pt>
                <c:pt idx="2">
                  <c:v>-109.662586</c:v>
                </c:pt>
                <c:pt idx="3">
                  <c:v>79.074686270000001</c:v>
                </c:pt>
                <c:pt idx="4">
                  <c:v>76.893618919999994</c:v>
                </c:pt>
                <c:pt idx="5">
                  <c:v>-106.10465809999999</c:v>
                </c:pt>
                <c:pt idx="6">
                  <c:v>111.89603320000001</c:v>
                </c:pt>
                <c:pt idx="7">
                  <c:v>-79.932598299999995</c:v>
                </c:pt>
              </c:numCache>
            </c:numRef>
          </c:xVal>
          <c:yVal>
            <c:numRef>
              <c:f>'Binaphthyl derivatives'!$C$2:$C$10</c:f>
              <c:numCache>
                <c:formatCode>General</c:formatCode>
                <c:ptCount val="9"/>
                <c:pt idx="0">
                  <c:v>-98.928325240000007</c:v>
                </c:pt>
                <c:pt idx="1">
                  <c:v>113.0425449</c:v>
                </c:pt>
                <c:pt idx="2">
                  <c:v>-110.8751355</c:v>
                </c:pt>
                <c:pt idx="3">
                  <c:v>84.264380549999998</c:v>
                </c:pt>
                <c:pt idx="4">
                  <c:v>85.133407610000006</c:v>
                </c:pt>
                <c:pt idx="5">
                  <c:v>-112.0792083</c:v>
                </c:pt>
                <c:pt idx="6">
                  <c:v>112.70415130000001</c:v>
                </c:pt>
                <c:pt idx="7">
                  <c:v>-80.060759649999994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1A-4397-BCAB-93169CE0A6D3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'Binaphthyl derivatives'!$B$2:$B$9</c:f>
              <c:numCache>
                <c:formatCode>General</c:formatCode>
                <c:ptCount val="8"/>
                <c:pt idx="0">
                  <c:v>-92.625118180000001</c:v>
                </c:pt>
                <c:pt idx="1">
                  <c:v>109.9440254</c:v>
                </c:pt>
                <c:pt idx="2">
                  <c:v>-109.662586</c:v>
                </c:pt>
                <c:pt idx="3">
                  <c:v>79.074686270000001</c:v>
                </c:pt>
                <c:pt idx="4">
                  <c:v>76.893618919999994</c:v>
                </c:pt>
                <c:pt idx="5">
                  <c:v>-106.10465809999999</c:v>
                </c:pt>
                <c:pt idx="6">
                  <c:v>111.89603320000001</c:v>
                </c:pt>
                <c:pt idx="7">
                  <c:v>-79.932598299999995</c:v>
                </c:pt>
              </c:numCache>
            </c:numRef>
          </c:xVal>
          <c:yVal>
            <c:numRef>
              <c:f>'Binaphthyl derivatives'!$I$2:$I$9</c:f>
              <c:numCache>
                <c:formatCode>General</c:formatCode>
                <c:ptCount val="8"/>
                <c:pt idx="0">
                  <c:v>-92.625118180000001</c:v>
                </c:pt>
                <c:pt idx="1">
                  <c:v>109.9440254</c:v>
                </c:pt>
                <c:pt idx="2">
                  <c:v>-109.662586</c:v>
                </c:pt>
                <c:pt idx="3">
                  <c:v>79.074686270000001</c:v>
                </c:pt>
                <c:pt idx="4">
                  <c:v>76.893618919999994</c:v>
                </c:pt>
                <c:pt idx="5">
                  <c:v>-106.10465809999999</c:v>
                </c:pt>
                <c:pt idx="6">
                  <c:v>111.89603320000001</c:v>
                </c:pt>
                <c:pt idx="7">
                  <c:v>-79.932598299999995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1A-4397-BCAB-93169CE0A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20"/>
          <c:min val="-1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0"/>
          <c:min val="-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φ</a:t>
                </a:r>
                <a:r>
                  <a:rPr lang="en-IN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1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6457130358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65791776029E-2"/>
          <c:y val="0.91628280839895015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14</xdr:row>
      <xdr:rowOff>52387</xdr:rowOff>
    </xdr:from>
    <xdr:to>
      <xdr:col>7</xdr:col>
      <xdr:colOff>352425</xdr:colOff>
      <xdr:row>29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55A34-1492-4DF3-8775-50F836E6B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471488</xdr:colOff>
      <xdr:row>14</xdr:row>
      <xdr:rowOff>1</xdr:rowOff>
    </xdr:from>
    <xdr:to>
      <xdr:col>20</xdr:col>
      <xdr:colOff>190500</xdr:colOff>
      <xdr:row>29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666AA-236C-42B3-A64C-32B8E143A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47624</xdr:colOff>
      <xdr:row>15</xdr:row>
      <xdr:rowOff>133350</xdr:rowOff>
    </xdr:from>
    <xdr:to>
      <xdr:col>38</xdr:col>
      <xdr:colOff>85724</xdr:colOff>
      <xdr:row>30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06AB4A-631C-47F3-88CE-3027CDEEB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20</xdr:row>
      <xdr:rowOff>52387</xdr:rowOff>
    </xdr:from>
    <xdr:to>
      <xdr:col>7</xdr:col>
      <xdr:colOff>352425</xdr:colOff>
      <xdr:row>35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6FC4B-A356-4560-A41E-338B39066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471488</xdr:colOff>
      <xdr:row>20</xdr:row>
      <xdr:rowOff>1</xdr:rowOff>
    </xdr:from>
    <xdr:to>
      <xdr:col>20</xdr:col>
      <xdr:colOff>190500</xdr:colOff>
      <xdr:row>35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DAB1FA-398D-4EB8-BCAF-87523E2A1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47624</xdr:colOff>
      <xdr:row>21</xdr:row>
      <xdr:rowOff>133350</xdr:rowOff>
    </xdr:from>
    <xdr:to>
      <xdr:col>38</xdr:col>
      <xdr:colOff>85724</xdr:colOff>
      <xdr:row>36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36B634-6696-4EEC-A4C7-1A942039D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21</xdr:row>
      <xdr:rowOff>52387</xdr:rowOff>
    </xdr:from>
    <xdr:to>
      <xdr:col>7</xdr:col>
      <xdr:colOff>352425</xdr:colOff>
      <xdr:row>36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33D594-43DC-40A3-6667-5253D1064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471488</xdr:colOff>
      <xdr:row>21</xdr:row>
      <xdr:rowOff>1</xdr:rowOff>
    </xdr:from>
    <xdr:to>
      <xdr:col>20</xdr:col>
      <xdr:colOff>190500</xdr:colOff>
      <xdr:row>36</xdr:row>
      <xdr:rowOff>28576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6600D8-9B05-4213-BEFC-626A33B0F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47624</xdr:colOff>
      <xdr:row>20</xdr:row>
      <xdr:rowOff>133350</xdr:rowOff>
    </xdr:from>
    <xdr:to>
      <xdr:col>38</xdr:col>
      <xdr:colOff>85724</xdr:colOff>
      <xdr:row>35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44F309-9008-476D-86FF-0A9EC7DA8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20</xdr:row>
      <xdr:rowOff>52387</xdr:rowOff>
    </xdr:from>
    <xdr:to>
      <xdr:col>7</xdr:col>
      <xdr:colOff>352425</xdr:colOff>
      <xdr:row>35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ABCCC-EE84-49CF-99C4-56682BC91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471488</xdr:colOff>
      <xdr:row>20</xdr:row>
      <xdr:rowOff>1</xdr:rowOff>
    </xdr:from>
    <xdr:to>
      <xdr:col>20</xdr:col>
      <xdr:colOff>190500</xdr:colOff>
      <xdr:row>35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D55CF-4EF8-4F0C-8319-5931D568D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14</xdr:row>
      <xdr:rowOff>52387</xdr:rowOff>
    </xdr:from>
    <xdr:to>
      <xdr:col>7</xdr:col>
      <xdr:colOff>352425</xdr:colOff>
      <xdr:row>29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22</xdr:row>
      <xdr:rowOff>119062</xdr:rowOff>
    </xdr:from>
    <xdr:to>
      <xdr:col>7</xdr:col>
      <xdr:colOff>200025</xdr:colOff>
      <xdr:row>37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C41E2-86A6-4CD8-93FA-44E41ED53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22</xdr:row>
      <xdr:rowOff>119062</xdr:rowOff>
    </xdr:from>
    <xdr:to>
      <xdr:col>7</xdr:col>
      <xdr:colOff>200025</xdr:colOff>
      <xdr:row>37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C8314-9339-480D-BF08-0E6B29C53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12</xdr:row>
      <xdr:rowOff>52387</xdr:rowOff>
    </xdr:from>
    <xdr:to>
      <xdr:col>7</xdr:col>
      <xdr:colOff>352425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5A135-15BC-4EC2-BC5D-43695A449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5D4C-C478-4539-9838-A4137F823E38}">
  <dimension ref="A1:AV23"/>
  <sheetViews>
    <sheetView topLeftCell="A10" workbookViewId="0">
      <selection activeCell="P1" sqref="P1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1" s="3" customFormat="1" x14ac:dyDescent="0.45">
      <c r="A1" s="3" t="s">
        <v>24</v>
      </c>
      <c r="B1" s="3" t="s">
        <v>8</v>
      </c>
      <c r="C1" s="3" t="s">
        <v>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  <c r="O1" s="3" t="s">
        <v>24</v>
      </c>
      <c r="P1" s="3" t="s">
        <v>2</v>
      </c>
      <c r="Q1" s="3" t="s">
        <v>2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23</v>
      </c>
      <c r="AG1" s="3" t="s">
        <v>24</v>
      </c>
      <c r="AH1" s="3" t="s">
        <v>0</v>
      </c>
      <c r="AI1" s="3" t="s">
        <v>0</v>
      </c>
      <c r="AJ1" s="3" t="s">
        <v>12</v>
      </c>
      <c r="AK1" s="3" t="s">
        <v>13</v>
      </c>
      <c r="AL1" s="3" t="s">
        <v>14</v>
      </c>
      <c r="AM1" s="3" t="s">
        <v>15</v>
      </c>
      <c r="AN1" s="3" t="s">
        <v>16</v>
      </c>
      <c r="AO1" s="3" t="s">
        <v>23</v>
      </c>
    </row>
    <row r="2" spans="1:41" x14ac:dyDescent="0.45">
      <c r="A2" t="s">
        <v>69</v>
      </c>
      <c r="B2">
        <v>40.763772299999999</v>
      </c>
      <c r="C2">
        <v>44.580383740000002</v>
      </c>
      <c r="D2">
        <f>(C2-B2)</f>
        <v>3.8166114400000026</v>
      </c>
      <c r="E2">
        <f>ABS(D2)</f>
        <v>3.8166114400000026</v>
      </c>
      <c r="F2">
        <f>E2^2</f>
        <v>14.566522883938894</v>
      </c>
      <c r="G2">
        <f>CORREL(B2:B11,C2:C11)</f>
        <v>0.99595489221513589</v>
      </c>
      <c r="H2">
        <f>G2^2</f>
        <v>0.99192614732726292</v>
      </c>
      <c r="I2">
        <v>40.763772299999999</v>
      </c>
      <c r="O2" t="s">
        <v>69</v>
      </c>
      <c r="P2">
        <v>43.211318140000003</v>
      </c>
      <c r="Q2">
        <v>41.52708982</v>
      </c>
      <c r="R2">
        <f>(Q2-P2)</f>
        <v>-1.6842283200000026</v>
      </c>
      <c r="S2">
        <f>ABS(R2)</f>
        <v>1.6842283200000026</v>
      </c>
      <c r="T2">
        <f>S2^2</f>
        <v>2.836625033890031</v>
      </c>
      <c r="U2">
        <f>CORREL(P2:P11,Q2:Q11)</f>
        <v>0.99198197431967405</v>
      </c>
      <c r="V2">
        <f>U2^2</f>
        <v>0.98402823737515843</v>
      </c>
      <c r="W2">
        <v>43.211318140000003</v>
      </c>
      <c r="AG2" t="s">
        <v>69</v>
      </c>
      <c r="AH2">
        <v>96.028644729999996</v>
      </c>
      <c r="AI2">
        <v>95.155504969999996</v>
      </c>
      <c r="AJ2">
        <f>(AI2-AH2)</f>
        <v>-0.87313976000000082</v>
      </c>
      <c r="AK2">
        <f>ABS(AJ2)</f>
        <v>0.87313976000000082</v>
      </c>
      <c r="AL2">
        <f>AK2^2</f>
        <v>0.76237304049285903</v>
      </c>
      <c r="AM2">
        <f>CORREL(AH2:AH11,AI2:AI11)</f>
        <v>0.99797043238963767</v>
      </c>
      <c r="AN2">
        <f>AM2^2</f>
        <v>0.99594498392396036</v>
      </c>
      <c r="AO2">
        <v>96.028644729999996</v>
      </c>
    </row>
    <row r="3" spans="1:41" x14ac:dyDescent="0.45">
      <c r="A3" t="s">
        <v>70</v>
      </c>
      <c r="B3">
        <v>33.775610309999998</v>
      </c>
      <c r="C3">
        <v>46.131173619999998</v>
      </c>
      <c r="D3">
        <f t="shared" ref="D3:D11" si="0">(C3-B3)</f>
        <v>12.355563310000001</v>
      </c>
      <c r="E3">
        <f t="shared" ref="E3:E11" si="1">ABS(D3)</f>
        <v>12.355563310000001</v>
      </c>
      <c r="F3">
        <f t="shared" ref="F3:F11" si="2">E3^2</f>
        <v>152.65994470741819</v>
      </c>
      <c r="I3">
        <v>33.775610309999998</v>
      </c>
      <c r="O3" t="s">
        <v>70</v>
      </c>
      <c r="P3">
        <v>34.536897770000003</v>
      </c>
      <c r="Q3">
        <v>33.186568289999997</v>
      </c>
      <c r="R3">
        <f t="shared" ref="R3:R11" si="3">(Q3-P3)</f>
        <v>-1.3503294800000063</v>
      </c>
      <c r="S3">
        <f t="shared" ref="S3:S11" si="4">ABS(R3)</f>
        <v>1.3503294800000063</v>
      </c>
      <c r="T3">
        <f t="shared" ref="T3:T11" si="5">S3^2</f>
        <v>1.8233897045570875</v>
      </c>
      <c r="W3">
        <v>34.536897770000003</v>
      </c>
      <c r="AG3" t="s">
        <v>70</v>
      </c>
      <c r="AH3">
        <v>85.921376719999998</v>
      </c>
      <c r="AI3">
        <v>94.370376620000002</v>
      </c>
      <c r="AJ3">
        <f t="shared" ref="AJ3:AJ11" si="6">(AI3-AH3)</f>
        <v>8.448999900000004</v>
      </c>
      <c r="AK3">
        <f t="shared" ref="AK3:AK11" si="7">ABS(AJ3)</f>
        <v>8.448999900000004</v>
      </c>
      <c r="AL3">
        <f t="shared" ref="AL3:AL11" si="8">AK3^2</f>
        <v>71.385599310200078</v>
      </c>
      <c r="AO3">
        <v>85.921376719999998</v>
      </c>
    </row>
    <row r="4" spans="1:41" x14ac:dyDescent="0.45">
      <c r="A4" t="s">
        <v>71</v>
      </c>
      <c r="B4">
        <v>29.719676230000001</v>
      </c>
      <c r="C4">
        <v>35.505870989999998</v>
      </c>
      <c r="D4">
        <f t="shared" si="0"/>
        <v>5.7861947599999972</v>
      </c>
      <c r="E4">
        <f t="shared" si="1"/>
        <v>5.7861947599999972</v>
      </c>
      <c r="F4">
        <f t="shared" si="2"/>
        <v>33.480049800651429</v>
      </c>
      <c r="I4">
        <v>29.719676230000001</v>
      </c>
      <c r="O4" t="s">
        <v>71</v>
      </c>
      <c r="P4">
        <v>46.645348339999998</v>
      </c>
      <c r="Q4">
        <v>43.960294939999997</v>
      </c>
      <c r="R4">
        <f t="shared" si="3"/>
        <v>-2.685053400000001</v>
      </c>
      <c r="S4">
        <f t="shared" si="4"/>
        <v>2.685053400000001</v>
      </c>
      <c r="T4">
        <f t="shared" si="5"/>
        <v>7.2095117608515658</v>
      </c>
      <c r="W4">
        <v>46.645348339999998</v>
      </c>
      <c r="AG4" t="s">
        <v>71</v>
      </c>
      <c r="AH4">
        <v>102.3861189</v>
      </c>
      <c r="AI4">
        <v>100.48120520000001</v>
      </c>
      <c r="AJ4">
        <f t="shared" si="6"/>
        <v>-1.9049136999999945</v>
      </c>
      <c r="AK4">
        <f t="shared" si="7"/>
        <v>1.9049136999999945</v>
      </c>
      <c r="AL4">
        <f t="shared" si="8"/>
        <v>3.6286962044476692</v>
      </c>
      <c r="AO4">
        <v>102.3861189</v>
      </c>
    </row>
    <row r="5" spans="1:41" x14ac:dyDescent="0.45">
      <c r="A5" t="s">
        <v>72</v>
      </c>
      <c r="B5">
        <v>30.99044984</v>
      </c>
      <c r="C5">
        <v>32.867506339999998</v>
      </c>
      <c r="D5">
        <f t="shared" si="0"/>
        <v>1.8770564999999984</v>
      </c>
      <c r="E5">
        <f t="shared" si="1"/>
        <v>1.8770564999999984</v>
      </c>
      <c r="F5">
        <f t="shared" si="2"/>
        <v>3.523341104192244</v>
      </c>
      <c r="I5">
        <v>30.99044984</v>
      </c>
      <c r="O5" t="s">
        <v>72</v>
      </c>
      <c r="P5">
        <v>45.744276999999997</v>
      </c>
      <c r="Q5">
        <v>46.979163929999999</v>
      </c>
      <c r="R5">
        <f t="shared" si="3"/>
        <v>1.2348869300000018</v>
      </c>
      <c r="S5">
        <f t="shared" si="4"/>
        <v>1.2348869300000018</v>
      </c>
      <c r="T5">
        <f t="shared" si="5"/>
        <v>1.5249457298848295</v>
      </c>
      <c r="W5">
        <v>45.744276999999997</v>
      </c>
      <c r="AG5" t="s">
        <v>72</v>
      </c>
      <c r="AH5">
        <v>104.4179979</v>
      </c>
      <c r="AI5">
        <v>102.3398126</v>
      </c>
      <c r="AJ5">
        <f t="shared" si="6"/>
        <v>-2.0781853000000012</v>
      </c>
      <c r="AK5">
        <f t="shared" si="7"/>
        <v>2.0781853000000012</v>
      </c>
      <c r="AL5">
        <f t="shared" si="8"/>
        <v>4.3188541411360948</v>
      </c>
      <c r="AO5">
        <v>104.4179979</v>
      </c>
    </row>
    <row r="6" spans="1:41" x14ac:dyDescent="0.45">
      <c r="A6" t="s">
        <v>73</v>
      </c>
      <c r="B6">
        <v>44.234566039999997</v>
      </c>
      <c r="C6">
        <v>44.16259779</v>
      </c>
      <c r="D6">
        <f t="shared" si="0"/>
        <v>-7.1968249999997624E-2</v>
      </c>
      <c r="E6">
        <f t="shared" si="1"/>
        <v>7.1968249999997624E-2</v>
      </c>
      <c r="F6">
        <f t="shared" si="2"/>
        <v>5.1794290080621579E-3</v>
      </c>
      <c r="I6">
        <v>44.234566039999997</v>
      </c>
      <c r="O6" t="s">
        <v>73</v>
      </c>
      <c r="P6">
        <v>30.671964809999999</v>
      </c>
      <c r="Q6">
        <v>32.085121669999999</v>
      </c>
      <c r="R6">
        <f t="shared" si="3"/>
        <v>1.4131568600000008</v>
      </c>
      <c r="S6">
        <f t="shared" si="4"/>
        <v>1.4131568600000008</v>
      </c>
      <c r="T6">
        <f t="shared" si="5"/>
        <v>1.9970123109650619</v>
      </c>
      <c r="W6">
        <v>30.671964809999999</v>
      </c>
      <c r="AG6" t="s">
        <v>73</v>
      </c>
      <c r="AH6">
        <v>93.175336020000003</v>
      </c>
      <c r="AI6">
        <v>93.510362200000003</v>
      </c>
      <c r="AJ6">
        <f t="shared" si="6"/>
        <v>0.33502617999999984</v>
      </c>
      <c r="AK6">
        <f t="shared" si="7"/>
        <v>0.33502617999999984</v>
      </c>
      <c r="AL6">
        <f t="shared" si="8"/>
        <v>0.11224254128539229</v>
      </c>
      <c r="AO6">
        <v>93.175336020000003</v>
      </c>
    </row>
    <row r="7" spans="1:41" x14ac:dyDescent="0.45">
      <c r="A7" t="s">
        <v>122</v>
      </c>
      <c r="B7">
        <v>-31.620045659999999</v>
      </c>
      <c r="C7">
        <v>-31.14032216</v>
      </c>
      <c r="D7">
        <f t="shared" si="0"/>
        <v>0.47972349999999864</v>
      </c>
      <c r="E7">
        <f t="shared" si="1"/>
        <v>0.47972349999999864</v>
      </c>
      <c r="F7">
        <f t="shared" si="2"/>
        <v>0.23013463645224869</v>
      </c>
      <c r="I7">
        <v>-31.620045659999999</v>
      </c>
      <c r="O7" t="s">
        <v>122</v>
      </c>
      <c r="P7">
        <v>-35.626947250000001</v>
      </c>
      <c r="Q7">
        <v>-50.937846819999997</v>
      </c>
      <c r="R7">
        <f t="shared" si="3"/>
        <v>-15.310899569999997</v>
      </c>
      <c r="S7">
        <f t="shared" si="4"/>
        <v>15.310899569999997</v>
      </c>
      <c r="T7">
        <f t="shared" si="5"/>
        <v>234.42364564262607</v>
      </c>
      <c r="W7">
        <v>-35.626947250000001</v>
      </c>
      <c r="AG7" t="s">
        <v>122</v>
      </c>
      <c r="AH7">
        <v>-85.526271109999996</v>
      </c>
      <c r="AI7">
        <v>-103.67145650000001</v>
      </c>
      <c r="AJ7">
        <f t="shared" si="6"/>
        <v>-18.145185390000009</v>
      </c>
      <c r="AK7">
        <f t="shared" si="7"/>
        <v>18.145185390000009</v>
      </c>
      <c r="AL7">
        <f t="shared" si="8"/>
        <v>329.24775283746976</v>
      </c>
      <c r="AO7">
        <v>-85.526271109999996</v>
      </c>
    </row>
    <row r="8" spans="1:41" x14ac:dyDescent="0.45">
      <c r="A8" t="s">
        <v>123</v>
      </c>
      <c r="B8">
        <v>-31.64916388</v>
      </c>
      <c r="C8">
        <v>-35.559339690000002</v>
      </c>
      <c r="D8">
        <f t="shared" si="0"/>
        <v>-3.9101758100000019</v>
      </c>
      <c r="E8">
        <f t="shared" si="1"/>
        <v>3.9101758100000019</v>
      </c>
      <c r="F8">
        <f t="shared" si="2"/>
        <v>15.28947486510917</v>
      </c>
      <c r="I8">
        <v>-31.64916388</v>
      </c>
      <c r="O8" t="s">
        <v>123</v>
      </c>
      <c r="P8">
        <v>-36.56049161</v>
      </c>
      <c r="Q8">
        <v>-35.830362630000003</v>
      </c>
      <c r="R8">
        <f t="shared" si="3"/>
        <v>0.73012897999999637</v>
      </c>
      <c r="S8">
        <f t="shared" si="4"/>
        <v>0.73012897999999637</v>
      </c>
      <c r="T8">
        <f t="shared" si="5"/>
        <v>0.53308832743583512</v>
      </c>
      <c r="W8">
        <v>-36.56049161</v>
      </c>
      <c r="AG8" t="s">
        <v>123</v>
      </c>
      <c r="AH8">
        <v>-85.848333879999998</v>
      </c>
      <c r="AI8">
        <v>-83.346466879999994</v>
      </c>
      <c r="AJ8">
        <f t="shared" si="6"/>
        <v>2.5018670000000043</v>
      </c>
      <c r="AK8">
        <f t="shared" si="7"/>
        <v>2.5018670000000043</v>
      </c>
      <c r="AL8">
        <f t="shared" si="8"/>
        <v>6.2593384856890211</v>
      </c>
      <c r="AO8">
        <v>-85.848333879999998</v>
      </c>
    </row>
    <row r="9" spans="1:41" x14ac:dyDescent="0.45">
      <c r="A9" t="s">
        <v>124</v>
      </c>
      <c r="B9">
        <v>-34.647302510000003</v>
      </c>
      <c r="C9">
        <v>-37.269966840000002</v>
      </c>
      <c r="D9">
        <f t="shared" si="0"/>
        <v>-2.6226643299999992</v>
      </c>
      <c r="E9">
        <f t="shared" si="1"/>
        <v>2.6226643299999992</v>
      </c>
      <c r="F9">
        <f t="shared" si="2"/>
        <v>6.8783681878543446</v>
      </c>
      <c r="I9">
        <v>-34.647302510000003</v>
      </c>
      <c r="O9" t="s">
        <v>124</v>
      </c>
      <c r="P9">
        <v>-38.116941560000001</v>
      </c>
      <c r="Q9">
        <v>-37.502845479999998</v>
      </c>
      <c r="R9">
        <f t="shared" si="3"/>
        <v>0.61409608000000304</v>
      </c>
      <c r="S9">
        <f t="shared" si="4"/>
        <v>0.61409608000000304</v>
      </c>
      <c r="T9">
        <f t="shared" si="5"/>
        <v>0.37711399547137014</v>
      </c>
      <c r="W9">
        <v>-38.116941560000001</v>
      </c>
      <c r="AG9" t="s">
        <v>124</v>
      </c>
      <c r="AH9">
        <v>-99.919215080000001</v>
      </c>
      <c r="AI9">
        <v>-97.916505520000001</v>
      </c>
      <c r="AJ9">
        <f t="shared" si="6"/>
        <v>2.0027095599999996</v>
      </c>
      <c r="AK9">
        <f t="shared" si="7"/>
        <v>2.0027095599999996</v>
      </c>
      <c r="AL9">
        <f t="shared" si="8"/>
        <v>4.0108455817153921</v>
      </c>
      <c r="AO9">
        <v>-99.919215080000001</v>
      </c>
    </row>
    <row r="10" spans="1:41" x14ac:dyDescent="0.45">
      <c r="A10" t="s">
        <v>125</v>
      </c>
      <c r="B10">
        <v>-41.503978340000003</v>
      </c>
      <c r="C10">
        <v>-42.595306839999999</v>
      </c>
      <c r="D10">
        <f t="shared" si="0"/>
        <v>-1.0913284999999959</v>
      </c>
      <c r="E10">
        <f t="shared" si="1"/>
        <v>1.0913284999999959</v>
      </c>
      <c r="F10">
        <f t="shared" si="2"/>
        <v>1.1909978949122411</v>
      </c>
      <c r="I10">
        <v>-41.503978340000003</v>
      </c>
      <c r="O10" t="s">
        <v>125</v>
      </c>
      <c r="P10">
        <v>-30.318976119999999</v>
      </c>
      <c r="Q10">
        <v>-33.659350959999998</v>
      </c>
      <c r="R10">
        <f t="shared" si="3"/>
        <v>-3.3403748399999991</v>
      </c>
      <c r="S10">
        <f t="shared" si="4"/>
        <v>3.3403748399999991</v>
      </c>
      <c r="T10">
        <f t="shared" si="5"/>
        <v>11.158104071705019</v>
      </c>
      <c r="W10">
        <v>-30.318976119999999</v>
      </c>
      <c r="AG10" t="s">
        <v>125</v>
      </c>
      <c r="AH10">
        <v>-93.18230355</v>
      </c>
      <c r="AI10">
        <v>-95.190922889999996</v>
      </c>
      <c r="AJ10">
        <f t="shared" si="6"/>
        <v>-2.0086193399999956</v>
      </c>
      <c r="AK10">
        <f t="shared" si="7"/>
        <v>2.0086193399999956</v>
      </c>
      <c r="AL10">
        <f t="shared" si="8"/>
        <v>4.0345516530220182</v>
      </c>
      <c r="AO10">
        <v>-93.18230355</v>
      </c>
    </row>
    <row r="11" spans="1:41" x14ac:dyDescent="0.45">
      <c r="A11" t="s">
        <v>126</v>
      </c>
      <c r="B11">
        <v>-28.600327230000001</v>
      </c>
      <c r="C11">
        <v>-32.161729549999997</v>
      </c>
      <c r="D11">
        <f t="shared" si="0"/>
        <v>-3.5614023199999956</v>
      </c>
      <c r="E11">
        <f t="shared" si="1"/>
        <v>3.5614023199999956</v>
      </c>
      <c r="F11">
        <f t="shared" si="2"/>
        <v>12.683586484901351</v>
      </c>
      <c r="I11">
        <v>-28.600327230000001</v>
      </c>
      <c r="O11" t="s">
        <v>126</v>
      </c>
      <c r="P11">
        <v>-49.227125540000003</v>
      </c>
      <c r="Q11">
        <v>-44.143388270000003</v>
      </c>
      <c r="R11">
        <f t="shared" si="3"/>
        <v>5.0837372700000003</v>
      </c>
      <c r="S11">
        <f t="shared" si="4"/>
        <v>5.0837372700000003</v>
      </c>
      <c r="T11">
        <f t="shared" si="5"/>
        <v>25.844384630387054</v>
      </c>
      <c r="W11">
        <v>-49.227125540000003</v>
      </c>
      <c r="AG11" t="s">
        <v>126</v>
      </c>
      <c r="AH11">
        <v>-103.6989777</v>
      </c>
      <c r="AI11">
        <v>-103.5679538</v>
      </c>
      <c r="AJ11">
        <f t="shared" si="6"/>
        <v>0.13102390000000241</v>
      </c>
      <c r="AK11">
        <f t="shared" si="7"/>
        <v>0.13102390000000241</v>
      </c>
      <c r="AL11">
        <f t="shared" si="8"/>
        <v>1.7167262371210631E-2</v>
      </c>
      <c r="AO11">
        <v>-103.6989777</v>
      </c>
    </row>
    <row r="12" spans="1:41" x14ac:dyDescent="0.45">
      <c r="D12">
        <f>AVERAGE(D2:D11)</f>
        <v>1.3057610300000007</v>
      </c>
      <c r="E12">
        <f>AVERAGE(E2:E11)</f>
        <v>3.557268871999999</v>
      </c>
      <c r="F12">
        <f>SQRT(AVERAGE(F2:F11))</f>
        <v>4.9041574199289126</v>
      </c>
      <c r="R12">
        <f>AVERAGE(R2:R11)</f>
        <v>-1.5294879490000004</v>
      </c>
      <c r="S12">
        <f>AVERAGE(S2:S11)</f>
        <v>3.3446891730000003</v>
      </c>
      <c r="T12">
        <f>SQRT(AVERAGE(T2:T11))</f>
        <v>5.3640266704013868</v>
      </c>
      <c r="AJ12">
        <f>AVERAGE(AJ2:AJ11)</f>
        <v>-1.1590416949999991</v>
      </c>
      <c r="AK12">
        <f>AVERAGE(AK2:AK11)</f>
        <v>3.8429670030000009</v>
      </c>
      <c r="AL12">
        <f>SQRT(AVERAGE(AL2:AL11))</f>
        <v>6.5098188996148698</v>
      </c>
    </row>
    <row r="13" spans="1:41" x14ac:dyDescent="0.45">
      <c r="B13">
        <f>MIN(B2:B11)</f>
        <v>-41.503978340000003</v>
      </c>
      <c r="C13">
        <f>MIN(C2:C11)</f>
        <v>-42.595306839999999</v>
      </c>
      <c r="P13">
        <f>MIN(P2:P11)</f>
        <v>-49.227125540000003</v>
      </c>
      <c r="Q13">
        <f>MIN(Q2:Q11)</f>
        <v>-50.937846819999997</v>
      </c>
      <c r="AH13">
        <f>MIN(AH2:AH11)</f>
        <v>-103.6989777</v>
      </c>
      <c r="AI13">
        <f>MIN(AI2:AI11)</f>
        <v>-103.67145650000001</v>
      </c>
    </row>
    <row r="14" spans="1:41" x14ac:dyDescent="0.45">
      <c r="B14">
        <f>MAX(B2:B11)</f>
        <v>44.234566039999997</v>
      </c>
      <c r="C14">
        <f>MAX(C2:C11)</f>
        <v>46.131173619999998</v>
      </c>
      <c r="P14">
        <f>MAX(P2:P11)</f>
        <v>46.645348339999998</v>
      </c>
      <c r="Q14">
        <f>MAX(Q2:Q11)</f>
        <v>46.979163929999999</v>
      </c>
      <c r="AH14">
        <f>MAX(AH2:AH11)</f>
        <v>104.4179979</v>
      </c>
      <c r="AI14">
        <f>MAX(AI2:AI11)</f>
        <v>102.3398126</v>
      </c>
    </row>
    <row r="18" spans="48:48" x14ac:dyDescent="0.45">
      <c r="AV18" s="2"/>
    </row>
    <row r="19" spans="48:48" x14ac:dyDescent="0.45">
      <c r="AV19" s="2"/>
    </row>
    <row r="20" spans="48:48" x14ac:dyDescent="0.45">
      <c r="AV20" s="2"/>
    </row>
    <row r="21" spans="48:48" x14ac:dyDescent="0.45">
      <c r="AV21" s="2"/>
    </row>
    <row r="22" spans="48:48" x14ac:dyDescent="0.45">
      <c r="AV22" s="2"/>
    </row>
    <row r="23" spans="48:48" x14ac:dyDescent="0.45">
      <c r="AV2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FF21-4600-4413-B534-7C22B320D5CB}">
  <dimension ref="A1:AV29"/>
  <sheetViews>
    <sheetView workbookViewId="0">
      <selection activeCell="B1" sqref="B1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1" s="3" customFormat="1" x14ac:dyDescent="0.45">
      <c r="A1" s="3" t="s">
        <v>24</v>
      </c>
      <c r="B1" s="3" t="s">
        <v>8</v>
      </c>
      <c r="C1" s="3" t="s">
        <v>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  <c r="O1" s="3" t="s">
        <v>24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23</v>
      </c>
      <c r="AG1" s="3" t="s">
        <v>24</v>
      </c>
      <c r="AH1" s="3" t="s">
        <v>6</v>
      </c>
      <c r="AI1" s="3" t="s">
        <v>7</v>
      </c>
      <c r="AJ1" s="3" t="s">
        <v>12</v>
      </c>
      <c r="AK1" s="3" t="s">
        <v>13</v>
      </c>
      <c r="AL1" s="3" t="s">
        <v>14</v>
      </c>
      <c r="AM1" s="3" t="s">
        <v>15</v>
      </c>
      <c r="AN1" s="3" t="s">
        <v>16</v>
      </c>
      <c r="AO1" s="3" t="s">
        <v>23</v>
      </c>
    </row>
    <row r="2" spans="1:41" x14ac:dyDescent="0.45">
      <c r="A2" t="s">
        <v>34</v>
      </c>
      <c r="B2">
        <v>-56.723790940000001</v>
      </c>
      <c r="C2">
        <v>-55.260859189999998</v>
      </c>
      <c r="D2">
        <f>(C2-B2)</f>
        <v>1.4629317500000028</v>
      </c>
      <c r="E2">
        <f>ABS(D2)</f>
        <v>1.4629317500000028</v>
      </c>
      <c r="F2">
        <f>E2^2</f>
        <v>2.1401693051580706</v>
      </c>
      <c r="G2">
        <f>CORREL(B2:B17,C2:C17)</f>
        <v>0.98997947791644136</v>
      </c>
      <c r="H2">
        <f>G2^2</f>
        <v>0.98005936669570981</v>
      </c>
      <c r="I2">
        <v>-56.723790940000001</v>
      </c>
      <c r="O2" t="s">
        <v>34</v>
      </c>
      <c r="P2">
        <v>-39.241813350000001</v>
      </c>
      <c r="Q2">
        <v>-41.183187799999999</v>
      </c>
      <c r="R2">
        <f>(Q2-P2)</f>
        <v>-1.9413744499999979</v>
      </c>
      <c r="S2">
        <f>ABS(R2)</f>
        <v>1.9413744499999979</v>
      </c>
      <c r="T2">
        <f>S2^2</f>
        <v>3.7689347551127943</v>
      </c>
      <c r="U2">
        <f>CORREL(P2:P17,Q2:Q17)</f>
        <v>0.98569951560452351</v>
      </c>
      <c r="V2">
        <f>U2^2</f>
        <v>0.97160353506299224</v>
      </c>
      <c r="W2">
        <v>-39.241813350000001</v>
      </c>
      <c r="AG2" t="s">
        <v>34</v>
      </c>
      <c r="AH2">
        <v>-107.2344183</v>
      </c>
      <c r="AI2">
        <v>-107.1133189</v>
      </c>
      <c r="AJ2">
        <f>(AI2-AH2)</f>
        <v>0.12109940000000563</v>
      </c>
      <c r="AK2">
        <f>ABS(AJ2)</f>
        <v>0.12109940000000563</v>
      </c>
      <c r="AL2">
        <f>AK2^2</f>
        <v>1.4665064680361363E-2</v>
      </c>
      <c r="AM2">
        <f>CORREL(AH2:AH17,AI2:AI17)</f>
        <v>0.99866474999295696</v>
      </c>
      <c r="AN2">
        <f>AM2^2</f>
        <v>0.99733128287849526</v>
      </c>
      <c r="AO2">
        <v>-107.2344183</v>
      </c>
    </row>
    <row r="3" spans="1:41" x14ac:dyDescent="0.45">
      <c r="A3" t="s">
        <v>51</v>
      </c>
      <c r="B3">
        <v>-83.254574809999994</v>
      </c>
      <c r="C3">
        <v>-85.347083229999996</v>
      </c>
      <c r="D3">
        <f t="shared" ref="D3:D17" si="0">(C3-B3)</f>
        <v>-2.0925084200000015</v>
      </c>
      <c r="E3">
        <f t="shared" ref="E3:E17" si="1">ABS(D3)</f>
        <v>2.0925084200000015</v>
      </c>
      <c r="F3">
        <f t="shared" ref="F3:F17" si="2">E3^2</f>
        <v>4.3785914877709029</v>
      </c>
      <c r="I3">
        <v>-83.254574809999994</v>
      </c>
      <c r="O3" t="s">
        <v>51</v>
      </c>
      <c r="P3">
        <v>-30.277118460000001</v>
      </c>
      <c r="Q3">
        <v>-33.699798870000002</v>
      </c>
      <c r="R3">
        <f t="shared" ref="R3:R17" si="3">(Q3-P3)</f>
        <v>-3.4226804100000017</v>
      </c>
      <c r="S3">
        <f t="shared" ref="S3:S17" si="4">ABS(R3)</f>
        <v>3.4226804100000017</v>
      </c>
      <c r="T3">
        <f t="shared" ref="T3:T17" si="5">S3^2</f>
        <v>11.714741188997779</v>
      </c>
      <c r="W3">
        <v>-30.277118460000001</v>
      </c>
      <c r="AG3" t="s">
        <v>51</v>
      </c>
      <c r="AH3">
        <v>-96.806327510000003</v>
      </c>
      <c r="AI3">
        <v>-97.097859810000003</v>
      </c>
      <c r="AJ3">
        <f t="shared" ref="AJ3:AJ17" si="6">(AI3-AH3)</f>
        <v>-0.29153230000000008</v>
      </c>
      <c r="AK3">
        <f t="shared" ref="AK3:AK17" si="7">ABS(AJ3)</f>
        <v>0.29153230000000008</v>
      </c>
      <c r="AL3">
        <f t="shared" ref="AL3:AL17" si="8">AK3^2</f>
        <v>8.4991081943290039E-2</v>
      </c>
      <c r="AO3">
        <v>-96.806327510000003</v>
      </c>
    </row>
    <row r="4" spans="1:41" x14ac:dyDescent="0.45">
      <c r="A4" t="s">
        <v>54</v>
      </c>
      <c r="B4">
        <v>-28.25640598</v>
      </c>
      <c r="C4">
        <v>-32.896711529999997</v>
      </c>
      <c r="D4">
        <f t="shared" si="0"/>
        <v>-4.6403055499999972</v>
      </c>
      <c r="E4">
        <f t="shared" si="1"/>
        <v>4.6403055499999972</v>
      </c>
      <c r="F4">
        <f t="shared" si="2"/>
        <v>21.532435597360777</v>
      </c>
      <c r="I4">
        <v>-28.25640598</v>
      </c>
      <c r="O4" t="s">
        <v>54</v>
      </c>
      <c r="P4">
        <v>-83.170979450000004</v>
      </c>
      <c r="Q4">
        <v>-85.907742510000006</v>
      </c>
      <c r="R4">
        <f t="shared" si="3"/>
        <v>-2.7367630600000012</v>
      </c>
      <c r="S4">
        <f t="shared" si="4"/>
        <v>2.7367630600000012</v>
      </c>
      <c r="T4">
        <f t="shared" si="5"/>
        <v>7.4898720465805706</v>
      </c>
      <c r="W4">
        <v>-83.170979450000004</v>
      </c>
      <c r="AG4" t="s">
        <v>54</v>
      </c>
      <c r="AH4">
        <v>-140.35174129999999</v>
      </c>
      <c r="AI4">
        <v>-143.0456002</v>
      </c>
      <c r="AJ4">
        <f t="shared" si="6"/>
        <v>-2.6938589000000093</v>
      </c>
      <c r="AK4">
        <f t="shared" si="7"/>
        <v>2.6938589000000093</v>
      </c>
      <c r="AL4">
        <f t="shared" si="8"/>
        <v>7.2568757731092601</v>
      </c>
      <c r="AO4">
        <v>-140.35174129999999</v>
      </c>
    </row>
    <row r="5" spans="1:41" x14ac:dyDescent="0.45">
      <c r="A5" t="s">
        <v>55</v>
      </c>
      <c r="B5">
        <v>-33.21150334</v>
      </c>
      <c r="C5">
        <v>-40.855942749999997</v>
      </c>
      <c r="D5">
        <f t="shared" si="0"/>
        <v>-7.6444394099999968</v>
      </c>
      <c r="E5">
        <f t="shared" si="1"/>
        <v>7.6444394099999968</v>
      </c>
      <c r="F5">
        <f t="shared" si="2"/>
        <v>58.437453893161099</v>
      </c>
      <c r="I5">
        <v>-33.21150334</v>
      </c>
      <c r="O5" t="s">
        <v>55</v>
      </c>
      <c r="P5">
        <v>-30.382052309999999</v>
      </c>
      <c r="Q5">
        <v>-34.18851386</v>
      </c>
      <c r="R5">
        <f t="shared" si="3"/>
        <v>-3.8064615500000016</v>
      </c>
      <c r="S5">
        <f t="shared" si="4"/>
        <v>3.8064615500000016</v>
      </c>
      <c r="T5">
        <f t="shared" si="5"/>
        <v>14.489149531628415</v>
      </c>
      <c r="W5">
        <v>-30.382052309999999</v>
      </c>
      <c r="AG5" t="s">
        <v>55</v>
      </c>
      <c r="AH5">
        <v>-114.0301832</v>
      </c>
      <c r="AI5">
        <v>-111.7109446</v>
      </c>
      <c r="AJ5">
        <f t="shared" si="6"/>
        <v>2.3192385999999914</v>
      </c>
      <c r="AK5">
        <f t="shared" si="7"/>
        <v>2.3192385999999914</v>
      </c>
      <c r="AL5">
        <f t="shared" si="8"/>
        <v>5.3788676837299203</v>
      </c>
      <c r="AO5">
        <v>-114.0301832</v>
      </c>
    </row>
    <row r="6" spans="1:41" x14ac:dyDescent="0.45">
      <c r="A6" t="s">
        <v>74</v>
      </c>
      <c r="B6">
        <v>-60.408755810000002</v>
      </c>
      <c r="C6">
        <v>-84.863200160000005</v>
      </c>
      <c r="D6">
        <f t="shared" si="0"/>
        <v>-24.454444350000003</v>
      </c>
      <c r="E6">
        <f t="shared" si="1"/>
        <v>24.454444350000003</v>
      </c>
      <c r="F6">
        <f t="shared" si="2"/>
        <v>598.01984846724702</v>
      </c>
      <c r="I6">
        <v>-60.408755810000002</v>
      </c>
      <c r="O6" t="s">
        <v>74</v>
      </c>
      <c r="P6">
        <v>-38.729889399999998</v>
      </c>
      <c r="Q6">
        <v>-34.046050090000001</v>
      </c>
      <c r="R6">
        <f t="shared" si="3"/>
        <v>4.6838393099999962</v>
      </c>
      <c r="S6">
        <f t="shared" si="4"/>
        <v>4.6838393099999962</v>
      </c>
      <c r="T6">
        <f t="shared" si="5"/>
        <v>21.938350681901241</v>
      </c>
      <c r="W6">
        <v>-38.729889399999998</v>
      </c>
      <c r="AG6" t="s">
        <v>74</v>
      </c>
      <c r="AH6">
        <v>-104.363995</v>
      </c>
      <c r="AI6">
        <v>-96.861063619999996</v>
      </c>
      <c r="AJ6">
        <f t="shared" si="6"/>
        <v>7.5029313800000068</v>
      </c>
      <c r="AK6">
        <f t="shared" si="7"/>
        <v>7.5029313800000068</v>
      </c>
      <c r="AL6">
        <f t="shared" si="8"/>
        <v>56.293979292988809</v>
      </c>
      <c r="AO6">
        <v>-104.363995</v>
      </c>
    </row>
    <row r="7" spans="1:41" x14ac:dyDescent="0.45">
      <c r="A7" t="s">
        <v>75</v>
      </c>
      <c r="B7">
        <v>-32.485002719999997</v>
      </c>
      <c r="C7">
        <v>-36.863351029999997</v>
      </c>
      <c r="D7">
        <f t="shared" si="0"/>
        <v>-4.3783483099999998</v>
      </c>
      <c r="E7">
        <f t="shared" si="1"/>
        <v>4.3783483099999998</v>
      </c>
      <c r="F7">
        <f t="shared" si="2"/>
        <v>19.169933923679853</v>
      </c>
      <c r="I7">
        <v>-32.485002719999997</v>
      </c>
      <c r="O7" t="s">
        <v>75</v>
      </c>
      <c r="P7">
        <v>-31.07316239</v>
      </c>
      <c r="Q7">
        <v>-36.934255149999998</v>
      </c>
      <c r="R7">
        <f t="shared" si="3"/>
        <v>-5.8610927599999982</v>
      </c>
      <c r="S7">
        <f t="shared" si="4"/>
        <v>5.8610927599999982</v>
      </c>
      <c r="T7">
        <f t="shared" si="5"/>
        <v>34.352408341324399</v>
      </c>
      <c r="W7">
        <v>-31.07316239</v>
      </c>
      <c r="AG7" t="s">
        <v>75</v>
      </c>
      <c r="AH7">
        <v>-121.5254778</v>
      </c>
      <c r="AI7">
        <v>-124.2772973</v>
      </c>
      <c r="AJ7">
        <f t="shared" si="6"/>
        <v>-2.7518194999999963</v>
      </c>
      <c r="AK7">
        <f t="shared" si="7"/>
        <v>2.7518194999999963</v>
      </c>
      <c r="AL7">
        <f t="shared" si="8"/>
        <v>7.5725105605802296</v>
      </c>
      <c r="AO7">
        <v>-121.5254778</v>
      </c>
    </row>
    <row r="8" spans="1:41" x14ac:dyDescent="0.45">
      <c r="A8" t="s">
        <v>76</v>
      </c>
      <c r="B8">
        <v>-33.053818669999998</v>
      </c>
      <c r="C8">
        <v>-36.329762160000001</v>
      </c>
      <c r="D8">
        <f t="shared" si="0"/>
        <v>-3.2759434900000031</v>
      </c>
      <c r="E8">
        <f t="shared" si="1"/>
        <v>3.2759434900000031</v>
      </c>
      <c r="F8">
        <f t="shared" si="2"/>
        <v>10.7318057496734</v>
      </c>
      <c r="I8">
        <v>-33.053818669999998</v>
      </c>
      <c r="O8" t="s">
        <v>76</v>
      </c>
      <c r="P8">
        <v>-31.445310020000001</v>
      </c>
      <c r="Q8">
        <v>-36.005421259999999</v>
      </c>
      <c r="R8">
        <f t="shared" si="3"/>
        <v>-4.5601112399999977</v>
      </c>
      <c r="S8">
        <f t="shared" si="4"/>
        <v>4.5601112399999977</v>
      </c>
      <c r="T8">
        <f t="shared" si="5"/>
        <v>20.794614521174317</v>
      </c>
      <c r="W8">
        <v>-31.445310020000001</v>
      </c>
      <c r="AG8" t="s">
        <v>76</v>
      </c>
      <c r="AH8">
        <v>-121.6679827</v>
      </c>
      <c r="AI8">
        <v>-124.4869911</v>
      </c>
      <c r="AJ8">
        <f t="shared" si="6"/>
        <v>-2.8190084000000013</v>
      </c>
      <c r="AK8">
        <f t="shared" si="7"/>
        <v>2.8190084000000013</v>
      </c>
      <c r="AL8">
        <f t="shared" si="8"/>
        <v>7.9468083592705669</v>
      </c>
      <c r="AO8">
        <v>-121.6679827</v>
      </c>
    </row>
    <row r="9" spans="1:41" x14ac:dyDescent="0.45">
      <c r="A9" t="s">
        <v>77</v>
      </c>
      <c r="B9">
        <v>-30.514739200000001</v>
      </c>
      <c r="C9">
        <v>-34.005246649999997</v>
      </c>
      <c r="D9">
        <f t="shared" si="0"/>
        <v>-3.4905074499999955</v>
      </c>
      <c r="E9">
        <f t="shared" si="1"/>
        <v>3.4905074499999955</v>
      </c>
      <c r="F9">
        <f t="shared" si="2"/>
        <v>12.183642258505472</v>
      </c>
      <c r="I9">
        <v>-30.514739200000001</v>
      </c>
      <c r="O9" t="s">
        <v>77</v>
      </c>
      <c r="P9">
        <v>-30.371560519999999</v>
      </c>
      <c r="Q9">
        <v>-34.568726689999998</v>
      </c>
      <c r="R9">
        <f t="shared" si="3"/>
        <v>-4.1971661699999991</v>
      </c>
      <c r="S9">
        <f t="shared" si="4"/>
        <v>4.1971661699999991</v>
      </c>
      <c r="T9">
        <f t="shared" si="5"/>
        <v>17.616203858592463</v>
      </c>
      <c r="W9">
        <v>-30.371560519999999</v>
      </c>
      <c r="AG9" t="s">
        <v>77</v>
      </c>
      <c r="AH9">
        <v>-119.824089</v>
      </c>
      <c r="AI9">
        <v>-122.7535639</v>
      </c>
      <c r="AJ9">
        <f t="shared" si="6"/>
        <v>-2.9294749000000024</v>
      </c>
      <c r="AK9">
        <f t="shared" si="7"/>
        <v>2.9294749000000024</v>
      </c>
      <c r="AL9">
        <f t="shared" si="8"/>
        <v>8.5818231897300237</v>
      </c>
      <c r="AO9">
        <v>-119.824089</v>
      </c>
    </row>
    <row r="10" spans="1:41" x14ac:dyDescent="0.45">
      <c r="A10" t="s">
        <v>88</v>
      </c>
      <c r="B10">
        <v>44.345814439999998</v>
      </c>
      <c r="C10">
        <v>35.876241559999997</v>
      </c>
      <c r="D10">
        <f t="shared" si="0"/>
        <v>-8.4695728800000012</v>
      </c>
      <c r="E10">
        <f t="shared" si="1"/>
        <v>8.4695728800000012</v>
      </c>
      <c r="F10">
        <f t="shared" si="2"/>
        <v>71.733664769631517</v>
      </c>
      <c r="I10">
        <v>44.345814439999998</v>
      </c>
      <c r="O10" t="s">
        <v>88</v>
      </c>
      <c r="P10">
        <v>57.04281727</v>
      </c>
      <c r="Q10">
        <v>84.254403879999998</v>
      </c>
      <c r="R10">
        <f t="shared" si="3"/>
        <v>27.211586609999998</v>
      </c>
      <c r="S10">
        <f t="shared" si="4"/>
        <v>27.211586609999998</v>
      </c>
      <c r="T10">
        <f t="shared" si="5"/>
        <v>740.47044583353113</v>
      </c>
      <c r="W10">
        <v>57.04281727</v>
      </c>
      <c r="AG10" t="s">
        <v>88</v>
      </c>
      <c r="AH10">
        <v>122.7913004</v>
      </c>
      <c r="AI10">
        <v>144.49727110000001</v>
      </c>
      <c r="AJ10">
        <f t="shared" si="6"/>
        <v>21.705970700000009</v>
      </c>
      <c r="AK10">
        <f t="shared" si="7"/>
        <v>21.705970700000009</v>
      </c>
      <c r="AL10">
        <f t="shared" si="8"/>
        <v>471.14916402925888</v>
      </c>
      <c r="AO10">
        <v>122.7913004</v>
      </c>
    </row>
    <row r="11" spans="1:41" x14ac:dyDescent="0.45">
      <c r="A11" t="s">
        <v>104</v>
      </c>
      <c r="B11">
        <v>30.34600932</v>
      </c>
      <c r="C11">
        <v>36.535691630000002</v>
      </c>
      <c r="D11">
        <f t="shared" si="0"/>
        <v>6.189682310000002</v>
      </c>
      <c r="E11">
        <f t="shared" si="1"/>
        <v>6.189682310000002</v>
      </c>
      <c r="F11">
        <f t="shared" si="2"/>
        <v>38.31216709872696</v>
      </c>
      <c r="I11">
        <v>30.34600932</v>
      </c>
      <c r="O11" t="s">
        <v>104</v>
      </c>
      <c r="P11">
        <v>75.80605826</v>
      </c>
      <c r="Q11">
        <v>81.14107448</v>
      </c>
      <c r="R11">
        <f t="shared" si="3"/>
        <v>5.33501622</v>
      </c>
      <c r="S11">
        <f t="shared" si="4"/>
        <v>5.33501622</v>
      </c>
      <c r="T11">
        <f t="shared" si="5"/>
        <v>28.462398067663088</v>
      </c>
      <c r="W11">
        <v>75.80605826</v>
      </c>
      <c r="AG11" t="s">
        <v>104</v>
      </c>
      <c r="AH11">
        <v>140.1015166</v>
      </c>
      <c r="AI11">
        <v>142.3384466</v>
      </c>
      <c r="AJ11">
        <f t="shared" si="6"/>
        <v>2.236930000000001</v>
      </c>
      <c r="AK11">
        <f t="shared" si="7"/>
        <v>2.236930000000001</v>
      </c>
      <c r="AL11">
        <f t="shared" si="8"/>
        <v>5.003855824900004</v>
      </c>
      <c r="AO11">
        <v>140.1015166</v>
      </c>
    </row>
    <row r="12" spans="1:41" x14ac:dyDescent="0.45">
      <c r="A12" t="s">
        <v>108</v>
      </c>
      <c r="B12">
        <v>34.761996860000004</v>
      </c>
      <c r="C12">
        <v>37.891986189999997</v>
      </c>
      <c r="D12">
        <f t="shared" si="0"/>
        <v>3.1299893299999937</v>
      </c>
      <c r="E12">
        <f t="shared" si="1"/>
        <v>3.1299893299999937</v>
      </c>
      <c r="F12">
        <f t="shared" si="2"/>
        <v>9.7968332059138099</v>
      </c>
      <c r="I12">
        <v>34.761996860000004</v>
      </c>
      <c r="O12" t="s">
        <v>108</v>
      </c>
      <c r="P12">
        <v>34.995808259999997</v>
      </c>
      <c r="Q12">
        <v>36.617219200000001</v>
      </c>
      <c r="R12">
        <f t="shared" si="3"/>
        <v>1.6214109400000041</v>
      </c>
      <c r="S12">
        <f t="shared" si="4"/>
        <v>1.6214109400000041</v>
      </c>
      <c r="T12">
        <f t="shared" si="5"/>
        <v>2.6289734363516968</v>
      </c>
      <c r="W12">
        <v>34.995808259999997</v>
      </c>
      <c r="Y12" t="s">
        <v>133</v>
      </c>
      <c r="AG12" t="s">
        <v>108</v>
      </c>
      <c r="AH12">
        <v>123.084203</v>
      </c>
      <c r="AI12">
        <v>123.94991659999999</v>
      </c>
      <c r="AJ12">
        <f t="shared" si="6"/>
        <v>0.86571359999999231</v>
      </c>
      <c r="AK12">
        <f t="shared" si="7"/>
        <v>0.86571359999999231</v>
      </c>
      <c r="AL12">
        <f t="shared" si="8"/>
        <v>0.7494600372249467</v>
      </c>
      <c r="AO12">
        <v>123.084203</v>
      </c>
    </row>
    <row r="13" spans="1:41" x14ac:dyDescent="0.45">
      <c r="A13" t="s">
        <v>109</v>
      </c>
      <c r="B13">
        <v>40.982852110000003</v>
      </c>
      <c r="C13">
        <v>48.68447922</v>
      </c>
      <c r="D13">
        <f t="shared" si="0"/>
        <v>7.7016271099999969</v>
      </c>
      <c r="E13">
        <f t="shared" si="1"/>
        <v>7.7016271099999969</v>
      </c>
      <c r="F13">
        <f t="shared" si="2"/>
        <v>59.315060141486903</v>
      </c>
      <c r="I13">
        <v>40.982852110000003</v>
      </c>
      <c r="O13" t="s">
        <v>109</v>
      </c>
      <c r="P13">
        <v>60.0908637</v>
      </c>
      <c r="Q13">
        <v>62.631182289999998</v>
      </c>
      <c r="R13">
        <f t="shared" si="3"/>
        <v>2.5403185899999983</v>
      </c>
      <c r="S13">
        <f t="shared" si="4"/>
        <v>2.5403185899999983</v>
      </c>
      <c r="T13">
        <f t="shared" si="5"/>
        <v>6.4532185386995797</v>
      </c>
      <c r="W13">
        <v>60.0908637</v>
      </c>
      <c r="AG13" t="s">
        <v>109</v>
      </c>
      <c r="AH13">
        <v>111.7410046</v>
      </c>
      <c r="AI13">
        <v>114.9010748</v>
      </c>
      <c r="AJ13">
        <f t="shared" si="6"/>
        <v>3.1600702000000069</v>
      </c>
      <c r="AK13">
        <f t="shared" si="7"/>
        <v>3.1600702000000069</v>
      </c>
      <c r="AL13">
        <f t="shared" si="8"/>
        <v>9.9860436689280832</v>
      </c>
      <c r="AO13">
        <v>111.7410046</v>
      </c>
    </row>
    <row r="14" spans="1:41" x14ac:dyDescent="0.45">
      <c r="A14" t="s">
        <v>127</v>
      </c>
      <c r="B14">
        <v>36.272188739999997</v>
      </c>
      <c r="C14">
        <v>35.659460559999999</v>
      </c>
      <c r="D14">
        <f t="shared" si="0"/>
        <v>-0.61272817999999774</v>
      </c>
      <c r="E14">
        <f t="shared" si="1"/>
        <v>0.61272817999999774</v>
      </c>
      <c r="F14">
        <f t="shared" si="2"/>
        <v>0.37543582256610963</v>
      </c>
      <c r="I14">
        <v>36.272188739999997</v>
      </c>
      <c r="O14" t="s">
        <v>127</v>
      </c>
      <c r="P14">
        <v>51.295449910000002</v>
      </c>
      <c r="Q14">
        <v>35.068289350000001</v>
      </c>
      <c r="R14">
        <f t="shared" si="3"/>
        <v>-16.227160560000002</v>
      </c>
      <c r="S14">
        <f t="shared" si="4"/>
        <v>16.227160560000002</v>
      </c>
      <c r="T14">
        <f t="shared" si="5"/>
        <v>263.32073984001954</v>
      </c>
      <c r="W14">
        <v>51.295449910000002</v>
      </c>
      <c r="AG14" t="s">
        <v>127</v>
      </c>
      <c r="AH14">
        <v>127.35483050000001</v>
      </c>
      <c r="AI14">
        <v>124.1946999</v>
      </c>
      <c r="AJ14">
        <f t="shared" si="6"/>
        <v>-3.1601306000000022</v>
      </c>
      <c r="AK14">
        <f t="shared" si="7"/>
        <v>3.1601306000000022</v>
      </c>
      <c r="AL14">
        <f t="shared" si="8"/>
        <v>9.9864254090563733</v>
      </c>
      <c r="AO14">
        <v>127.35483050000001</v>
      </c>
    </row>
    <row r="15" spans="1:41" x14ac:dyDescent="0.45">
      <c r="A15" t="s">
        <v>128</v>
      </c>
      <c r="B15">
        <v>31.524562400000001</v>
      </c>
      <c r="C15">
        <v>33.883402689999997</v>
      </c>
      <c r="D15">
        <f t="shared" si="0"/>
        <v>2.3588402899999963</v>
      </c>
      <c r="E15">
        <f t="shared" si="1"/>
        <v>2.3588402899999963</v>
      </c>
      <c r="F15">
        <f t="shared" si="2"/>
        <v>5.564127513727267</v>
      </c>
      <c r="I15">
        <v>31.524562400000001</v>
      </c>
      <c r="O15" t="s">
        <v>128</v>
      </c>
      <c r="P15">
        <v>77.281162969999997</v>
      </c>
      <c r="Q15">
        <v>84.259548370000005</v>
      </c>
      <c r="R15">
        <f t="shared" si="3"/>
        <v>6.9783854000000076</v>
      </c>
      <c r="S15">
        <f t="shared" si="4"/>
        <v>6.9783854000000076</v>
      </c>
      <c r="T15">
        <f t="shared" si="5"/>
        <v>48.697862790933264</v>
      </c>
      <c r="W15">
        <v>77.281162969999997</v>
      </c>
      <c r="AG15" t="s">
        <v>128</v>
      </c>
      <c r="AH15">
        <v>141.64866549999999</v>
      </c>
      <c r="AI15">
        <v>142.944232</v>
      </c>
      <c r="AJ15">
        <f t="shared" si="6"/>
        <v>1.2955665000000067</v>
      </c>
      <c r="AK15">
        <f t="shared" si="7"/>
        <v>1.2955665000000067</v>
      </c>
      <c r="AL15">
        <f t="shared" si="8"/>
        <v>1.6784925559222674</v>
      </c>
      <c r="AO15">
        <v>141.64866549999999</v>
      </c>
    </row>
    <row r="16" spans="1:41" x14ac:dyDescent="0.45">
      <c r="A16" t="s">
        <v>129</v>
      </c>
      <c r="B16">
        <v>40.622704579999997</v>
      </c>
      <c r="C16">
        <v>33.638322799999997</v>
      </c>
      <c r="D16">
        <f t="shared" si="0"/>
        <v>-6.9843817799999997</v>
      </c>
      <c r="E16">
        <f t="shared" si="1"/>
        <v>6.9843817799999997</v>
      </c>
      <c r="F16">
        <f t="shared" si="2"/>
        <v>48.781588848795963</v>
      </c>
      <c r="I16">
        <v>40.622704579999997</v>
      </c>
      <c r="O16" t="s">
        <v>129</v>
      </c>
      <c r="P16">
        <v>61.982182950000002</v>
      </c>
      <c r="Q16">
        <v>85.302217880000001</v>
      </c>
      <c r="R16">
        <f t="shared" si="3"/>
        <v>23.320034929999998</v>
      </c>
      <c r="S16">
        <f t="shared" si="4"/>
        <v>23.320034929999998</v>
      </c>
      <c r="T16">
        <f t="shared" si="5"/>
        <v>543.82402913641999</v>
      </c>
      <c r="W16">
        <v>61.982182950000002</v>
      </c>
      <c r="AG16" t="s">
        <v>129</v>
      </c>
      <c r="AH16">
        <v>126.6069408</v>
      </c>
      <c r="AI16">
        <v>142.79397059999999</v>
      </c>
      <c r="AJ16">
        <f t="shared" si="6"/>
        <v>16.187029799999991</v>
      </c>
      <c r="AK16">
        <f t="shared" si="7"/>
        <v>16.187029799999991</v>
      </c>
      <c r="AL16">
        <f t="shared" si="8"/>
        <v>262.01993374608776</v>
      </c>
      <c r="AO16">
        <v>126.6069408</v>
      </c>
    </row>
    <row r="17" spans="1:48" x14ac:dyDescent="0.45">
      <c r="A17" t="s">
        <v>130</v>
      </c>
      <c r="B17">
        <v>32.701005430000002</v>
      </c>
      <c r="C17">
        <v>36.487722929999997</v>
      </c>
      <c r="D17">
        <f t="shared" si="0"/>
        <v>3.7867174999999946</v>
      </c>
      <c r="E17">
        <f t="shared" si="1"/>
        <v>3.7867174999999946</v>
      </c>
      <c r="F17">
        <f t="shared" si="2"/>
        <v>14.339229424806209</v>
      </c>
      <c r="I17">
        <v>32.701005430000002</v>
      </c>
      <c r="O17" t="s">
        <v>130</v>
      </c>
      <c r="P17">
        <v>42.022386879999999</v>
      </c>
      <c r="Q17">
        <v>36.668350119999999</v>
      </c>
      <c r="R17">
        <f t="shared" si="3"/>
        <v>-5.3540367599999996</v>
      </c>
      <c r="S17">
        <f t="shared" si="4"/>
        <v>5.3540367599999996</v>
      </c>
      <c r="T17">
        <f t="shared" si="5"/>
        <v>28.665709627431294</v>
      </c>
      <c r="W17">
        <v>42.022386879999999</v>
      </c>
      <c r="AG17" t="s">
        <v>130</v>
      </c>
      <c r="AH17">
        <v>125.39592690000001</v>
      </c>
      <c r="AI17">
        <v>122.513323</v>
      </c>
      <c r="AJ17">
        <f t="shared" si="6"/>
        <v>-2.8826039000000065</v>
      </c>
      <c r="AK17">
        <f t="shared" si="7"/>
        <v>2.8826039000000065</v>
      </c>
      <c r="AL17">
        <f t="shared" si="8"/>
        <v>8.3094052442952471</v>
      </c>
      <c r="AO17">
        <v>125.39592690000001</v>
      </c>
    </row>
    <row r="18" spans="1:48" x14ac:dyDescent="0.45">
      <c r="D18">
        <f>AVERAGE(D2:D17)</f>
        <v>-2.5883369706250003</v>
      </c>
      <c r="E18">
        <f>AVERAGE(E2:E17)</f>
        <v>5.6670605068749991</v>
      </c>
      <c r="F18">
        <f>SQRT(AVERAGE(F2:F17))</f>
        <v>7.8054948093803267</v>
      </c>
      <c r="R18">
        <f>AVERAGE(R2:R17)</f>
        <v>1.4739840650000002</v>
      </c>
      <c r="S18">
        <f>AVERAGE(S2:S17)</f>
        <v>7.4873399350000005</v>
      </c>
      <c r="T18">
        <f>SQRT(AVERAGE(T2:T17))</f>
        <v>10.590938497709852</v>
      </c>
      <c r="AJ18">
        <f>AVERAGE(AJ2:AJ17)</f>
        <v>2.3666326049999995</v>
      </c>
      <c r="AK18">
        <f>AVERAGE(AK2:AK17)</f>
        <v>4.5576861675000018</v>
      </c>
      <c r="AL18">
        <f>SQRT(AVERAGE(AL2:AL17))</f>
        <v>7.3400157591865307</v>
      </c>
    </row>
    <row r="19" spans="1:48" x14ac:dyDescent="0.45">
      <c r="B19">
        <f>MIN(B2:B17)</f>
        <v>-83.254574809999994</v>
      </c>
      <c r="C19">
        <f>MIN(C2:C17)</f>
        <v>-85.347083229999996</v>
      </c>
      <c r="P19">
        <f>MIN(P2:P17)</f>
        <v>-83.170979450000004</v>
      </c>
      <c r="Q19">
        <f>MIN(Q2:Q17)</f>
        <v>-85.907742510000006</v>
      </c>
      <c r="AH19">
        <f>MIN(AH2:AH17)</f>
        <v>-140.35174129999999</v>
      </c>
      <c r="AI19">
        <f>MIN(AI2:AI17)</f>
        <v>-143.0456002</v>
      </c>
    </row>
    <row r="20" spans="1:48" x14ac:dyDescent="0.45">
      <c r="B20">
        <f>MAX(B2:B17)</f>
        <v>44.345814439999998</v>
      </c>
      <c r="C20">
        <f>MAX(C2:C17)</f>
        <v>48.68447922</v>
      </c>
      <c r="P20">
        <f>MAX(P2:P17)</f>
        <v>77.281162969999997</v>
      </c>
      <c r="Q20">
        <f>MAX(Q2:Q17)</f>
        <v>85.302217880000001</v>
      </c>
      <c r="AH20">
        <f>MAX(AH2:AH17)</f>
        <v>141.64866549999999</v>
      </c>
      <c r="AI20">
        <f>MAX(AI2:AI17)</f>
        <v>144.49727110000001</v>
      </c>
    </row>
    <row r="24" spans="1:48" x14ac:dyDescent="0.45">
      <c r="AV24" s="2"/>
    </row>
    <row r="25" spans="1:48" x14ac:dyDescent="0.45">
      <c r="AV25" s="2"/>
    </row>
    <row r="26" spans="1:48" x14ac:dyDescent="0.45">
      <c r="AV26" s="2"/>
    </row>
    <row r="27" spans="1:48" x14ac:dyDescent="0.45">
      <c r="AV27" s="2"/>
    </row>
    <row r="28" spans="1:48" x14ac:dyDescent="0.45">
      <c r="AV28" s="2"/>
    </row>
    <row r="29" spans="1:48" x14ac:dyDescent="0.45">
      <c r="AV29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4CB7-0C14-4FF3-821C-51290855BD5A}">
  <sheetPr codeName="Sheet3"/>
  <dimension ref="A1:AV28"/>
  <sheetViews>
    <sheetView workbookViewId="0">
      <selection activeCell="AP19" sqref="AP19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1" s="3" customFormat="1" x14ac:dyDescent="0.45">
      <c r="A1" s="3" t="s">
        <v>24</v>
      </c>
      <c r="B1" s="3" t="s">
        <v>8</v>
      </c>
      <c r="C1" s="3" t="s">
        <v>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  <c r="O1" s="3" t="s">
        <v>24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23</v>
      </c>
      <c r="AG1" s="3" t="s">
        <v>24</v>
      </c>
      <c r="AH1" s="3" t="s">
        <v>6</v>
      </c>
      <c r="AI1" s="3" t="s">
        <v>7</v>
      </c>
      <c r="AJ1" s="3" t="s">
        <v>12</v>
      </c>
      <c r="AK1" s="3" t="s">
        <v>13</v>
      </c>
      <c r="AL1" s="3" t="s">
        <v>14</v>
      </c>
      <c r="AM1" s="3" t="s">
        <v>15</v>
      </c>
      <c r="AN1" s="3" t="s">
        <v>16</v>
      </c>
      <c r="AO1" s="1" t="s">
        <v>23</v>
      </c>
    </row>
    <row r="2" spans="1:41" x14ac:dyDescent="0.45">
      <c r="A2" t="s">
        <v>28</v>
      </c>
      <c r="B2">
        <v>-29.656558220000001</v>
      </c>
      <c r="C2">
        <v>-31.182233029999999</v>
      </c>
      <c r="D2">
        <f>(C2-B2)</f>
        <v>-1.5256748099999982</v>
      </c>
      <c r="E2">
        <f>ABS(D2)</f>
        <v>1.5256748099999982</v>
      </c>
      <c r="F2">
        <f>E2^2</f>
        <v>2.3276836258685303</v>
      </c>
      <c r="G2">
        <f>CORREL(B2:B18,C2:C18)</f>
        <v>0.98982169774295292</v>
      </c>
      <c r="H2">
        <f>G2^2</f>
        <v>0.97974699332274162</v>
      </c>
      <c r="I2">
        <v>-29.656558220000001</v>
      </c>
      <c r="O2" t="s">
        <v>28</v>
      </c>
      <c r="P2">
        <v>-81.466770629999999</v>
      </c>
      <c r="Q2">
        <v>-79.2746961</v>
      </c>
      <c r="R2">
        <f>(Q2-P2)</f>
        <v>2.1920745299999993</v>
      </c>
      <c r="S2">
        <f>ABS(R2)</f>
        <v>2.1920745299999993</v>
      </c>
      <c r="T2">
        <f>S2^2</f>
        <v>4.805190745074718</v>
      </c>
      <c r="U2">
        <f>CORREL(P2:P18,Q2:Q18)</f>
        <v>0.97765083345406956</v>
      </c>
      <c r="V2">
        <f>U2^2</f>
        <v>0.95580115215343686</v>
      </c>
      <c r="W2">
        <v>-81.466770629999999</v>
      </c>
      <c r="AG2" t="s">
        <v>28</v>
      </c>
      <c r="AH2">
        <v>-137.54730559999999</v>
      </c>
      <c r="AI2">
        <v>-136.89023610000001</v>
      </c>
      <c r="AJ2">
        <f>(AI2-AH2)</f>
        <v>0.65706949999997732</v>
      </c>
      <c r="AK2">
        <f>ABS(AJ2)</f>
        <v>0.65706949999997732</v>
      </c>
      <c r="AL2">
        <f>AK2^2</f>
        <v>0.43174032783022021</v>
      </c>
      <c r="AM2">
        <f>CORREL(AH2:AH18,AI2:AI18)</f>
        <v>0.99632041323225917</v>
      </c>
      <c r="AN2">
        <f>AM2^2</f>
        <v>0.99265436582329969</v>
      </c>
      <c r="AO2">
        <v>-137.54730559999999</v>
      </c>
    </row>
    <row r="3" spans="1:41" x14ac:dyDescent="0.45">
      <c r="A3" t="s">
        <v>29</v>
      </c>
      <c r="B3">
        <v>-37.888702879999997</v>
      </c>
      <c r="C3">
        <v>-39.079276389999997</v>
      </c>
      <c r="D3">
        <f t="shared" ref="D3:D18" si="0">(C3-B3)</f>
        <v>-1.1905735100000001</v>
      </c>
      <c r="E3">
        <f t="shared" ref="E3:E18" si="1">ABS(D3)</f>
        <v>1.1905735100000001</v>
      </c>
      <c r="F3">
        <f t="shared" ref="F3:F18" si="2">E3^2</f>
        <v>1.4174652827137204</v>
      </c>
      <c r="I3">
        <v>-37.888702879999997</v>
      </c>
      <c r="O3" t="s">
        <v>29</v>
      </c>
      <c r="P3">
        <v>-37.989590890000002</v>
      </c>
      <c r="Q3">
        <v>-38.766936690000001</v>
      </c>
      <c r="R3">
        <f t="shared" ref="R3:R18" si="3">(Q3-P3)</f>
        <v>-0.77734579999999909</v>
      </c>
      <c r="S3">
        <f t="shared" ref="S3:S18" si="4">ABS(R3)</f>
        <v>0.77734579999999909</v>
      </c>
      <c r="T3">
        <f t="shared" ref="T3:T18" si="5">S3^2</f>
        <v>0.60426649277763855</v>
      </c>
      <c r="W3">
        <v>-37.989590890000002</v>
      </c>
      <c r="AG3" t="s">
        <v>29</v>
      </c>
      <c r="AH3">
        <v>-107.1231585</v>
      </c>
      <c r="AI3">
        <v>-105.821646</v>
      </c>
      <c r="AJ3">
        <f t="shared" ref="AJ3:AJ18" si="6">(AI3-AH3)</f>
        <v>1.3015125000000012</v>
      </c>
      <c r="AK3">
        <f t="shared" ref="AK3:AK18" si="7">ABS(AJ3)</f>
        <v>1.3015125000000012</v>
      </c>
      <c r="AL3">
        <f t="shared" ref="AL3:AL18" si="8">AK3^2</f>
        <v>1.6939347876562532</v>
      </c>
      <c r="AO3">
        <v>-107.1231585</v>
      </c>
    </row>
    <row r="4" spans="1:41" x14ac:dyDescent="0.45">
      <c r="A4" t="s">
        <v>30</v>
      </c>
      <c r="B4">
        <v>-39.5594404</v>
      </c>
      <c r="C4">
        <v>-40.052557460000003</v>
      </c>
      <c r="D4">
        <f t="shared" si="0"/>
        <v>-0.49311706000000299</v>
      </c>
      <c r="E4">
        <f t="shared" si="1"/>
        <v>0.49311706000000299</v>
      </c>
      <c r="F4">
        <f t="shared" si="2"/>
        <v>0.24316443486304656</v>
      </c>
      <c r="I4">
        <v>-39.5594404</v>
      </c>
      <c r="O4" t="s">
        <v>30</v>
      </c>
      <c r="P4">
        <v>-39.271177960000003</v>
      </c>
      <c r="Q4">
        <v>-40.074010059999999</v>
      </c>
      <c r="R4">
        <f t="shared" si="3"/>
        <v>-0.80283209999999627</v>
      </c>
      <c r="S4">
        <f t="shared" si="4"/>
        <v>0.80283209999999627</v>
      </c>
      <c r="T4">
        <f t="shared" si="5"/>
        <v>0.64453938079040407</v>
      </c>
      <c r="W4">
        <v>-39.271177960000003</v>
      </c>
      <c r="AG4" t="s">
        <v>30</v>
      </c>
      <c r="AH4">
        <v>-108.06915100000001</v>
      </c>
      <c r="AI4">
        <v>-108.7121229</v>
      </c>
      <c r="AJ4">
        <f t="shared" si="6"/>
        <v>-0.64297189999999205</v>
      </c>
      <c r="AK4">
        <f t="shared" si="7"/>
        <v>0.64297189999999205</v>
      </c>
      <c r="AL4">
        <f t="shared" si="8"/>
        <v>0.41341286418959977</v>
      </c>
      <c r="AO4">
        <v>-108.06915100000001</v>
      </c>
    </row>
    <row r="5" spans="1:41" x14ac:dyDescent="0.45">
      <c r="A5" t="s">
        <v>31</v>
      </c>
      <c r="B5">
        <v>-78.324463789999996</v>
      </c>
      <c r="C5">
        <v>-71.360056790000002</v>
      </c>
      <c r="D5">
        <f t="shared" si="0"/>
        <v>6.9644069999999942</v>
      </c>
      <c r="E5">
        <f t="shared" si="1"/>
        <v>6.9644069999999942</v>
      </c>
      <c r="F5">
        <f t="shared" si="2"/>
        <v>48.50296486164892</v>
      </c>
      <c r="I5">
        <v>-78.324463789999996</v>
      </c>
      <c r="O5" t="s">
        <v>31</v>
      </c>
      <c r="P5">
        <v>-30.61176202</v>
      </c>
      <c r="Q5">
        <v>-27.933100150000001</v>
      </c>
      <c r="R5">
        <f t="shared" si="3"/>
        <v>2.6786618699999991</v>
      </c>
      <c r="S5">
        <f t="shared" si="4"/>
        <v>2.6786618699999991</v>
      </c>
      <c r="T5">
        <f t="shared" si="5"/>
        <v>7.1752294137918922</v>
      </c>
      <c r="W5">
        <v>-30.61176202</v>
      </c>
      <c r="AG5" t="s">
        <v>31</v>
      </c>
      <c r="AH5">
        <v>-89.597721750000005</v>
      </c>
      <c r="AI5">
        <v>-89.635633900000002</v>
      </c>
      <c r="AJ5">
        <f t="shared" si="6"/>
        <v>-3.7912149999996814E-2</v>
      </c>
      <c r="AK5">
        <f t="shared" si="7"/>
        <v>3.7912149999996814E-2</v>
      </c>
      <c r="AL5">
        <f t="shared" si="8"/>
        <v>1.4373311176222583E-3</v>
      </c>
      <c r="AO5">
        <v>-89.597721750000005</v>
      </c>
    </row>
    <row r="6" spans="1:41" x14ac:dyDescent="0.45">
      <c r="A6" t="s">
        <v>32</v>
      </c>
      <c r="B6">
        <v>40.174198480000001</v>
      </c>
      <c r="C6">
        <v>45.46835068</v>
      </c>
      <c r="D6">
        <f t="shared" si="0"/>
        <v>5.2941521999999992</v>
      </c>
      <c r="E6">
        <f t="shared" si="1"/>
        <v>5.2941521999999992</v>
      </c>
      <c r="F6">
        <f t="shared" si="2"/>
        <v>28.028047516764833</v>
      </c>
      <c r="I6">
        <v>40.174198480000001</v>
      </c>
      <c r="O6" t="s">
        <v>32</v>
      </c>
      <c r="P6">
        <v>37.65864698</v>
      </c>
      <c r="Q6">
        <v>38.868304539999997</v>
      </c>
      <c r="R6">
        <f t="shared" si="3"/>
        <v>1.2096575599999966</v>
      </c>
      <c r="S6">
        <f t="shared" si="4"/>
        <v>1.2096575599999966</v>
      </c>
      <c r="T6">
        <f t="shared" si="5"/>
        <v>1.4632714124651454</v>
      </c>
      <c r="W6">
        <v>37.65864698</v>
      </c>
      <c r="AG6" t="s">
        <v>32</v>
      </c>
      <c r="AH6">
        <v>101.3209298</v>
      </c>
      <c r="AI6">
        <v>99.708705429999995</v>
      </c>
      <c r="AJ6">
        <f t="shared" si="6"/>
        <v>-1.612224370000007</v>
      </c>
      <c r="AK6">
        <f t="shared" si="7"/>
        <v>1.612224370000007</v>
      </c>
      <c r="AL6">
        <f t="shared" si="8"/>
        <v>2.5992674192219192</v>
      </c>
      <c r="AO6">
        <v>101.3209298</v>
      </c>
    </row>
    <row r="7" spans="1:41" x14ac:dyDescent="0.45">
      <c r="A7" t="s">
        <v>33</v>
      </c>
      <c r="B7">
        <v>-39.208530160000002</v>
      </c>
      <c r="C7">
        <v>-39.233616679999997</v>
      </c>
      <c r="D7">
        <f t="shared" si="0"/>
        <v>-2.5086519999995005E-2</v>
      </c>
      <c r="E7">
        <f t="shared" si="1"/>
        <v>2.5086519999995005E-2</v>
      </c>
      <c r="F7">
        <f t="shared" si="2"/>
        <v>6.2933348571014944E-4</v>
      </c>
      <c r="I7">
        <v>-39.208530160000002</v>
      </c>
      <c r="O7" t="s">
        <v>33</v>
      </c>
      <c r="P7">
        <v>-38.566134060000003</v>
      </c>
      <c r="Q7">
        <v>-38.223580349999999</v>
      </c>
      <c r="R7">
        <f t="shared" si="3"/>
        <v>0.34255371000000423</v>
      </c>
      <c r="S7">
        <f t="shared" si="4"/>
        <v>0.34255371000000423</v>
      </c>
      <c r="T7">
        <f t="shared" si="5"/>
        <v>0.117343044234767</v>
      </c>
      <c r="W7">
        <v>-38.566134060000003</v>
      </c>
      <c r="AG7" t="s">
        <v>33</v>
      </c>
      <c r="AH7">
        <v>-107.6662168</v>
      </c>
      <c r="AI7">
        <v>-106.91325809999999</v>
      </c>
      <c r="AJ7">
        <f t="shared" si="6"/>
        <v>0.75295870000000775</v>
      </c>
      <c r="AK7">
        <f t="shared" si="7"/>
        <v>0.75295870000000775</v>
      </c>
      <c r="AL7">
        <f t="shared" si="8"/>
        <v>0.56694680390570162</v>
      </c>
      <c r="AO7">
        <v>-107.6662168</v>
      </c>
    </row>
    <row r="8" spans="1:41" x14ac:dyDescent="0.45">
      <c r="A8" t="s">
        <v>52</v>
      </c>
      <c r="B8">
        <v>46.964837260000003</v>
      </c>
      <c r="C8">
        <v>50.729448699999999</v>
      </c>
      <c r="D8">
        <f t="shared" si="0"/>
        <v>3.7646114399999959</v>
      </c>
      <c r="E8">
        <f t="shared" si="1"/>
        <v>3.7646114399999959</v>
      </c>
      <c r="F8">
        <f t="shared" si="2"/>
        <v>14.172299294178844</v>
      </c>
      <c r="I8">
        <v>46.964837260000003</v>
      </c>
      <c r="O8" t="s">
        <v>52</v>
      </c>
      <c r="P8">
        <v>43.519792219999999</v>
      </c>
      <c r="Q8">
        <v>37.051560289999998</v>
      </c>
      <c r="R8">
        <f t="shared" si="3"/>
        <v>-6.4682319300000017</v>
      </c>
      <c r="S8">
        <f t="shared" si="4"/>
        <v>6.4682319300000017</v>
      </c>
      <c r="T8">
        <f t="shared" si="5"/>
        <v>41.838024300271549</v>
      </c>
      <c r="W8">
        <v>43.519792219999999</v>
      </c>
      <c r="AG8" t="s">
        <v>52</v>
      </c>
      <c r="AH8">
        <v>100.18460450000001</v>
      </c>
      <c r="AI8">
        <v>97.50178846</v>
      </c>
      <c r="AJ8">
        <f t="shared" si="6"/>
        <v>-2.6828160400000058</v>
      </c>
      <c r="AK8">
        <f t="shared" si="7"/>
        <v>2.6828160400000058</v>
      </c>
      <c r="AL8">
        <f t="shared" si="8"/>
        <v>7.1975019044813129</v>
      </c>
      <c r="AO8">
        <v>100.18460450000001</v>
      </c>
    </row>
    <row r="9" spans="1:41" x14ac:dyDescent="0.45">
      <c r="A9" t="s">
        <v>53</v>
      </c>
      <c r="B9">
        <v>47.61971509</v>
      </c>
      <c r="C9">
        <v>50.253235549999999</v>
      </c>
      <c r="D9">
        <f t="shared" si="0"/>
        <v>2.6335204599999997</v>
      </c>
      <c r="E9">
        <f t="shared" si="1"/>
        <v>2.6335204599999997</v>
      </c>
      <c r="F9">
        <f t="shared" si="2"/>
        <v>6.9354300132386104</v>
      </c>
      <c r="I9">
        <v>47.61971509</v>
      </c>
      <c r="O9" t="s">
        <v>53</v>
      </c>
      <c r="P9">
        <v>49.135718150000002</v>
      </c>
      <c r="Q9">
        <v>52.021831730000002</v>
      </c>
      <c r="R9">
        <f t="shared" si="3"/>
        <v>2.88611358</v>
      </c>
      <c r="S9">
        <f t="shared" si="4"/>
        <v>2.88611358</v>
      </c>
      <c r="T9">
        <f t="shared" si="5"/>
        <v>8.3296515966604154</v>
      </c>
      <c r="W9">
        <v>49.135718150000002</v>
      </c>
      <c r="AG9" t="s">
        <v>53</v>
      </c>
      <c r="AH9">
        <v>100.6524259</v>
      </c>
      <c r="AI9">
        <v>99.990720780000004</v>
      </c>
      <c r="AJ9">
        <f t="shared" si="6"/>
        <v>-0.66170511999999349</v>
      </c>
      <c r="AK9">
        <f t="shared" si="7"/>
        <v>0.66170511999999349</v>
      </c>
      <c r="AL9">
        <f t="shared" si="8"/>
        <v>0.43785366583420576</v>
      </c>
      <c r="AO9">
        <v>100.6524259</v>
      </c>
    </row>
    <row r="10" spans="1:41" x14ac:dyDescent="0.45">
      <c r="A10" t="s">
        <v>82</v>
      </c>
      <c r="B10">
        <v>28.78687175</v>
      </c>
      <c r="C10">
        <v>40.384299679999998</v>
      </c>
      <c r="D10">
        <f t="shared" si="0"/>
        <v>11.597427929999998</v>
      </c>
      <c r="E10">
        <f t="shared" si="1"/>
        <v>11.597427929999998</v>
      </c>
      <c r="F10">
        <f t="shared" si="2"/>
        <v>134.50033459154406</v>
      </c>
      <c r="I10">
        <v>28.78687175</v>
      </c>
      <c r="O10" t="s">
        <v>82</v>
      </c>
      <c r="P10">
        <v>75.929943949999995</v>
      </c>
      <c r="Q10">
        <v>40.282864189999998</v>
      </c>
      <c r="R10">
        <f t="shared" si="3"/>
        <v>-35.647079759999997</v>
      </c>
      <c r="S10">
        <f t="shared" si="4"/>
        <v>35.647079759999997</v>
      </c>
      <c r="T10">
        <f t="shared" si="5"/>
        <v>1270.7142954158014</v>
      </c>
      <c r="W10">
        <v>75.929943949999995</v>
      </c>
      <c r="AG10" t="s">
        <v>82</v>
      </c>
      <c r="AH10">
        <v>135.28343459999999</v>
      </c>
      <c r="AI10">
        <v>109.35440029999999</v>
      </c>
      <c r="AJ10">
        <f t="shared" si="6"/>
        <v>-25.929034299999998</v>
      </c>
      <c r="AK10">
        <f t="shared" si="7"/>
        <v>25.929034299999998</v>
      </c>
      <c r="AL10">
        <f t="shared" si="8"/>
        <v>672.31481973057635</v>
      </c>
      <c r="AO10">
        <v>135.28343459999999</v>
      </c>
    </row>
    <row r="11" spans="1:41" x14ac:dyDescent="0.45">
      <c r="A11" t="s">
        <v>83</v>
      </c>
      <c r="B11">
        <v>39.787306839999999</v>
      </c>
      <c r="C11">
        <v>40.01538309</v>
      </c>
      <c r="D11">
        <f t="shared" si="0"/>
        <v>0.22807625000000087</v>
      </c>
      <c r="E11">
        <f t="shared" si="1"/>
        <v>0.22807625000000087</v>
      </c>
      <c r="F11">
        <f t="shared" si="2"/>
        <v>5.2018775814062897E-2</v>
      </c>
      <c r="I11">
        <v>39.787306839999999</v>
      </c>
      <c r="O11" t="s">
        <v>83</v>
      </c>
      <c r="P11">
        <v>40.436893259999998</v>
      </c>
      <c r="Q11">
        <v>39.833230630000003</v>
      </c>
      <c r="R11">
        <f t="shared" si="3"/>
        <v>-0.6036626299999952</v>
      </c>
      <c r="S11">
        <f t="shared" si="4"/>
        <v>0.6036626299999952</v>
      </c>
      <c r="T11">
        <f t="shared" si="5"/>
        <v>0.36440857085851108</v>
      </c>
      <c r="W11">
        <v>40.436893259999998</v>
      </c>
      <c r="AG11" t="s">
        <v>83</v>
      </c>
      <c r="AH11">
        <v>108.7627274</v>
      </c>
      <c r="AI11">
        <v>108.4128018</v>
      </c>
      <c r="AJ11">
        <f t="shared" si="6"/>
        <v>-0.34992560000000594</v>
      </c>
      <c r="AK11">
        <f t="shared" si="7"/>
        <v>0.34992560000000594</v>
      </c>
      <c r="AL11">
        <f t="shared" si="8"/>
        <v>0.12244792553536415</v>
      </c>
      <c r="AO11">
        <v>108.7627274</v>
      </c>
    </row>
    <row r="12" spans="1:41" x14ac:dyDescent="0.45">
      <c r="A12" t="s">
        <v>84</v>
      </c>
      <c r="B12">
        <v>29.247898360000001</v>
      </c>
      <c r="C12">
        <v>31.391150339999999</v>
      </c>
      <c r="D12">
        <f t="shared" si="0"/>
        <v>2.1432519799999987</v>
      </c>
      <c r="E12">
        <f t="shared" si="1"/>
        <v>2.1432519799999987</v>
      </c>
      <c r="F12">
        <f t="shared" si="2"/>
        <v>4.593529049773915</v>
      </c>
      <c r="I12">
        <v>29.247898360000001</v>
      </c>
      <c r="O12" t="s">
        <v>84</v>
      </c>
      <c r="P12">
        <v>76.2705725</v>
      </c>
      <c r="Q12">
        <v>79.430938190000006</v>
      </c>
      <c r="R12">
        <f t="shared" si="3"/>
        <v>3.1603656900000061</v>
      </c>
      <c r="S12">
        <f t="shared" si="4"/>
        <v>3.1603656900000061</v>
      </c>
      <c r="T12">
        <f t="shared" si="5"/>
        <v>9.9879112945292139</v>
      </c>
      <c r="W12">
        <v>76.2705725</v>
      </c>
      <c r="AG12" t="s">
        <v>84</v>
      </c>
      <c r="AH12">
        <v>135.3266587</v>
      </c>
      <c r="AI12">
        <v>136.03335240000001</v>
      </c>
      <c r="AJ12">
        <f t="shared" si="6"/>
        <v>0.70669370000001663</v>
      </c>
      <c r="AK12">
        <f t="shared" si="7"/>
        <v>0.70669370000001663</v>
      </c>
      <c r="AL12">
        <f t="shared" si="8"/>
        <v>0.49941598561971351</v>
      </c>
      <c r="AO12">
        <v>135.3266587</v>
      </c>
    </row>
    <row r="13" spans="1:41" x14ac:dyDescent="0.45">
      <c r="A13" t="s">
        <v>85</v>
      </c>
      <c r="B13">
        <v>27.612243920000001</v>
      </c>
      <c r="C13">
        <v>27.9248476</v>
      </c>
      <c r="D13">
        <f t="shared" si="0"/>
        <v>0.31260367999999872</v>
      </c>
      <c r="E13">
        <f t="shared" si="1"/>
        <v>0.31260367999999872</v>
      </c>
      <c r="F13">
        <f t="shared" si="2"/>
        <v>9.7721060749541594E-2</v>
      </c>
      <c r="I13">
        <v>27.612243920000001</v>
      </c>
      <c r="O13" t="s">
        <v>85</v>
      </c>
      <c r="P13">
        <v>76.833045260000006</v>
      </c>
      <c r="Q13">
        <v>71.366891710000004</v>
      </c>
      <c r="R13">
        <f t="shared" si="3"/>
        <v>-5.4661535500000014</v>
      </c>
      <c r="S13">
        <f t="shared" si="4"/>
        <v>5.4661535500000014</v>
      </c>
      <c r="T13">
        <f t="shared" si="5"/>
        <v>29.878834632177618</v>
      </c>
      <c r="W13">
        <v>76.833045260000006</v>
      </c>
      <c r="AG13" t="s">
        <v>85</v>
      </c>
      <c r="AH13">
        <v>136.47891670000001</v>
      </c>
      <c r="AI13">
        <v>134.86017279999999</v>
      </c>
      <c r="AJ13">
        <f t="shared" si="6"/>
        <v>-1.6187439000000268</v>
      </c>
      <c r="AK13">
        <f t="shared" si="7"/>
        <v>1.6187439000000268</v>
      </c>
      <c r="AL13">
        <f t="shared" si="8"/>
        <v>2.6203318137872968</v>
      </c>
      <c r="AO13">
        <v>136.47891670000001</v>
      </c>
    </row>
    <row r="14" spans="1:41" x14ac:dyDescent="0.45">
      <c r="A14" t="s">
        <v>86</v>
      </c>
      <c r="B14">
        <v>-35.972344649999997</v>
      </c>
      <c r="C14">
        <v>-37.781178429999997</v>
      </c>
      <c r="D14">
        <f t="shared" si="0"/>
        <v>-1.8088337800000005</v>
      </c>
      <c r="E14">
        <f t="shared" si="1"/>
        <v>1.8088337800000005</v>
      </c>
      <c r="F14">
        <f t="shared" si="2"/>
        <v>3.2718796436690902</v>
      </c>
      <c r="I14">
        <v>-35.972344649999997</v>
      </c>
      <c r="O14" t="s">
        <v>86</v>
      </c>
      <c r="P14">
        <v>-45.918938320000002</v>
      </c>
      <c r="Q14">
        <v>-45.85700439</v>
      </c>
      <c r="R14">
        <f t="shared" si="3"/>
        <v>6.1933930000002135E-2</v>
      </c>
      <c r="S14">
        <f t="shared" si="4"/>
        <v>6.1933930000002135E-2</v>
      </c>
      <c r="T14">
        <f t="shared" si="5"/>
        <v>3.8358116852451646E-3</v>
      </c>
      <c r="W14">
        <v>-45.918938320000002</v>
      </c>
      <c r="AG14" t="s">
        <v>86</v>
      </c>
      <c r="AH14">
        <v>-108.4245047</v>
      </c>
      <c r="AI14">
        <v>-105.75584360000001</v>
      </c>
      <c r="AJ14">
        <f t="shared" si="6"/>
        <v>2.6686610999999942</v>
      </c>
      <c r="AK14">
        <f t="shared" si="7"/>
        <v>2.6686610999999942</v>
      </c>
      <c r="AL14">
        <f t="shared" si="8"/>
        <v>7.1217520666531788</v>
      </c>
      <c r="AO14">
        <v>-108.4245047</v>
      </c>
    </row>
    <row r="15" spans="1:41" x14ac:dyDescent="0.45">
      <c r="A15" t="s">
        <v>87</v>
      </c>
      <c r="B15">
        <v>39.271065159999999</v>
      </c>
      <c r="C15">
        <v>39.24387729</v>
      </c>
      <c r="D15">
        <f t="shared" si="0"/>
        <v>-2.7187869999998782E-2</v>
      </c>
      <c r="E15">
        <f t="shared" si="1"/>
        <v>2.7187869999998782E-2</v>
      </c>
      <c r="F15">
        <f t="shared" si="2"/>
        <v>7.3918027513683376E-4</v>
      </c>
      <c r="I15">
        <v>39.271065159999999</v>
      </c>
      <c r="O15" t="s">
        <v>87</v>
      </c>
      <c r="P15">
        <v>38.507304730000001</v>
      </c>
      <c r="Q15">
        <v>38.231019940000003</v>
      </c>
      <c r="R15">
        <f t="shared" si="3"/>
        <v>-0.27628478999999828</v>
      </c>
      <c r="S15">
        <f t="shared" si="4"/>
        <v>0.27628478999999828</v>
      </c>
      <c r="T15">
        <f t="shared" si="5"/>
        <v>7.6333285185343144E-2</v>
      </c>
      <c r="W15">
        <v>38.507304730000001</v>
      </c>
      <c r="AG15" t="s">
        <v>87</v>
      </c>
      <c r="AH15">
        <v>107.6042884</v>
      </c>
      <c r="AI15">
        <v>106.9184569</v>
      </c>
      <c r="AJ15">
        <f t="shared" si="6"/>
        <v>-0.68583150000000614</v>
      </c>
      <c r="AK15">
        <f t="shared" si="7"/>
        <v>0.68583150000000614</v>
      </c>
      <c r="AL15">
        <f t="shared" si="8"/>
        <v>0.47036484639225845</v>
      </c>
      <c r="AO15">
        <v>107.6042884</v>
      </c>
    </row>
    <row r="16" spans="1:41" x14ac:dyDescent="0.45">
      <c r="A16" t="s">
        <v>105</v>
      </c>
      <c r="B16">
        <v>-45.120086309999998</v>
      </c>
      <c r="C16">
        <v>-40.679253719999998</v>
      </c>
      <c r="D16">
        <f t="shared" si="0"/>
        <v>4.4408325899999994</v>
      </c>
      <c r="E16">
        <f t="shared" si="1"/>
        <v>4.4408325899999994</v>
      </c>
      <c r="F16">
        <f t="shared" si="2"/>
        <v>19.720994092406102</v>
      </c>
      <c r="I16">
        <v>-45.120086309999998</v>
      </c>
      <c r="O16" t="s">
        <v>105</v>
      </c>
      <c r="P16">
        <v>-46.161838430000003</v>
      </c>
      <c r="Q16">
        <v>-48.284131309999999</v>
      </c>
      <c r="R16">
        <f t="shared" si="3"/>
        <v>-2.1222928799999963</v>
      </c>
      <c r="S16">
        <f t="shared" si="4"/>
        <v>2.1222928799999963</v>
      </c>
      <c r="T16">
        <f t="shared" si="5"/>
        <v>4.5041270684986783</v>
      </c>
      <c r="W16">
        <v>-46.161838430000003</v>
      </c>
      <c r="AG16" t="s">
        <v>105</v>
      </c>
      <c r="AH16">
        <v>-103.1195111</v>
      </c>
      <c r="AI16">
        <v>-105.287752</v>
      </c>
      <c r="AJ16">
        <f t="shared" si="6"/>
        <v>-2.1682409000000007</v>
      </c>
      <c r="AK16">
        <f t="shared" si="7"/>
        <v>2.1682409000000007</v>
      </c>
      <c r="AL16">
        <f t="shared" si="8"/>
        <v>4.7012686004328126</v>
      </c>
      <c r="AO16">
        <v>-103.1195111</v>
      </c>
    </row>
    <row r="17" spans="1:48" x14ac:dyDescent="0.45">
      <c r="A17" t="s">
        <v>106</v>
      </c>
      <c r="B17">
        <v>-44.06432307</v>
      </c>
      <c r="C17">
        <v>-46.459803839999999</v>
      </c>
      <c r="D17">
        <f t="shared" si="0"/>
        <v>-2.3954807699999989</v>
      </c>
      <c r="E17">
        <f t="shared" si="1"/>
        <v>2.3954807699999989</v>
      </c>
      <c r="F17">
        <f t="shared" si="2"/>
        <v>5.7383281194397879</v>
      </c>
      <c r="I17">
        <v>-44.06432307</v>
      </c>
      <c r="O17" t="s">
        <v>106</v>
      </c>
      <c r="P17">
        <v>-44.785748669999997</v>
      </c>
      <c r="Q17">
        <v>-42.863448409999997</v>
      </c>
      <c r="R17">
        <f t="shared" si="3"/>
        <v>1.9223002600000001</v>
      </c>
      <c r="S17">
        <f t="shared" si="4"/>
        <v>1.9223002600000001</v>
      </c>
      <c r="T17">
        <f t="shared" si="5"/>
        <v>3.6952382895960678</v>
      </c>
      <c r="W17">
        <v>-44.785748669999997</v>
      </c>
      <c r="AG17" t="s">
        <v>106</v>
      </c>
      <c r="AH17">
        <v>-105.7763174</v>
      </c>
      <c r="AI17">
        <v>-104.03377860000001</v>
      </c>
      <c r="AJ17">
        <f t="shared" si="6"/>
        <v>1.7425387999999913</v>
      </c>
      <c r="AK17">
        <f t="shared" si="7"/>
        <v>1.7425387999999913</v>
      </c>
      <c r="AL17">
        <f t="shared" si="8"/>
        <v>3.0364414695054096</v>
      </c>
      <c r="AO17">
        <v>-105.7763174</v>
      </c>
    </row>
    <row r="18" spans="1:48" x14ac:dyDescent="0.45">
      <c r="A18" t="s">
        <v>107</v>
      </c>
      <c r="B18">
        <v>-31.16204999</v>
      </c>
      <c r="C18">
        <v>-51.913637970000003</v>
      </c>
      <c r="D18">
        <f t="shared" si="0"/>
        <v>-20.751587980000004</v>
      </c>
      <c r="E18">
        <f t="shared" si="1"/>
        <v>20.751587980000004</v>
      </c>
      <c r="F18">
        <f t="shared" si="2"/>
        <v>430.6284036916806</v>
      </c>
      <c r="I18">
        <v>-31.16204999</v>
      </c>
      <c r="O18" t="s">
        <v>107</v>
      </c>
      <c r="P18">
        <v>-86.063813179999997</v>
      </c>
      <c r="Q18">
        <v>-51.034977130000001</v>
      </c>
      <c r="R18">
        <f t="shared" si="3"/>
        <v>35.028836049999995</v>
      </c>
      <c r="S18">
        <f t="shared" si="4"/>
        <v>35.028836049999995</v>
      </c>
      <c r="T18">
        <f t="shared" si="5"/>
        <v>1227.0193550177794</v>
      </c>
      <c r="W18">
        <v>-86.063813179999997</v>
      </c>
      <c r="AG18" t="s">
        <v>107</v>
      </c>
      <c r="AH18">
        <v>-134.3867678</v>
      </c>
      <c r="AI18">
        <v>-99.742821579999998</v>
      </c>
      <c r="AJ18">
        <f t="shared" si="6"/>
        <v>34.643946220000004</v>
      </c>
      <c r="AK18">
        <f t="shared" si="7"/>
        <v>34.643946220000004</v>
      </c>
      <c r="AL18">
        <f t="shared" si="8"/>
        <v>1200.2030096942526</v>
      </c>
      <c r="AO18">
        <v>-134.3867678</v>
      </c>
    </row>
    <row r="19" spans="1:48" x14ac:dyDescent="0.45">
      <c r="D19">
        <f>AVERAGE(D2:D18)</f>
        <v>0.53890242529411714</v>
      </c>
      <c r="E19">
        <f>AVERAGE(E2:E18)</f>
        <v>3.8586132841176464</v>
      </c>
      <c r="F19">
        <f>SQRT(AVERAGE(F2:F18))</f>
        <v>6.4179510775183148</v>
      </c>
      <c r="R19">
        <f>AVERAGE(R2:R18)</f>
        <v>-0.15772860352941073</v>
      </c>
      <c r="S19">
        <f>AVERAGE(S2:S18)</f>
        <v>5.9791988599999994</v>
      </c>
      <c r="T19">
        <f>SQRT(AVERAGE(T2:T18))</f>
        <v>12.393598574815046</v>
      </c>
      <c r="AJ19">
        <f>AVERAGE(AJ2:AJ18)</f>
        <v>0.35788086705882116</v>
      </c>
      <c r="AK19">
        <f>AVERAGE(AK2:AK18)</f>
        <v>4.6389874294117659</v>
      </c>
      <c r="AL19">
        <f>SQRT(AVERAGE(AL2:AL18))</f>
        <v>10.584205622577421</v>
      </c>
    </row>
    <row r="20" spans="1:48" x14ac:dyDescent="0.45">
      <c r="B20">
        <f>MIN(B2:B18)</f>
        <v>-78.324463789999996</v>
      </c>
      <c r="C20">
        <f>MIN(C2:C18)</f>
        <v>-71.360056790000002</v>
      </c>
      <c r="P20">
        <f>MIN(P2:P18)</f>
        <v>-86.063813179999997</v>
      </c>
      <c r="Q20">
        <f>MIN(Q2:Q18)</f>
        <v>-79.2746961</v>
      </c>
      <c r="AH20">
        <f>MIN(AH2:AH18)</f>
        <v>-137.54730559999999</v>
      </c>
      <c r="AI20">
        <f>MIN(AI2:AI18)</f>
        <v>-136.89023610000001</v>
      </c>
    </row>
    <row r="21" spans="1:48" x14ac:dyDescent="0.45">
      <c r="B21">
        <f>MAX(B2:B18)</f>
        <v>47.61971509</v>
      </c>
      <c r="C21">
        <f>MAX(C2:C18)</f>
        <v>50.729448699999999</v>
      </c>
      <c r="P21">
        <f>MAX(P2:P18)</f>
        <v>76.833045260000006</v>
      </c>
      <c r="Q21">
        <f>MAX(Q2:Q18)</f>
        <v>79.430938190000006</v>
      </c>
      <c r="AH21">
        <f>MAX(AH2:AH18)</f>
        <v>136.47891670000001</v>
      </c>
      <c r="AI21">
        <f>MAX(AI2:AI18)</f>
        <v>136.03335240000001</v>
      </c>
    </row>
    <row r="23" spans="1:48" x14ac:dyDescent="0.45">
      <c r="AV23" s="2"/>
    </row>
    <row r="24" spans="1:48" x14ac:dyDescent="0.45">
      <c r="AV24" s="2"/>
    </row>
    <row r="25" spans="1:48" x14ac:dyDescent="0.45">
      <c r="AV25" s="2"/>
    </row>
    <row r="26" spans="1:48" x14ac:dyDescent="0.45">
      <c r="AV26" s="2"/>
    </row>
    <row r="27" spans="1:48" x14ac:dyDescent="0.45">
      <c r="AV27" s="2"/>
    </row>
    <row r="28" spans="1:48" x14ac:dyDescent="0.45">
      <c r="AV28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376E-452C-42CC-8A03-1058548C4608}">
  <dimension ref="A1:AV27"/>
  <sheetViews>
    <sheetView workbookViewId="0">
      <selection activeCell="J23" sqref="J22:J23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23" s="3" customFormat="1" x14ac:dyDescent="0.45">
      <c r="A1" s="3" t="s">
        <v>24</v>
      </c>
      <c r="B1" s="3" t="s">
        <v>17</v>
      </c>
      <c r="C1" s="3" t="s">
        <v>18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  <c r="O1" s="3" t="s">
        <v>24</v>
      </c>
      <c r="P1" s="3" t="s">
        <v>19</v>
      </c>
      <c r="Q1" s="3" t="s">
        <v>20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23</v>
      </c>
    </row>
    <row r="2" spans="1:23" x14ac:dyDescent="0.45">
      <c r="A2" t="s">
        <v>38</v>
      </c>
      <c r="B2">
        <v>33.968432810000003</v>
      </c>
      <c r="C2">
        <v>34.15235448</v>
      </c>
      <c r="D2">
        <f>(C2-B2)</f>
        <v>0.1839216699999966</v>
      </c>
      <c r="E2">
        <f>ABS(D2)</f>
        <v>0.1839216699999966</v>
      </c>
      <c r="F2">
        <f>E2^2</f>
        <v>3.3827180695587648E-2</v>
      </c>
      <c r="G2">
        <f>CORREL(B2:B17,C2:C17)</f>
        <v>0.98463603492558238</v>
      </c>
      <c r="H2">
        <f>G2^2</f>
        <v>0.96950812127397268</v>
      </c>
      <c r="I2">
        <v>33.968432810000003</v>
      </c>
      <c r="O2" t="s">
        <v>38</v>
      </c>
      <c r="P2">
        <v>78.054891179999998</v>
      </c>
      <c r="Q2">
        <v>76.071029300000006</v>
      </c>
      <c r="R2">
        <f>(Q2-P2)</f>
        <v>-1.9838618799999921</v>
      </c>
      <c r="S2">
        <f>ABS(R2)</f>
        <v>1.9838618799999921</v>
      </c>
      <c r="T2">
        <f>S2^2</f>
        <v>3.9357079589171029</v>
      </c>
      <c r="U2">
        <f>CORREL(P2:P17,Q2:Q17)</f>
        <v>0.99840850092514988</v>
      </c>
      <c r="V2">
        <f>U2^2</f>
        <v>0.99681953471960505</v>
      </c>
      <c r="W2">
        <v>78.054891179999998</v>
      </c>
    </row>
    <row r="3" spans="1:23" x14ac:dyDescent="0.45">
      <c r="A3" t="s">
        <v>39</v>
      </c>
      <c r="B3">
        <v>38.178206430000003</v>
      </c>
      <c r="C3">
        <v>41.681739299999997</v>
      </c>
      <c r="D3">
        <f t="shared" ref="D3:D17" si="0">(C3-B3)</f>
        <v>3.5035328699999937</v>
      </c>
      <c r="E3">
        <f t="shared" ref="E3:E17" si="1">ABS(D3)</f>
        <v>3.5035328699999937</v>
      </c>
      <c r="F3">
        <f t="shared" ref="F3:F17" si="2">E3^2</f>
        <v>12.274742571170393</v>
      </c>
      <c r="I3">
        <v>38.178206430000003</v>
      </c>
      <c r="O3" t="s">
        <v>39</v>
      </c>
      <c r="P3">
        <v>79.682424560000001</v>
      </c>
      <c r="Q3">
        <v>79.99552654</v>
      </c>
      <c r="R3">
        <f t="shared" ref="R3:R17" si="3">(Q3-P3)</f>
        <v>0.313101979999999</v>
      </c>
      <c r="S3">
        <f t="shared" ref="S3:S17" si="4">ABS(R3)</f>
        <v>0.313101979999999</v>
      </c>
      <c r="T3">
        <f t="shared" ref="T3:T17" si="5">S3^2</f>
        <v>9.8032849879919781E-2</v>
      </c>
      <c r="W3">
        <v>79.682424560000001</v>
      </c>
    </row>
    <row r="4" spans="1:23" x14ac:dyDescent="0.45">
      <c r="A4" t="s">
        <v>40</v>
      </c>
      <c r="B4">
        <v>37.017099100000003</v>
      </c>
      <c r="C4">
        <v>42.912857219999999</v>
      </c>
      <c r="D4">
        <f t="shared" si="0"/>
        <v>5.8957581199999964</v>
      </c>
      <c r="E4">
        <f t="shared" si="1"/>
        <v>5.8957581199999964</v>
      </c>
      <c r="F4">
        <f t="shared" si="2"/>
        <v>34.759963809545894</v>
      </c>
      <c r="I4">
        <v>37.017099100000003</v>
      </c>
      <c r="O4" t="s">
        <v>40</v>
      </c>
      <c r="P4">
        <v>81.738174670000006</v>
      </c>
      <c r="Q4">
        <v>82.349102209999998</v>
      </c>
      <c r="R4">
        <f t="shared" si="3"/>
        <v>0.61092753999999161</v>
      </c>
      <c r="S4">
        <f t="shared" si="4"/>
        <v>0.61092753999999161</v>
      </c>
      <c r="T4">
        <f t="shared" si="5"/>
        <v>0.37323245913044134</v>
      </c>
      <c r="W4">
        <v>81.738174670000006</v>
      </c>
    </row>
    <row r="5" spans="1:23" x14ac:dyDescent="0.45">
      <c r="A5" t="s">
        <v>41</v>
      </c>
      <c r="B5">
        <v>36.928374509999998</v>
      </c>
      <c r="C5">
        <v>38.543020990000002</v>
      </c>
      <c r="D5">
        <f t="shared" si="0"/>
        <v>1.6146464800000047</v>
      </c>
      <c r="E5">
        <f t="shared" si="1"/>
        <v>1.6146464800000047</v>
      </c>
      <c r="F5">
        <f t="shared" si="2"/>
        <v>2.6070832553764056</v>
      </c>
      <c r="I5">
        <v>36.928374509999998</v>
      </c>
      <c r="O5" t="s">
        <v>41</v>
      </c>
      <c r="P5">
        <v>82.419026909999999</v>
      </c>
      <c r="Q5">
        <v>80.252299640000004</v>
      </c>
      <c r="R5">
        <f t="shared" si="3"/>
        <v>-2.1667272699999955</v>
      </c>
      <c r="S5">
        <f t="shared" si="4"/>
        <v>2.1667272699999955</v>
      </c>
      <c r="T5">
        <f t="shared" si="5"/>
        <v>4.6947070625616334</v>
      </c>
      <c r="W5">
        <v>82.419026909999999</v>
      </c>
    </row>
    <row r="6" spans="1:23" x14ac:dyDescent="0.45">
      <c r="A6" t="s">
        <v>42</v>
      </c>
      <c r="B6">
        <v>38.25549556</v>
      </c>
      <c r="C6">
        <v>46.061254499999997</v>
      </c>
      <c r="D6">
        <f t="shared" si="0"/>
        <v>7.8057589399999969</v>
      </c>
      <c r="E6">
        <f t="shared" si="1"/>
        <v>7.8057589399999969</v>
      </c>
      <c r="F6">
        <f t="shared" si="2"/>
        <v>60.929872629389877</v>
      </c>
      <c r="I6">
        <v>38.25549556</v>
      </c>
      <c r="O6" t="s">
        <v>42</v>
      </c>
      <c r="P6">
        <v>78.354573400000007</v>
      </c>
      <c r="Q6">
        <v>80.325640219999997</v>
      </c>
      <c r="R6">
        <f t="shared" si="3"/>
        <v>1.9710668199999901</v>
      </c>
      <c r="S6">
        <f t="shared" si="4"/>
        <v>1.9710668199999901</v>
      </c>
      <c r="T6">
        <f t="shared" si="5"/>
        <v>3.8851044089048736</v>
      </c>
      <c r="W6">
        <v>78.354573400000007</v>
      </c>
    </row>
    <row r="7" spans="1:23" x14ac:dyDescent="0.45">
      <c r="A7" t="s">
        <v>43</v>
      </c>
      <c r="B7">
        <v>37.839335480000003</v>
      </c>
      <c r="C7">
        <v>38.524007439999998</v>
      </c>
      <c r="D7">
        <f t="shared" si="0"/>
        <v>0.68467195999999575</v>
      </c>
      <c r="E7">
        <f t="shared" si="1"/>
        <v>0.68467195999999575</v>
      </c>
      <c r="F7">
        <f t="shared" si="2"/>
        <v>0.46877569281023579</v>
      </c>
      <c r="I7">
        <v>37.839335480000003</v>
      </c>
      <c r="O7" t="s">
        <v>43</v>
      </c>
      <c r="P7">
        <v>79.032111970000003</v>
      </c>
      <c r="Q7">
        <v>79.008721800000004</v>
      </c>
      <c r="R7">
        <f t="shared" si="3"/>
        <v>-2.3390169999998989E-2</v>
      </c>
      <c r="S7">
        <f t="shared" si="4"/>
        <v>2.3390169999998989E-2</v>
      </c>
      <c r="T7">
        <f t="shared" si="5"/>
        <v>5.4710005262885268E-4</v>
      </c>
      <c r="W7">
        <v>79.032111970000003</v>
      </c>
    </row>
    <row r="8" spans="1:23" x14ac:dyDescent="0.45">
      <c r="A8" t="s">
        <v>68</v>
      </c>
      <c r="B8">
        <v>-22.78416086</v>
      </c>
      <c r="C8">
        <v>-29.83080575</v>
      </c>
      <c r="D8">
        <f t="shared" si="0"/>
        <v>-7.0466448899999996</v>
      </c>
      <c r="E8">
        <f t="shared" si="1"/>
        <v>7.0466448899999996</v>
      </c>
      <c r="F8">
        <f t="shared" si="2"/>
        <v>49.655204205763106</v>
      </c>
      <c r="I8">
        <v>-22.78416086</v>
      </c>
      <c r="O8" t="s">
        <v>68</v>
      </c>
      <c r="P8">
        <v>70.726577930000005</v>
      </c>
      <c r="Q8">
        <v>70.917335789999996</v>
      </c>
      <c r="R8">
        <f t="shared" si="3"/>
        <v>0.19075785999999084</v>
      </c>
      <c r="S8">
        <f t="shared" si="4"/>
        <v>0.19075785999999084</v>
      </c>
      <c r="T8">
        <f t="shared" si="5"/>
        <v>3.6388561151776105E-2</v>
      </c>
      <c r="W8">
        <v>70.726577930000005</v>
      </c>
    </row>
    <row r="9" spans="1:23" x14ac:dyDescent="0.45">
      <c r="A9" t="s">
        <v>78</v>
      </c>
      <c r="B9">
        <v>28.027106700000001</v>
      </c>
      <c r="C9">
        <v>31.340144590000001</v>
      </c>
      <c r="D9">
        <f t="shared" si="0"/>
        <v>3.3130378900000004</v>
      </c>
      <c r="E9">
        <f t="shared" si="1"/>
        <v>3.3130378900000004</v>
      </c>
      <c r="F9">
        <f t="shared" si="2"/>
        <v>10.976220060575654</v>
      </c>
      <c r="I9">
        <v>28.027106700000001</v>
      </c>
      <c r="O9" t="s">
        <v>78</v>
      </c>
      <c r="P9">
        <v>-71.270701009999996</v>
      </c>
      <c r="Q9">
        <v>-71.033908850000003</v>
      </c>
      <c r="R9">
        <f t="shared" si="3"/>
        <v>0.23679215999999315</v>
      </c>
      <c r="S9">
        <f t="shared" si="4"/>
        <v>0.23679215999999315</v>
      </c>
      <c r="T9">
        <f t="shared" si="5"/>
        <v>5.6070527037462355E-2</v>
      </c>
      <c r="W9">
        <v>-71.270701009999996</v>
      </c>
    </row>
    <row r="10" spans="1:23" x14ac:dyDescent="0.45">
      <c r="A10" t="s">
        <v>92</v>
      </c>
      <c r="B10">
        <v>-33.34454101</v>
      </c>
      <c r="C10">
        <v>-34.086733289999998</v>
      </c>
      <c r="D10">
        <f t="shared" si="0"/>
        <v>-0.7421922799999976</v>
      </c>
      <c r="E10">
        <f t="shared" si="1"/>
        <v>0.7421922799999976</v>
      </c>
      <c r="F10">
        <f t="shared" si="2"/>
        <v>0.55084938049159482</v>
      </c>
      <c r="I10">
        <v>-33.34454101</v>
      </c>
      <c r="O10" t="s">
        <v>92</v>
      </c>
      <c r="P10">
        <v>-78.200973629999993</v>
      </c>
      <c r="Q10">
        <v>-76.541697790000001</v>
      </c>
      <c r="R10">
        <f t="shared" si="3"/>
        <v>1.6592758399999923</v>
      </c>
      <c r="S10">
        <f t="shared" si="4"/>
        <v>1.6592758399999923</v>
      </c>
      <c r="T10">
        <f t="shared" si="5"/>
        <v>2.7531963132076802</v>
      </c>
      <c r="W10">
        <v>-78.200973629999993</v>
      </c>
    </row>
    <row r="11" spans="1:23" x14ac:dyDescent="0.45">
      <c r="A11" t="s">
        <v>93</v>
      </c>
      <c r="B11">
        <v>-38.199515839999997</v>
      </c>
      <c r="C11">
        <v>-41.041461740000003</v>
      </c>
      <c r="D11">
        <f t="shared" si="0"/>
        <v>-2.841945900000006</v>
      </c>
      <c r="E11">
        <f t="shared" si="1"/>
        <v>2.841945900000006</v>
      </c>
      <c r="F11">
        <f t="shared" si="2"/>
        <v>8.0766564985268445</v>
      </c>
      <c r="I11">
        <v>-38.199515839999997</v>
      </c>
      <c r="O11" t="s">
        <v>93</v>
      </c>
      <c r="P11">
        <v>-80.841445770000007</v>
      </c>
      <c r="Q11">
        <v>-79.982299069999996</v>
      </c>
      <c r="R11">
        <f t="shared" si="3"/>
        <v>0.85914670000001081</v>
      </c>
      <c r="S11">
        <f t="shared" si="4"/>
        <v>0.85914670000001081</v>
      </c>
      <c r="T11">
        <f t="shared" si="5"/>
        <v>0.73813305212090863</v>
      </c>
      <c r="W11">
        <v>-80.841445770000007</v>
      </c>
    </row>
    <row r="12" spans="1:23" x14ac:dyDescent="0.45">
      <c r="A12" t="s">
        <v>94</v>
      </c>
      <c r="B12">
        <v>-37.207981439999998</v>
      </c>
      <c r="C12">
        <v>-41.047233749999997</v>
      </c>
      <c r="D12">
        <f t="shared" si="0"/>
        <v>-3.8392523099999991</v>
      </c>
      <c r="E12">
        <f t="shared" si="1"/>
        <v>3.8392523099999991</v>
      </c>
      <c r="F12">
        <f t="shared" si="2"/>
        <v>14.739858299840328</v>
      </c>
      <c r="I12">
        <v>-37.207981439999998</v>
      </c>
      <c r="O12" t="s">
        <v>94</v>
      </c>
      <c r="P12">
        <v>-82.221115870000006</v>
      </c>
      <c r="Q12">
        <v>-82.614824630000001</v>
      </c>
      <c r="R12">
        <f t="shared" si="3"/>
        <v>-0.39370875999999555</v>
      </c>
      <c r="S12">
        <f t="shared" si="4"/>
        <v>0.39370875999999555</v>
      </c>
      <c r="T12">
        <f t="shared" si="5"/>
        <v>0.15500658770073408</v>
      </c>
      <c r="W12">
        <v>-82.221115870000006</v>
      </c>
    </row>
    <row r="13" spans="1:23" x14ac:dyDescent="0.45">
      <c r="A13" t="s">
        <v>95</v>
      </c>
      <c r="B13">
        <v>-32.43160408</v>
      </c>
      <c r="C13">
        <v>-35.454910959999999</v>
      </c>
      <c r="D13">
        <f t="shared" si="0"/>
        <v>-3.0233068799999998</v>
      </c>
      <c r="E13">
        <f t="shared" si="1"/>
        <v>3.0233068799999998</v>
      </c>
      <c r="F13">
        <f t="shared" si="2"/>
        <v>9.1403844906553324</v>
      </c>
      <c r="I13">
        <v>-32.43160408</v>
      </c>
      <c r="O13" t="s">
        <v>95</v>
      </c>
      <c r="P13">
        <v>-84.149191689999995</v>
      </c>
      <c r="Q13">
        <v>-84.484332289999998</v>
      </c>
      <c r="R13">
        <f t="shared" si="3"/>
        <v>-0.33514060000000256</v>
      </c>
      <c r="S13">
        <f t="shared" si="4"/>
        <v>0.33514060000000256</v>
      </c>
      <c r="T13">
        <f t="shared" si="5"/>
        <v>0.11231922176836172</v>
      </c>
      <c r="W13">
        <v>-84.149191689999995</v>
      </c>
    </row>
    <row r="14" spans="1:23" x14ac:dyDescent="0.45">
      <c r="A14" t="s">
        <v>96</v>
      </c>
      <c r="B14">
        <v>-39.090436050000001</v>
      </c>
      <c r="C14">
        <v>-43.363643240000002</v>
      </c>
      <c r="D14">
        <f t="shared" si="0"/>
        <v>-4.2732071900000008</v>
      </c>
      <c r="E14">
        <f t="shared" si="1"/>
        <v>4.2732071900000008</v>
      </c>
      <c r="F14">
        <f t="shared" si="2"/>
        <v>18.260299688667704</v>
      </c>
      <c r="I14">
        <v>-39.090436050000001</v>
      </c>
      <c r="O14" t="s">
        <v>96</v>
      </c>
      <c r="P14">
        <v>-79.785363140000001</v>
      </c>
      <c r="Q14">
        <v>-80.108799660000003</v>
      </c>
      <c r="R14">
        <f t="shared" si="3"/>
        <v>-0.32343652000000134</v>
      </c>
      <c r="S14">
        <f t="shared" si="4"/>
        <v>0.32343652000000134</v>
      </c>
      <c r="T14">
        <f t="shared" si="5"/>
        <v>0.10461118246971127</v>
      </c>
      <c r="W14">
        <v>-79.785363140000001</v>
      </c>
    </row>
    <row r="15" spans="1:23" x14ac:dyDescent="0.45">
      <c r="A15" t="s">
        <v>97</v>
      </c>
      <c r="B15">
        <v>-36.164909479999999</v>
      </c>
      <c r="C15">
        <v>-38.304219519999997</v>
      </c>
      <c r="D15">
        <f t="shared" si="0"/>
        <v>-2.139310039999998</v>
      </c>
      <c r="E15">
        <f t="shared" si="1"/>
        <v>2.139310039999998</v>
      </c>
      <c r="F15">
        <f t="shared" si="2"/>
        <v>4.5766474472447936</v>
      </c>
      <c r="I15">
        <v>-36.164909479999999</v>
      </c>
      <c r="O15" t="s">
        <v>97</v>
      </c>
      <c r="P15">
        <v>-79.172936239999999</v>
      </c>
      <c r="Q15">
        <v>-79.807854250000005</v>
      </c>
      <c r="R15">
        <f t="shared" si="3"/>
        <v>-0.63491801000000692</v>
      </c>
      <c r="S15">
        <f t="shared" si="4"/>
        <v>0.63491801000000692</v>
      </c>
      <c r="T15">
        <f t="shared" si="5"/>
        <v>0.40312087942236891</v>
      </c>
      <c r="W15">
        <v>-79.172936239999999</v>
      </c>
    </row>
    <row r="16" spans="1:23" x14ac:dyDescent="0.45">
      <c r="A16" t="s">
        <v>131</v>
      </c>
      <c r="B16">
        <v>-19.230590549999999</v>
      </c>
      <c r="C16">
        <v>-40.269534700000001</v>
      </c>
      <c r="D16">
        <f t="shared" si="0"/>
        <v>-21.038944150000003</v>
      </c>
      <c r="E16">
        <f t="shared" si="1"/>
        <v>21.038944150000003</v>
      </c>
      <c r="F16">
        <f t="shared" si="2"/>
        <v>442.63717094681931</v>
      </c>
      <c r="I16">
        <v>-19.230590549999999</v>
      </c>
      <c r="O16" t="s">
        <v>131</v>
      </c>
      <c r="P16">
        <v>76.56672863</v>
      </c>
      <c r="Q16">
        <v>89.584789209999997</v>
      </c>
      <c r="R16">
        <f t="shared" si="3"/>
        <v>13.018060579999997</v>
      </c>
      <c r="S16">
        <f t="shared" si="4"/>
        <v>13.018060579999997</v>
      </c>
      <c r="T16">
        <f t="shared" si="5"/>
        <v>169.46990126454986</v>
      </c>
      <c r="W16">
        <v>76.56672863</v>
      </c>
    </row>
    <row r="17" spans="1:48" x14ac:dyDescent="0.45">
      <c r="A17" t="s">
        <v>132</v>
      </c>
      <c r="B17">
        <v>17.330626519999999</v>
      </c>
      <c r="C17">
        <v>36.360462400000003</v>
      </c>
      <c r="D17">
        <f t="shared" si="0"/>
        <v>19.029835880000004</v>
      </c>
      <c r="E17">
        <f t="shared" si="1"/>
        <v>19.029835880000004</v>
      </c>
      <c r="F17">
        <f t="shared" si="2"/>
        <v>362.1346536197355</v>
      </c>
      <c r="I17">
        <v>17.330626519999999</v>
      </c>
      <c r="O17" t="s">
        <v>132</v>
      </c>
      <c r="P17">
        <v>-75.620056219999995</v>
      </c>
      <c r="Q17">
        <v>-88.836415340000002</v>
      </c>
      <c r="R17">
        <f t="shared" si="3"/>
        <v>-13.216359120000007</v>
      </c>
      <c r="S17">
        <f t="shared" si="4"/>
        <v>13.216359120000007</v>
      </c>
      <c r="T17">
        <f t="shared" si="5"/>
        <v>174.67214838880736</v>
      </c>
      <c r="W17">
        <v>-75.620056219999995</v>
      </c>
    </row>
    <row r="18" spans="1:48" x14ac:dyDescent="0.45">
      <c r="D18">
        <f>AVERAGE(D2:D17)</f>
        <v>-0.18210248937500095</v>
      </c>
      <c r="E18">
        <f>AVERAGE(E2:E17)</f>
        <v>5.4359979656249999</v>
      </c>
      <c r="F18">
        <f>SQRT(AVERAGE(F2:F17))</f>
        <v>8.0304973763199623</v>
      </c>
      <c r="R18">
        <f>AVERAGE(R2:R17)</f>
        <v>-1.365080312500222E-2</v>
      </c>
      <c r="S18">
        <f>AVERAGE(S2:S17)</f>
        <v>2.3710419881249978</v>
      </c>
      <c r="T18">
        <f>SQRT(AVERAGE(T2:T17))</f>
        <v>4.7532109398390032</v>
      </c>
    </row>
    <row r="19" spans="1:48" x14ac:dyDescent="0.45">
      <c r="B19">
        <f>MIN(B2:B17)</f>
        <v>-39.090436050000001</v>
      </c>
      <c r="C19">
        <f>MIN(C2:C17)</f>
        <v>-43.363643240000002</v>
      </c>
      <c r="P19">
        <f>MIN(P2:P17)</f>
        <v>-84.149191689999995</v>
      </c>
      <c r="Q19">
        <f>MIN(Q2:Q17)</f>
        <v>-88.836415340000002</v>
      </c>
    </row>
    <row r="20" spans="1:48" x14ac:dyDescent="0.45">
      <c r="B20">
        <f>MAX(B2:B17)</f>
        <v>38.25549556</v>
      </c>
      <c r="C20">
        <f>MAX(C2:C17)</f>
        <v>46.061254499999997</v>
      </c>
      <c r="P20">
        <f>MAX(P2:P17)</f>
        <v>82.419026909999999</v>
      </c>
      <c r="Q20">
        <f>MAX(Q2:Q17)</f>
        <v>89.584789209999997</v>
      </c>
    </row>
    <row r="22" spans="1:48" x14ac:dyDescent="0.45">
      <c r="AV22" s="2"/>
    </row>
    <row r="23" spans="1:48" x14ac:dyDescent="0.45">
      <c r="AV23" s="2"/>
    </row>
    <row r="24" spans="1:48" x14ac:dyDescent="0.45">
      <c r="AV24" s="2"/>
    </row>
    <row r="25" spans="1:48" x14ac:dyDescent="0.45">
      <c r="AV25" s="2"/>
    </row>
    <row r="26" spans="1:48" x14ac:dyDescent="0.45">
      <c r="AV26" s="2"/>
    </row>
    <row r="27" spans="1:48" x14ac:dyDescent="0.45">
      <c r="AV27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V21"/>
  <sheetViews>
    <sheetView workbookViewId="0">
      <selection activeCell="I23" sqref="I23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8" s="3" customFormat="1" x14ac:dyDescent="0.45">
      <c r="A1" s="3" t="s">
        <v>24</v>
      </c>
      <c r="B1" s="3" t="s">
        <v>134</v>
      </c>
      <c r="C1" s="3" t="s">
        <v>135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</row>
    <row r="2" spans="1:48" x14ac:dyDescent="0.45">
      <c r="A2" t="s">
        <v>35</v>
      </c>
      <c r="B2">
        <v>-36.096077379999997</v>
      </c>
      <c r="C2">
        <v>-25.365654150000001</v>
      </c>
      <c r="D2">
        <f>(C2-B2)</f>
        <v>10.730423229999996</v>
      </c>
      <c r="E2">
        <f>ABS(D2)</f>
        <v>10.730423229999996</v>
      </c>
      <c r="F2">
        <f>E2^2</f>
        <v>115.14198269492354</v>
      </c>
      <c r="G2">
        <f>CORREL(B2:B11,C2:C11)</f>
        <v>0.98521690763697467</v>
      </c>
      <c r="H2">
        <f>G2^2</f>
        <v>0.97065235509376313</v>
      </c>
      <c r="I2">
        <v>-36.096077379999997</v>
      </c>
    </row>
    <row r="3" spans="1:48" x14ac:dyDescent="0.45">
      <c r="A3" t="s">
        <v>36</v>
      </c>
      <c r="B3">
        <v>-30.269808869999999</v>
      </c>
      <c r="C3">
        <v>-38.015044109999998</v>
      </c>
      <c r="D3">
        <f t="shared" ref="D3:D11" si="0">(C3-B3)</f>
        <v>-7.7452352399999995</v>
      </c>
      <c r="E3">
        <f t="shared" ref="E3:E11" si="1">ABS(D3)</f>
        <v>7.7452352399999995</v>
      </c>
      <c r="F3">
        <f t="shared" ref="F3:F11" si="2">E3^2</f>
        <v>59.988668922937848</v>
      </c>
      <c r="I3">
        <v>-30.269808869999999</v>
      </c>
    </row>
    <row r="4" spans="1:48" x14ac:dyDescent="0.45">
      <c r="A4" t="s">
        <v>37</v>
      </c>
      <c r="B4">
        <v>-31.22013523</v>
      </c>
      <c r="C4">
        <v>-38.94476118</v>
      </c>
      <c r="D4">
        <f t="shared" si="0"/>
        <v>-7.7246259500000001</v>
      </c>
      <c r="E4">
        <f t="shared" si="1"/>
        <v>7.7246259500000001</v>
      </c>
      <c r="F4">
        <f t="shared" si="2"/>
        <v>59.669846067413403</v>
      </c>
      <c r="I4">
        <v>-31.22013523</v>
      </c>
    </row>
    <row r="5" spans="1:48" x14ac:dyDescent="0.45">
      <c r="A5" t="s">
        <v>64</v>
      </c>
      <c r="B5">
        <v>42.694152699999997</v>
      </c>
      <c r="C5">
        <v>48.322410519999998</v>
      </c>
      <c r="D5">
        <f t="shared" si="0"/>
        <v>5.6282578200000017</v>
      </c>
      <c r="E5">
        <f t="shared" si="1"/>
        <v>5.6282578200000017</v>
      </c>
      <c r="F5">
        <f t="shared" si="2"/>
        <v>31.67728608839117</v>
      </c>
      <c r="I5">
        <v>42.694152699999997</v>
      </c>
    </row>
    <row r="6" spans="1:48" x14ac:dyDescent="0.45">
      <c r="A6" t="s">
        <v>65</v>
      </c>
      <c r="B6">
        <v>46.288217090000003</v>
      </c>
      <c r="C6">
        <v>51.03295731</v>
      </c>
      <c r="D6">
        <f t="shared" si="0"/>
        <v>4.7447402199999971</v>
      </c>
      <c r="E6">
        <f t="shared" si="1"/>
        <v>4.7447402199999971</v>
      </c>
      <c r="F6">
        <f t="shared" si="2"/>
        <v>22.512559755285622</v>
      </c>
      <c r="I6">
        <v>46.288217090000003</v>
      </c>
    </row>
    <row r="7" spans="1:48" x14ac:dyDescent="0.45">
      <c r="A7" t="s">
        <v>89</v>
      </c>
      <c r="B7">
        <v>36.675754079999997</v>
      </c>
      <c r="C7">
        <v>25.4011256</v>
      </c>
      <c r="D7">
        <f t="shared" si="0"/>
        <v>-11.274628479999997</v>
      </c>
      <c r="E7">
        <f t="shared" si="1"/>
        <v>11.274628479999997</v>
      </c>
      <c r="F7">
        <f t="shared" si="2"/>
        <v>127.11724736202704</v>
      </c>
      <c r="I7">
        <v>36.675754079999997</v>
      </c>
    </row>
    <row r="8" spans="1:48" x14ac:dyDescent="0.45">
      <c r="A8" t="s">
        <v>90</v>
      </c>
      <c r="B8">
        <v>34.175283989999997</v>
      </c>
      <c r="C8">
        <v>40.18336772</v>
      </c>
      <c r="D8">
        <f t="shared" si="0"/>
        <v>6.0080837300000027</v>
      </c>
      <c r="E8">
        <f t="shared" si="1"/>
        <v>6.0080837300000027</v>
      </c>
      <c r="F8">
        <f t="shared" si="2"/>
        <v>36.097070106690744</v>
      </c>
      <c r="I8">
        <v>34.175283989999997</v>
      </c>
    </row>
    <row r="9" spans="1:48" x14ac:dyDescent="0.45">
      <c r="A9" t="s">
        <v>91</v>
      </c>
      <c r="B9">
        <v>30.66887672</v>
      </c>
      <c r="C9">
        <v>38.968460069999999</v>
      </c>
      <c r="D9">
        <f t="shared" si="0"/>
        <v>8.2995833499999989</v>
      </c>
      <c r="E9">
        <f t="shared" si="1"/>
        <v>8.2995833499999989</v>
      </c>
      <c r="F9">
        <f t="shared" si="2"/>
        <v>68.883083783597201</v>
      </c>
      <c r="I9">
        <v>30.66887672</v>
      </c>
    </row>
    <row r="10" spans="1:48" x14ac:dyDescent="0.45">
      <c r="A10" t="s">
        <v>118</v>
      </c>
      <c r="B10">
        <v>-44.247862220000002</v>
      </c>
      <c r="C10">
        <v>-48.763666579999999</v>
      </c>
      <c r="D10">
        <f t="shared" si="0"/>
        <v>-4.5158043599999971</v>
      </c>
      <c r="E10">
        <f t="shared" si="1"/>
        <v>4.5158043599999971</v>
      </c>
      <c r="F10">
        <f t="shared" si="2"/>
        <v>20.392489017794983</v>
      </c>
      <c r="I10">
        <v>-44.247862220000002</v>
      </c>
    </row>
    <row r="11" spans="1:48" x14ac:dyDescent="0.45">
      <c r="A11" t="s">
        <v>119</v>
      </c>
      <c r="B11">
        <v>-41.947072800000001</v>
      </c>
      <c r="C11">
        <v>-45.458105209999999</v>
      </c>
      <c r="D11">
        <f t="shared" si="0"/>
        <v>-3.5110324099999985</v>
      </c>
      <c r="E11">
        <f t="shared" si="1"/>
        <v>3.5110324099999985</v>
      </c>
      <c r="F11">
        <f t="shared" si="2"/>
        <v>12.327348584070398</v>
      </c>
      <c r="I11">
        <v>-41.947072800000001</v>
      </c>
    </row>
    <row r="12" spans="1:48" x14ac:dyDescent="0.45">
      <c r="D12">
        <f>AVERAGE(D2:D11)</f>
        <v>6.3976191000000432E-2</v>
      </c>
      <c r="E12">
        <f>AVERAGE(E2:E11)</f>
        <v>7.0182414789999985</v>
      </c>
      <c r="F12">
        <f>SQRT(AVERAGE(F2:F11))</f>
        <v>7.4418249266099501</v>
      </c>
    </row>
    <row r="13" spans="1:48" x14ac:dyDescent="0.45">
      <c r="B13">
        <f>MIN(B2:B11)</f>
        <v>-44.247862220000002</v>
      </c>
      <c r="C13">
        <f>MIN(C2:C11)</f>
        <v>-48.763666579999999</v>
      </c>
    </row>
    <row r="14" spans="1:48" x14ac:dyDescent="0.45">
      <c r="B14">
        <f>MAX(B2:B11)</f>
        <v>46.288217090000003</v>
      </c>
      <c r="C14">
        <f>MAX(C2:C11)</f>
        <v>51.03295731</v>
      </c>
    </row>
    <row r="16" spans="1:48" x14ac:dyDescent="0.45">
      <c r="AV16" s="2"/>
    </row>
    <row r="17" spans="48:48" x14ac:dyDescent="0.45">
      <c r="AV17" s="2"/>
    </row>
    <row r="18" spans="48:48" x14ac:dyDescent="0.45">
      <c r="AV18" s="2"/>
    </row>
    <row r="19" spans="48:48" x14ac:dyDescent="0.45">
      <c r="AV19" s="2"/>
    </row>
    <row r="20" spans="48:48" x14ac:dyDescent="0.45">
      <c r="AV20" s="2"/>
    </row>
    <row r="21" spans="48:48" x14ac:dyDescent="0.45">
      <c r="AV21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F6F9-37C5-448D-9312-2A624E6EB5F9}">
  <dimension ref="A1:AV21"/>
  <sheetViews>
    <sheetView workbookViewId="0">
      <selection activeCell="L16" sqref="L15:L16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8" s="3" customFormat="1" x14ac:dyDescent="0.45">
      <c r="A1" s="3" t="s">
        <v>24</v>
      </c>
      <c r="B1" s="3" t="s">
        <v>136</v>
      </c>
      <c r="C1" s="3" t="s">
        <v>137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</row>
    <row r="2" spans="1:48" x14ac:dyDescent="0.45">
      <c r="A2" t="s">
        <v>44</v>
      </c>
      <c r="B2">
        <v>80.18009189</v>
      </c>
      <c r="C2">
        <v>78.45732615</v>
      </c>
      <c r="D2">
        <f>(C2-B2)</f>
        <v>-1.7227657399999998</v>
      </c>
      <c r="E2">
        <f>ABS(D2)</f>
        <v>1.7227657399999998</v>
      </c>
      <c r="F2">
        <f>E2^2</f>
        <v>2.9679217949177468</v>
      </c>
      <c r="G2">
        <f>CORREL(B2:B16,C2:C16)</f>
        <v>0.98730775979473528</v>
      </c>
      <c r="H2">
        <f>G2^2</f>
        <v>0.97477661255089876</v>
      </c>
      <c r="I2">
        <v>80.18009189</v>
      </c>
    </row>
    <row r="3" spans="1:48" x14ac:dyDescent="0.45">
      <c r="A3" t="s">
        <v>45</v>
      </c>
      <c r="B3">
        <v>66.827142870000003</v>
      </c>
      <c r="C3">
        <v>70.244532230000004</v>
      </c>
      <c r="D3">
        <f t="shared" ref="D3:D16" si="0">(C3-B3)</f>
        <v>3.4173893600000014</v>
      </c>
      <c r="E3">
        <f t="shared" ref="E3:E16" si="1">ABS(D3)</f>
        <v>3.4173893600000014</v>
      </c>
      <c r="F3">
        <f t="shared" ref="F3:F16" si="2">E3^2</f>
        <v>11.678550037841219</v>
      </c>
      <c r="I3">
        <v>66.827142870000003</v>
      </c>
    </row>
    <row r="4" spans="1:48" x14ac:dyDescent="0.45">
      <c r="A4" t="s">
        <v>46</v>
      </c>
      <c r="B4">
        <v>-64.064187750000002</v>
      </c>
      <c r="C4">
        <v>-63.213513059999997</v>
      </c>
      <c r="D4">
        <f t="shared" si="0"/>
        <v>0.85067469000000528</v>
      </c>
      <c r="E4">
        <f t="shared" si="1"/>
        <v>0.85067469000000528</v>
      </c>
      <c r="F4">
        <f t="shared" si="2"/>
        <v>0.7236474282066051</v>
      </c>
      <c r="I4">
        <v>-64.064187750000002</v>
      </c>
    </row>
    <row r="5" spans="1:48" x14ac:dyDescent="0.45">
      <c r="A5" t="s">
        <v>47</v>
      </c>
      <c r="B5">
        <v>-71.23916328</v>
      </c>
      <c r="C5">
        <v>-70.566677249999998</v>
      </c>
      <c r="D5">
        <f t="shared" si="0"/>
        <v>0.67248603000000173</v>
      </c>
      <c r="E5">
        <f t="shared" si="1"/>
        <v>0.67248603000000173</v>
      </c>
      <c r="F5">
        <f t="shared" si="2"/>
        <v>0.45223746054516323</v>
      </c>
      <c r="I5">
        <v>-71.23916328</v>
      </c>
    </row>
    <row r="6" spans="1:48" x14ac:dyDescent="0.45">
      <c r="A6" t="s">
        <v>48</v>
      </c>
      <c r="B6">
        <v>-65.126223440000004</v>
      </c>
      <c r="C6">
        <v>-62.589184869999997</v>
      </c>
      <c r="D6">
        <f t="shared" si="0"/>
        <v>2.5370385700000071</v>
      </c>
      <c r="E6">
        <f t="shared" si="1"/>
        <v>2.5370385700000071</v>
      </c>
      <c r="F6">
        <f t="shared" si="2"/>
        <v>6.4365647056676814</v>
      </c>
      <c r="I6">
        <v>-65.126223440000004</v>
      </c>
    </row>
    <row r="7" spans="1:48" x14ac:dyDescent="0.45">
      <c r="A7" t="s">
        <v>49</v>
      </c>
      <c r="B7">
        <v>65.014780110000004</v>
      </c>
      <c r="C7">
        <v>63.814011020000002</v>
      </c>
      <c r="D7">
        <f t="shared" si="0"/>
        <v>-1.2007690900000014</v>
      </c>
      <c r="E7">
        <f t="shared" si="1"/>
        <v>1.2007690900000014</v>
      </c>
      <c r="F7">
        <f t="shared" si="2"/>
        <v>1.4418464074994315</v>
      </c>
      <c r="I7">
        <v>65.014780110000004</v>
      </c>
    </row>
    <row r="8" spans="1:48" x14ac:dyDescent="0.45">
      <c r="A8" t="s">
        <v>50</v>
      </c>
      <c r="B8">
        <v>-71.124920099999997</v>
      </c>
      <c r="C8">
        <v>-70.604933720000005</v>
      </c>
      <c r="D8">
        <f t="shared" si="0"/>
        <v>0.51998637999999175</v>
      </c>
      <c r="E8">
        <f t="shared" si="1"/>
        <v>0.51998637999999175</v>
      </c>
      <c r="F8">
        <f t="shared" si="2"/>
        <v>0.27038583538549582</v>
      </c>
      <c r="I8">
        <v>-71.124920099999997</v>
      </c>
    </row>
    <row r="9" spans="1:48" x14ac:dyDescent="0.45">
      <c r="A9" t="s">
        <v>66</v>
      </c>
      <c r="B9">
        <v>67.808386560000002</v>
      </c>
      <c r="C9">
        <v>96.518068060000004</v>
      </c>
      <c r="D9">
        <f t="shared" si="0"/>
        <v>28.709681500000002</v>
      </c>
      <c r="E9">
        <f t="shared" si="1"/>
        <v>28.709681500000002</v>
      </c>
      <c r="F9">
        <f t="shared" si="2"/>
        <v>824.24581183144232</v>
      </c>
      <c r="I9">
        <v>67.808386560000002</v>
      </c>
    </row>
    <row r="10" spans="1:48" x14ac:dyDescent="0.45">
      <c r="A10" t="s">
        <v>98</v>
      </c>
      <c r="B10">
        <v>-72.452005990000004</v>
      </c>
      <c r="C10">
        <v>-77.051097209999995</v>
      </c>
      <c r="D10">
        <f t="shared" si="0"/>
        <v>-4.5990912199999912</v>
      </c>
      <c r="E10">
        <f t="shared" si="1"/>
        <v>4.5990912199999912</v>
      </c>
      <c r="F10">
        <f t="shared" si="2"/>
        <v>21.151640049881006</v>
      </c>
      <c r="I10">
        <v>-72.452005990000004</v>
      </c>
    </row>
    <row r="11" spans="1:48" x14ac:dyDescent="0.45">
      <c r="A11" t="s">
        <v>99</v>
      </c>
      <c r="B11">
        <v>-67.416329239999996</v>
      </c>
      <c r="C11">
        <v>-69.538305730000005</v>
      </c>
      <c r="D11">
        <f t="shared" si="0"/>
        <v>-2.1219764900000087</v>
      </c>
      <c r="E11">
        <f t="shared" si="1"/>
        <v>2.1219764900000087</v>
      </c>
      <c r="F11">
        <f t="shared" si="2"/>
        <v>4.5027842241127569</v>
      </c>
      <c r="I11">
        <v>-67.416329239999996</v>
      </c>
    </row>
    <row r="12" spans="1:48" x14ac:dyDescent="0.45">
      <c r="A12" t="s">
        <v>100</v>
      </c>
      <c r="B12">
        <v>68.670910800000001</v>
      </c>
      <c r="C12">
        <v>63.328875379999999</v>
      </c>
      <c r="D12">
        <f t="shared" si="0"/>
        <v>-5.342035420000002</v>
      </c>
      <c r="E12">
        <f t="shared" si="1"/>
        <v>5.342035420000002</v>
      </c>
      <c r="F12">
        <f t="shared" si="2"/>
        <v>28.537342428534597</v>
      </c>
      <c r="I12">
        <v>68.670910800000001</v>
      </c>
    </row>
    <row r="13" spans="1:48" x14ac:dyDescent="0.45">
      <c r="A13" t="s">
        <v>101</v>
      </c>
      <c r="B13">
        <v>94.693264249999999</v>
      </c>
      <c r="C13">
        <v>111.22823339999999</v>
      </c>
      <c r="D13">
        <f t="shared" si="0"/>
        <v>16.534969149999995</v>
      </c>
      <c r="E13">
        <f t="shared" si="1"/>
        <v>16.534969149999995</v>
      </c>
      <c r="F13">
        <f t="shared" si="2"/>
        <v>273.40520479145158</v>
      </c>
      <c r="I13">
        <v>94.693264249999999</v>
      </c>
    </row>
    <row r="14" spans="1:48" x14ac:dyDescent="0.45">
      <c r="A14" t="s">
        <v>102</v>
      </c>
      <c r="B14">
        <v>-70.77694588</v>
      </c>
      <c r="C14">
        <v>-105.3148502</v>
      </c>
      <c r="D14">
        <f t="shared" si="0"/>
        <v>-34.537904319999996</v>
      </c>
      <c r="E14">
        <f t="shared" si="1"/>
        <v>34.537904319999996</v>
      </c>
      <c r="F14">
        <f t="shared" si="2"/>
        <v>1192.8668348174745</v>
      </c>
      <c r="I14">
        <v>-70.77694588</v>
      </c>
    </row>
    <row r="15" spans="1:48" x14ac:dyDescent="0.45">
      <c r="A15" t="s">
        <v>120</v>
      </c>
      <c r="B15">
        <v>-67.821517020000002</v>
      </c>
      <c r="C15">
        <v>-70.559253639999994</v>
      </c>
      <c r="D15">
        <f t="shared" si="0"/>
        <v>-2.7377366199999926</v>
      </c>
      <c r="E15">
        <f t="shared" si="1"/>
        <v>2.7377366199999926</v>
      </c>
      <c r="F15">
        <f t="shared" si="2"/>
        <v>7.4952018004889842</v>
      </c>
      <c r="I15">
        <v>-67.821517020000002</v>
      </c>
    </row>
    <row r="16" spans="1:48" x14ac:dyDescent="0.45">
      <c r="A16" t="s">
        <v>103</v>
      </c>
      <c r="B16">
        <v>70.574351919999998</v>
      </c>
      <c r="C16">
        <v>102.57878359999999</v>
      </c>
      <c r="D16">
        <f t="shared" si="0"/>
        <v>32.004431679999996</v>
      </c>
      <c r="E16">
        <f t="shared" si="1"/>
        <v>32.004431679999996</v>
      </c>
      <c r="F16">
        <f t="shared" si="2"/>
        <v>1024.2836471597873</v>
      </c>
      <c r="I16">
        <v>70.574351919999998</v>
      </c>
      <c r="AV16" s="2"/>
    </row>
    <row r="17" spans="2:48" x14ac:dyDescent="0.45">
      <c r="D17">
        <f>AVERAGE(D2:D16)</f>
        <v>2.1989585640000007</v>
      </c>
      <c r="E17">
        <f>AVERAGE(E2:E16)</f>
        <v>9.1672624173333315</v>
      </c>
      <c r="F17">
        <f>SQRT(AVERAGE(F2:F16))</f>
        <v>15.05647063728911</v>
      </c>
      <c r="AV17" s="2"/>
    </row>
    <row r="18" spans="2:48" x14ac:dyDescent="0.45">
      <c r="AV18" s="2"/>
    </row>
    <row r="19" spans="2:48" x14ac:dyDescent="0.45">
      <c r="B19">
        <f>MIN(B2:B16)</f>
        <v>-72.452005990000004</v>
      </c>
      <c r="C19">
        <f>MIN(C2:C16)</f>
        <v>-105.3148502</v>
      </c>
      <c r="AV19" s="2"/>
    </row>
    <row r="20" spans="2:48" x14ac:dyDescent="0.45">
      <c r="B20">
        <f>MAX(B2:B16)</f>
        <v>94.693264249999999</v>
      </c>
      <c r="C20">
        <f>MAX(C2:C16)</f>
        <v>111.22823339999999</v>
      </c>
      <c r="AV20" s="2"/>
    </row>
    <row r="21" spans="2:48" x14ac:dyDescent="0.45">
      <c r="AV21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002E-5052-44F8-8AD9-3EA1F8FC5ABB}">
  <dimension ref="A1:AV21"/>
  <sheetViews>
    <sheetView topLeftCell="A16" workbookViewId="0">
      <selection activeCell="L40" sqref="L40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8" s="3" customFormat="1" x14ac:dyDescent="0.45">
      <c r="A1" t="s">
        <v>24</v>
      </c>
      <c r="B1" t="s">
        <v>21</v>
      </c>
      <c r="C1" t="s">
        <v>22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</row>
    <row r="2" spans="1:48" x14ac:dyDescent="0.45">
      <c r="A2" t="s">
        <v>56</v>
      </c>
      <c r="B2">
        <v>65.477147290000005</v>
      </c>
      <c r="C2">
        <v>67.109755579999998</v>
      </c>
      <c r="D2">
        <f>(C2-B2)</f>
        <v>1.6326082899999932</v>
      </c>
      <c r="E2">
        <f>ABS(D2)</f>
        <v>1.6326082899999932</v>
      </c>
      <c r="F2">
        <f>E2^2</f>
        <v>2.6654098285767018</v>
      </c>
      <c r="G2">
        <f>CORREL(B2:B17,C2:C17)</f>
        <v>0.99966399200501421</v>
      </c>
      <c r="H2">
        <f>G2^2</f>
        <v>0.99932809691140112</v>
      </c>
      <c r="I2">
        <v>65.477147290000005</v>
      </c>
    </row>
    <row r="3" spans="1:48" x14ac:dyDescent="0.45">
      <c r="A3" t="s">
        <v>57</v>
      </c>
      <c r="B3">
        <v>67.272993619999994</v>
      </c>
      <c r="C3">
        <v>63.876382960000001</v>
      </c>
      <c r="D3">
        <f t="shared" ref="D3:D17" si="0">(C3-B3)</f>
        <v>-3.3966106599999932</v>
      </c>
      <c r="E3">
        <f t="shared" ref="E3:E17" si="1">ABS(D3)</f>
        <v>3.3966106599999932</v>
      </c>
      <c r="F3">
        <f t="shared" ref="F3:F17" si="2">E3^2</f>
        <v>11.536963975625589</v>
      </c>
      <c r="I3">
        <v>67.272993619999994</v>
      </c>
    </row>
    <row r="4" spans="1:48" x14ac:dyDescent="0.45">
      <c r="A4" t="s">
        <v>58</v>
      </c>
      <c r="B4">
        <v>65.944680959999999</v>
      </c>
      <c r="C4">
        <v>63.039870540000003</v>
      </c>
      <c r="D4">
        <f t="shared" si="0"/>
        <v>-2.9048104199999969</v>
      </c>
      <c r="E4">
        <f t="shared" si="1"/>
        <v>2.9048104199999969</v>
      </c>
      <c r="F4">
        <f t="shared" si="2"/>
        <v>8.4379235761405589</v>
      </c>
      <c r="I4">
        <v>65.944680959999999</v>
      </c>
    </row>
    <row r="5" spans="1:48" x14ac:dyDescent="0.45">
      <c r="A5" t="s">
        <v>59</v>
      </c>
      <c r="B5">
        <v>66.193383839999996</v>
      </c>
      <c r="C5">
        <v>63.144828830000002</v>
      </c>
      <c r="D5">
        <f t="shared" si="0"/>
        <v>-3.0485550099999941</v>
      </c>
      <c r="E5">
        <f t="shared" si="1"/>
        <v>3.0485550099999941</v>
      </c>
      <c r="F5">
        <f t="shared" si="2"/>
        <v>9.2936876489960643</v>
      </c>
      <c r="I5">
        <v>66.193383839999996</v>
      </c>
    </row>
    <row r="6" spans="1:48" x14ac:dyDescent="0.45">
      <c r="A6" t="s">
        <v>60</v>
      </c>
      <c r="B6">
        <v>72.882982350000006</v>
      </c>
      <c r="C6">
        <v>75.041238710000002</v>
      </c>
      <c r="D6">
        <f t="shared" si="0"/>
        <v>2.1582563599999958</v>
      </c>
      <c r="E6">
        <f t="shared" si="1"/>
        <v>2.1582563599999958</v>
      </c>
      <c r="F6">
        <f t="shared" si="2"/>
        <v>4.6580705154804312</v>
      </c>
      <c r="I6">
        <v>72.882982350000006</v>
      </c>
    </row>
    <row r="7" spans="1:48" x14ac:dyDescent="0.45">
      <c r="A7" t="s">
        <v>61</v>
      </c>
      <c r="B7">
        <v>64.605483879999994</v>
      </c>
      <c r="C7">
        <v>62.3230547</v>
      </c>
      <c r="D7">
        <f t="shared" si="0"/>
        <v>-2.2824291799999941</v>
      </c>
      <c r="E7">
        <f t="shared" si="1"/>
        <v>2.2824291799999941</v>
      </c>
      <c r="F7">
        <f t="shared" si="2"/>
        <v>5.2094829617154454</v>
      </c>
      <c r="I7">
        <v>64.605483879999994</v>
      </c>
    </row>
    <row r="8" spans="1:48" x14ac:dyDescent="0.45">
      <c r="A8" t="s">
        <v>62</v>
      </c>
      <c r="B8">
        <v>66.887185489999993</v>
      </c>
      <c r="C8">
        <v>64.421421449999997</v>
      </c>
      <c r="D8">
        <f t="shared" si="0"/>
        <v>-2.4657640399999963</v>
      </c>
      <c r="E8">
        <f t="shared" si="1"/>
        <v>2.4657640399999963</v>
      </c>
      <c r="F8">
        <f t="shared" si="2"/>
        <v>6.0799923009571035</v>
      </c>
      <c r="I8">
        <v>66.887185489999993</v>
      </c>
    </row>
    <row r="9" spans="1:48" x14ac:dyDescent="0.45">
      <c r="A9" t="s">
        <v>63</v>
      </c>
      <c r="B9">
        <v>-72.044757689999997</v>
      </c>
      <c r="C9">
        <v>-71.025631439999998</v>
      </c>
      <c r="D9">
        <f t="shared" si="0"/>
        <v>1.0191262499999993</v>
      </c>
      <c r="E9">
        <f t="shared" si="1"/>
        <v>1.0191262499999993</v>
      </c>
      <c r="F9">
        <f t="shared" si="2"/>
        <v>1.0386183134390612</v>
      </c>
      <c r="I9">
        <v>-72.044757689999997</v>
      </c>
    </row>
    <row r="10" spans="1:48" x14ac:dyDescent="0.45">
      <c r="A10" t="s">
        <v>110</v>
      </c>
      <c r="B10">
        <v>-66.766640659999993</v>
      </c>
      <c r="C10">
        <v>-65.42555179</v>
      </c>
      <c r="D10">
        <f t="shared" si="0"/>
        <v>1.341088869999993</v>
      </c>
      <c r="E10">
        <f t="shared" si="1"/>
        <v>1.341088869999993</v>
      </c>
      <c r="F10">
        <f t="shared" si="2"/>
        <v>1.7985193572378582</v>
      </c>
      <c r="I10">
        <v>-66.766640659999993</v>
      </c>
    </row>
    <row r="11" spans="1:48" x14ac:dyDescent="0.45">
      <c r="A11" t="s">
        <v>111</v>
      </c>
      <c r="B11">
        <v>-65.088754589999994</v>
      </c>
      <c r="C11">
        <v>-65.098346399999997</v>
      </c>
      <c r="D11">
        <f t="shared" si="0"/>
        <v>-9.5918100000034201E-3</v>
      </c>
      <c r="E11">
        <f t="shared" si="1"/>
        <v>9.5918100000034201E-3</v>
      </c>
      <c r="F11">
        <f t="shared" si="2"/>
        <v>9.2002819076165607E-5</v>
      </c>
      <c r="I11">
        <v>-65.088754589999994</v>
      </c>
    </row>
    <row r="12" spans="1:48" x14ac:dyDescent="0.45">
      <c r="A12" t="s">
        <v>112</v>
      </c>
      <c r="B12">
        <v>-63.223166200000001</v>
      </c>
      <c r="C12">
        <v>-62.084184120000003</v>
      </c>
      <c r="D12">
        <f t="shared" si="0"/>
        <v>1.1389820799999981</v>
      </c>
      <c r="E12">
        <f t="shared" si="1"/>
        <v>1.1389820799999981</v>
      </c>
      <c r="F12">
        <f t="shared" si="2"/>
        <v>1.2972801785611221</v>
      </c>
      <c r="I12">
        <v>-63.223166200000001</v>
      </c>
    </row>
    <row r="13" spans="1:48" x14ac:dyDescent="0.45">
      <c r="A13" t="s">
        <v>113</v>
      </c>
      <c r="B13">
        <v>-63.769162719999997</v>
      </c>
      <c r="C13">
        <v>-62.101250239999999</v>
      </c>
      <c r="D13">
        <f t="shared" si="0"/>
        <v>1.6679124799999983</v>
      </c>
      <c r="E13">
        <f t="shared" si="1"/>
        <v>1.6679124799999983</v>
      </c>
      <c r="F13">
        <f t="shared" si="2"/>
        <v>2.7819320409397448</v>
      </c>
      <c r="I13">
        <v>-63.769162719999997</v>
      </c>
    </row>
    <row r="14" spans="1:48" x14ac:dyDescent="0.45">
      <c r="A14" t="s">
        <v>114</v>
      </c>
      <c r="B14">
        <v>-71.90881727</v>
      </c>
      <c r="C14">
        <v>-69.101302880000006</v>
      </c>
      <c r="D14">
        <f t="shared" si="0"/>
        <v>2.8075143899999944</v>
      </c>
      <c r="E14">
        <f t="shared" si="1"/>
        <v>2.8075143899999944</v>
      </c>
      <c r="F14">
        <f t="shared" si="2"/>
        <v>7.8821370500570405</v>
      </c>
      <c r="I14">
        <v>-71.90881727</v>
      </c>
    </row>
    <row r="15" spans="1:48" x14ac:dyDescent="0.45">
      <c r="A15" t="s">
        <v>115</v>
      </c>
      <c r="B15">
        <v>-67.027318159999993</v>
      </c>
      <c r="C15">
        <v>-63.653457520000003</v>
      </c>
      <c r="D15">
        <f t="shared" si="0"/>
        <v>3.3738606399999895</v>
      </c>
      <c r="E15">
        <f t="shared" si="1"/>
        <v>3.3738606399999895</v>
      </c>
      <c r="F15">
        <f t="shared" si="2"/>
        <v>11.382935618141138</v>
      </c>
      <c r="I15">
        <v>-67.027318159999993</v>
      </c>
    </row>
    <row r="16" spans="1:48" x14ac:dyDescent="0.45">
      <c r="A16" t="s">
        <v>116</v>
      </c>
      <c r="B16">
        <v>-69.712533190000002</v>
      </c>
      <c r="C16">
        <v>-65.514169140000007</v>
      </c>
      <c r="D16">
        <f t="shared" si="0"/>
        <v>4.198364049999995</v>
      </c>
      <c r="E16">
        <f t="shared" si="1"/>
        <v>4.198364049999995</v>
      </c>
      <c r="F16">
        <f t="shared" si="2"/>
        <v>17.626260696332359</v>
      </c>
      <c r="I16">
        <v>-69.712533190000002</v>
      </c>
      <c r="AV16" s="2"/>
    </row>
    <row r="17" spans="1:48" x14ac:dyDescent="0.45">
      <c r="A17" t="s">
        <v>117</v>
      </c>
      <c r="B17">
        <v>72.974443519999994</v>
      </c>
      <c r="C17">
        <v>71.211736709999997</v>
      </c>
      <c r="D17">
        <f t="shared" si="0"/>
        <v>-1.7627068099999974</v>
      </c>
      <c r="E17">
        <f t="shared" si="1"/>
        <v>1.7627068099999974</v>
      </c>
      <c r="F17">
        <f t="shared" si="2"/>
        <v>3.107135298020367</v>
      </c>
      <c r="I17">
        <v>72.974443519999994</v>
      </c>
      <c r="AV17" s="2"/>
    </row>
    <row r="18" spans="1:48" x14ac:dyDescent="0.45">
      <c r="D18">
        <f>AVERAGE(D2:D17)</f>
        <v>0.21670284249999883</v>
      </c>
      <c r="E18">
        <f>AVERAGE(E2:E17)</f>
        <v>2.2005113337499957</v>
      </c>
      <c r="F18">
        <f>SQRT(AVERAGE(F2:F17))</f>
        <v>2.434086601826233</v>
      </c>
      <c r="AV18" s="2"/>
    </row>
    <row r="19" spans="1:48" x14ac:dyDescent="0.45">
      <c r="B19">
        <f>MIN(B2:B17)</f>
        <v>-72.044757689999997</v>
      </c>
      <c r="C19">
        <f>MIN(C2:C17)</f>
        <v>-71.025631439999998</v>
      </c>
      <c r="AV19" s="2"/>
    </row>
    <row r="20" spans="1:48" x14ac:dyDescent="0.45">
      <c r="B20">
        <f>MAX(B2:B17)</f>
        <v>72.974443519999994</v>
      </c>
      <c r="C20">
        <f>MAX(C2:C17)</f>
        <v>75.041238710000002</v>
      </c>
      <c r="AV20" s="2"/>
    </row>
    <row r="21" spans="1:48" x14ac:dyDescent="0.45">
      <c r="AV21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5984-1883-438E-A3BC-D6FA07073EBF}">
  <dimension ref="A1:AV19"/>
  <sheetViews>
    <sheetView workbookViewId="0">
      <selection activeCell="B1" sqref="B1"/>
    </sheetView>
  </sheetViews>
  <sheetFormatPr defaultRowHeight="14.25" x14ac:dyDescent="0.45"/>
  <cols>
    <col min="16" max="16" width="11.46484375" customWidth="1"/>
    <col min="17" max="17" width="11.1328125" customWidth="1"/>
  </cols>
  <sheetData>
    <row r="1" spans="1:48" s="3" customFormat="1" x14ac:dyDescent="0.45">
      <c r="A1" s="3" t="s">
        <v>24</v>
      </c>
      <c r="B1" s="3" t="s">
        <v>138</v>
      </c>
      <c r="C1" s="3" t="s">
        <v>139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23</v>
      </c>
    </row>
    <row r="2" spans="1:48" x14ac:dyDescent="0.45">
      <c r="A2" t="s">
        <v>25</v>
      </c>
      <c r="B2">
        <v>-92.625118180000001</v>
      </c>
      <c r="C2">
        <v>-98.928325240000007</v>
      </c>
      <c r="D2">
        <f>(C2-B2)</f>
        <v>-6.3032070600000054</v>
      </c>
      <c r="E2">
        <f>ABS(D2)</f>
        <v>6.3032070600000054</v>
      </c>
      <c r="F2">
        <f>E2^2</f>
        <v>39.730419241233911</v>
      </c>
      <c r="G2">
        <f>CORREL(B2:B9,C2:C9)</f>
        <v>0.99955060415607488</v>
      </c>
      <c r="H2">
        <f>G2^2</f>
        <v>0.9991014102687743</v>
      </c>
      <c r="I2">
        <v>-92.625118180000001</v>
      </c>
    </row>
    <row r="3" spans="1:48" x14ac:dyDescent="0.45">
      <c r="A3" t="s">
        <v>26</v>
      </c>
      <c r="B3">
        <v>109.9440254</v>
      </c>
      <c r="C3">
        <v>113.0425449</v>
      </c>
      <c r="D3">
        <f t="shared" ref="D3:D9" si="0">(C3-B3)</f>
        <v>3.0985194999999948</v>
      </c>
      <c r="E3">
        <f t="shared" ref="E3:E9" si="1">ABS(D3)</f>
        <v>3.0985194999999948</v>
      </c>
      <c r="F3">
        <f t="shared" ref="F3:F9" si="2">E3^2</f>
        <v>9.6008230918802173</v>
      </c>
      <c r="I3">
        <v>109.9440254</v>
      </c>
    </row>
    <row r="4" spans="1:48" x14ac:dyDescent="0.45">
      <c r="A4" t="s">
        <v>27</v>
      </c>
      <c r="B4">
        <v>-109.662586</v>
      </c>
      <c r="C4">
        <v>-110.8751355</v>
      </c>
      <c r="D4">
        <f t="shared" si="0"/>
        <v>-1.2125494999999944</v>
      </c>
      <c r="E4">
        <f t="shared" si="1"/>
        <v>1.2125494999999944</v>
      </c>
      <c r="F4">
        <f t="shared" si="2"/>
        <v>1.4702762899502364</v>
      </c>
      <c r="I4">
        <v>-109.662586</v>
      </c>
    </row>
    <row r="5" spans="1:48" x14ac:dyDescent="0.45">
      <c r="A5" t="s">
        <v>67</v>
      </c>
      <c r="B5">
        <v>79.074686270000001</v>
      </c>
      <c r="C5">
        <v>84.264380549999998</v>
      </c>
      <c r="D5">
        <f t="shared" si="0"/>
        <v>5.1896942799999977</v>
      </c>
      <c r="E5">
        <f t="shared" si="1"/>
        <v>5.1896942799999977</v>
      </c>
      <c r="F5">
        <f t="shared" si="2"/>
        <v>26.932926719864692</v>
      </c>
      <c r="I5">
        <v>79.074686270000001</v>
      </c>
    </row>
    <row r="6" spans="1:48" x14ac:dyDescent="0.45">
      <c r="A6" t="s">
        <v>79</v>
      </c>
      <c r="B6">
        <v>76.893618919999994</v>
      </c>
      <c r="C6">
        <v>85.133407610000006</v>
      </c>
      <c r="D6">
        <f t="shared" si="0"/>
        <v>8.2397886900000117</v>
      </c>
      <c r="E6">
        <f t="shared" si="1"/>
        <v>8.2397886900000117</v>
      </c>
      <c r="F6">
        <f t="shared" si="2"/>
        <v>67.894117655852114</v>
      </c>
      <c r="I6">
        <v>76.893618919999994</v>
      </c>
    </row>
    <row r="7" spans="1:48" x14ac:dyDescent="0.45">
      <c r="A7" t="s">
        <v>80</v>
      </c>
      <c r="B7">
        <v>-106.10465809999999</v>
      </c>
      <c r="C7">
        <v>-112.0792083</v>
      </c>
      <c r="D7">
        <f t="shared" si="0"/>
        <v>-5.9745502000000101</v>
      </c>
      <c r="E7">
        <f t="shared" si="1"/>
        <v>5.9745502000000101</v>
      </c>
      <c r="F7">
        <f t="shared" si="2"/>
        <v>35.695250092320158</v>
      </c>
      <c r="I7">
        <v>-106.10465809999999</v>
      </c>
    </row>
    <row r="8" spans="1:48" x14ac:dyDescent="0.45">
      <c r="A8" t="s">
        <v>81</v>
      </c>
      <c r="B8">
        <v>111.89603320000001</v>
      </c>
      <c r="C8">
        <v>112.70415130000001</v>
      </c>
      <c r="D8">
        <f t="shared" si="0"/>
        <v>0.8081181000000015</v>
      </c>
      <c r="E8">
        <f t="shared" si="1"/>
        <v>0.8081181000000015</v>
      </c>
      <c r="F8">
        <f t="shared" si="2"/>
        <v>0.65305486354761244</v>
      </c>
      <c r="I8">
        <v>111.89603320000001</v>
      </c>
    </row>
    <row r="9" spans="1:48" x14ac:dyDescent="0.45">
      <c r="A9" t="s">
        <v>121</v>
      </c>
      <c r="B9">
        <v>-79.932598299999995</v>
      </c>
      <c r="C9">
        <v>-80.060759649999994</v>
      </c>
      <c r="D9">
        <f t="shared" si="0"/>
        <v>-0.12816134999999917</v>
      </c>
      <c r="E9">
        <f t="shared" si="1"/>
        <v>0.12816134999999917</v>
      </c>
      <c r="F9">
        <f t="shared" si="2"/>
        <v>1.6425331633822288E-2</v>
      </c>
      <c r="I9">
        <v>-79.932598299999995</v>
      </c>
    </row>
    <row r="10" spans="1:48" x14ac:dyDescent="0.45">
      <c r="D10">
        <f>AVERAGE(D2:D9)</f>
        <v>0.46470655749999956</v>
      </c>
      <c r="E10">
        <f>AVERAGE(E2:E9)</f>
        <v>3.8693235850000018</v>
      </c>
      <c r="F10">
        <f>SQRT(AVERAGE(F2:F9))</f>
        <v>4.7696081244464246</v>
      </c>
    </row>
    <row r="11" spans="1:48" x14ac:dyDescent="0.45">
      <c r="B11">
        <f>MIN(B2:B9)</f>
        <v>-109.662586</v>
      </c>
      <c r="C11">
        <f>MIN(C2:C9)</f>
        <v>-112.0792083</v>
      </c>
    </row>
    <row r="12" spans="1:48" x14ac:dyDescent="0.45">
      <c r="B12">
        <f>MAX(B2:B9)</f>
        <v>111.89603320000001</v>
      </c>
      <c r="C12">
        <f>MAX(C2:C9)</f>
        <v>113.0425449</v>
      </c>
    </row>
    <row r="14" spans="1:48" x14ac:dyDescent="0.45">
      <c r="AV14" s="2"/>
    </row>
    <row r="15" spans="1:48" x14ac:dyDescent="0.45">
      <c r="AV15" s="2"/>
    </row>
    <row r="16" spans="1:48" x14ac:dyDescent="0.45">
      <c r="AV16" s="2"/>
    </row>
    <row r="17" spans="48:48" x14ac:dyDescent="0.45">
      <c r="AV17" s="2"/>
    </row>
    <row r="18" spans="48:48" x14ac:dyDescent="0.45">
      <c r="AV18" s="2"/>
    </row>
    <row r="19" spans="48:48" x14ac:dyDescent="0.45">
      <c r="AV19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3CFF-6A4E-4B2A-A0B7-5B2517597790}">
  <dimension ref="A1:G137"/>
  <sheetViews>
    <sheetView topLeftCell="A94" workbookViewId="0">
      <selection activeCell="A43" sqref="A43:XFD43"/>
    </sheetView>
  </sheetViews>
  <sheetFormatPr defaultRowHeight="14.25" x14ac:dyDescent="0.45"/>
  <sheetData>
    <row r="1" spans="1:7" x14ac:dyDescent="0.4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140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5">
      <c r="A3" t="s">
        <v>141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5">
      <c r="A4" t="s">
        <v>142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5">
      <c r="A5" t="s">
        <v>143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5">
      <c r="A6" t="s">
        <v>144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5">
      <c r="A7" t="s">
        <v>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113.0425449</v>
      </c>
    </row>
    <row r="9" spans="1:7" x14ac:dyDescent="0.45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-110.8751355</v>
      </c>
    </row>
    <row r="10" spans="1:7" x14ac:dyDescent="0.45">
      <c r="A10" t="s">
        <v>28</v>
      </c>
      <c r="B10">
        <v>-136.89023610000001</v>
      </c>
      <c r="C10">
        <v>-31.182233029999999</v>
      </c>
      <c r="D10">
        <v>-79.2746961</v>
      </c>
      <c r="E10">
        <v>0</v>
      </c>
      <c r="F10">
        <v>0</v>
      </c>
      <c r="G10">
        <v>0</v>
      </c>
    </row>
    <row r="11" spans="1:7" x14ac:dyDescent="0.45">
      <c r="A11" t="s">
        <v>29</v>
      </c>
      <c r="B11">
        <v>-105.821646</v>
      </c>
      <c r="C11">
        <v>-39.079276389999997</v>
      </c>
      <c r="D11">
        <v>-38.766936690000001</v>
      </c>
      <c r="E11">
        <v>0</v>
      </c>
      <c r="F11">
        <v>0</v>
      </c>
      <c r="G11">
        <v>0</v>
      </c>
    </row>
    <row r="12" spans="1:7" x14ac:dyDescent="0.45">
      <c r="A12" t="s">
        <v>30</v>
      </c>
      <c r="B12">
        <v>-108.7121229</v>
      </c>
      <c r="C12">
        <v>-40.052557460000003</v>
      </c>
      <c r="D12">
        <v>-40.074010059999999</v>
      </c>
      <c r="E12">
        <v>0</v>
      </c>
      <c r="F12">
        <v>0</v>
      </c>
      <c r="G12">
        <v>0</v>
      </c>
    </row>
    <row r="13" spans="1:7" x14ac:dyDescent="0.45">
      <c r="A13" t="s">
        <v>31</v>
      </c>
      <c r="B13">
        <v>-89.635633900000002</v>
      </c>
      <c r="C13">
        <v>-71.360056790000002</v>
      </c>
      <c r="D13">
        <v>-27.933100150000001</v>
      </c>
      <c r="E13">
        <v>0</v>
      </c>
      <c r="F13">
        <v>0</v>
      </c>
      <c r="G13">
        <v>0</v>
      </c>
    </row>
    <row r="14" spans="1:7" x14ac:dyDescent="0.45">
      <c r="A14" t="s">
        <v>32</v>
      </c>
      <c r="B14">
        <v>99.708705429999995</v>
      </c>
      <c r="C14">
        <v>45.46835068</v>
      </c>
      <c r="D14">
        <v>38.868304539999997</v>
      </c>
      <c r="E14">
        <v>0</v>
      </c>
      <c r="F14">
        <v>0</v>
      </c>
      <c r="G14">
        <v>0</v>
      </c>
    </row>
    <row r="15" spans="1:7" x14ac:dyDescent="0.4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5">
      <c r="A16" t="s">
        <v>33</v>
      </c>
      <c r="B16">
        <v>-106.91325809999999</v>
      </c>
      <c r="C16">
        <v>-39.233616679999997</v>
      </c>
      <c r="D16">
        <v>-38.223580349999999</v>
      </c>
      <c r="E16">
        <v>0</v>
      </c>
      <c r="F16">
        <v>0</v>
      </c>
      <c r="G16">
        <v>0</v>
      </c>
    </row>
    <row r="17" spans="1:7" x14ac:dyDescent="0.45">
      <c r="A17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5">
      <c r="A18" t="s">
        <v>148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5">
      <c r="A19" t="s">
        <v>149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5">
      <c r="A20" t="s">
        <v>150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5">
      <c r="A21" t="s">
        <v>151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5">
      <c r="A22" t="s">
        <v>152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5">
      <c r="A23" t="s">
        <v>34</v>
      </c>
      <c r="B23">
        <v>-107.1133189</v>
      </c>
      <c r="C23">
        <v>-55.260859189999998</v>
      </c>
      <c r="D23">
        <v>-41.183187799999999</v>
      </c>
      <c r="E23">
        <v>0</v>
      </c>
      <c r="F23">
        <v>0</v>
      </c>
      <c r="G23">
        <v>0</v>
      </c>
    </row>
    <row r="24" spans="1:7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-25.365654150000001</v>
      </c>
    </row>
    <row r="25" spans="1:7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-38.015044109999998</v>
      </c>
    </row>
    <row r="26" spans="1:7" x14ac:dyDescent="0.4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-38.94476118</v>
      </c>
    </row>
    <row r="27" spans="1:7" x14ac:dyDescent="0.45">
      <c r="A27" t="s">
        <v>38</v>
      </c>
      <c r="B27">
        <v>0</v>
      </c>
      <c r="C27">
        <v>0</v>
      </c>
      <c r="D27">
        <v>0</v>
      </c>
      <c r="E27">
        <v>34.15235448</v>
      </c>
      <c r="F27">
        <v>76.071029300000006</v>
      </c>
      <c r="G27">
        <v>0</v>
      </c>
    </row>
    <row r="28" spans="1:7" x14ac:dyDescent="0.45">
      <c r="A28" t="s">
        <v>39</v>
      </c>
      <c r="B28">
        <v>0</v>
      </c>
      <c r="C28">
        <v>0</v>
      </c>
      <c r="D28">
        <v>0</v>
      </c>
      <c r="E28">
        <v>41.681739299999997</v>
      </c>
      <c r="F28">
        <v>79.99552654</v>
      </c>
      <c r="G28">
        <v>0</v>
      </c>
    </row>
    <row r="29" spans="1:7" x14ac:dyDescent="0.45">
      <c r="A29" t="s">
        <v>40</v>
      </c>
      <c r="B29">
        <v>0</v>
      </c>
      <c r="C29">
        <v>0</v>
      </c>
      <c r="D29">
        <v>0</v>
      </c>
      <c r="E29">
        <v>42.912857219999999</v>
      </c>
      <c r="F29">
        <v>82.349102209999998</v>
      </c>
      <c r="G29">
        <v>0</v>
      </c>
    </row>
    <row r="30" spans="1:7" x14ac:dyDescent="0.45">
      <c r="A30" t="s">
        <v>41</v>
      </c>
      <c r="B30">
        <v>0</v>
      </c>
      <c r="C30">
        <v>0</v>
      </c>
      <c r="D30">
        <v>0</v>
      </c>
      <c r="E30">
        <v>38.543020990000002</v>
      </c>
      <c r="F30">
        <v>80.252299640000004</v>
      </c>
      <c r="G30">
        <v>0</v>
      </c>
    </row>
    <row r="31" spans="1:7" x14ac:dyDescent="0.45">
      <c r="A31" t="s">
        <v>42</v>
      </c>
      <c r="B31">
        <v>0</v>
      </c>
      <c r="C31">
        <v>0</v>
      </c>
      <c r="D31">
        <v>0</v>
      </c>
      <c r="E31">
        <v>46.061254499999997</v>
      </c>
      <c r="F31">
        <v>80.325640219999997</v>
      </c>
      <c r="G31">
        <v>0</v>
      </c>
    </row>
    <row r="32" spans="1:7" x14ac:dyDescent="0.45">
      <c r="A32" t="s">
        <v>43</v>
      </c>
      <c r="B32">
        <v>0</v>
      </c>
      <c r="C32">
        <v>0</v>
      </c>
      <c r="D32">
        <v>0</v>
      </c>
      <c r="E32">
        <v>38.524007439999998</v>
      </c>
      <c r="F32">
        <v>79.008721800000004</v>
      </c>
      <c r="G32">
        <v>0</v>
      </c>
    </row>
    <row r="33" spans="1:7" x14ac:dyDescent="0.4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70.244532230000004</v>
      </c>
    </row>
    <row r="34" spans="1:7" x14ac:dyDescent="0.4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-63.213513059999997</v>
      </c>
    </row>
    <row r="35" spans="1:7" x14ac:dyDescent="0.4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-70.566677249999998</v>
      </c>
    </row>
    <row r="36" spans="1:7" x14ac:dyDescent="0.4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-62.589184869999997</v>
      </c>
    </row>
    <row r="37" spans="1:7" x14ac:dyDescent="0.45">
      <c r="A37" t="s">
        <v>153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5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63.814011020000002</v>
      </c>
    </row>
    <row r="39" spans="1:7" x14ac:dyDescent="0.45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-70.604933720000005</v>
      </c>
    </row>
    <row r="40" spans="1:7" x14ac:dyDescent="0.45">
      <c r="A40" t="s">
        <v>51</v>
      </c>
      <c r="B40">
        <v>-97.097859810000003</v>
      </c>
      <c r="C40">
        <v>-85.347083229999996</v>
      </c>
      <c r="D40">
        <v>-33.699798870000002</v>
      </c>
      <c r="E40">
        <v>0</v>
      </c>
      <c r="F40">
        <v>0</v>
      </c>
      <c r="G40">
        <v>0</v>
      </c>
    </row>
    <row r="41" spans="1:7" x14ac:dyDescent="0.45">
      <c r="A41" t="s">
        <v>154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5">
      <c r="A42" t="s">
        <v>155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5">
      <c r="A43" t="s">
        <v>52</v>
      </c>
      <c r="B43">
        <v>97.50178846</v>
      </c>
      <c r="C43">
        <v>50.729448699999999</v>
      </c>
      <c r="D43">
        <v>37.051560289999998</v>
      </c>
      <c r="E43">
        <v>0</v>
      </c>
      <c r="F43">
        <v>0</v>
      </c>
      <c r="G43">
        <v>0</v>
      </c>
    </row>
    <row r="44" spans="1:7" x14ac:dyDescent="0.45">
      <c r="A44" t="s">
        <v>53</v>
      </c>
      <c r="B44">
        <v>99.990720780000004</v>
      </c>
      <c r="C44">
        <v>50.253235549999999</v>
      </c>
      <c r="D44">
        <v>52.021831730000002</v>
      </c>
      <c r="E44">
        <v>0</v>
      </c>
      <c r="F44">
        <v>0</v>
      </c>
      <c r="G44">
        <v>0</v>
      </c>
    </row>
    <row r="45" spans="1:7" x14ac:dyDescent="0.45">
      <c r="A45" t="s">
        <v>54</v>
      </c>
      <c r="B45">
        <v>-143.0456002</v>
      </c>
      <c r="C45">
        <v>-32.896711529999997</v>
      </c>
      <c r="D45">
        <v>-85.907742510000006</v>
      </c>
      <c r="E45">
        <v>0</v>
      </c>
      <c r="F45">
        <v>0</v>
      </c>
      <c r="G45">
        <v>0</v>
      </c>
    </row>
    <row r="46" spans="1:7" x14ac:dyDescent="0.45">
      <c r="A46" t="s">
        <v>55</v>
      </c>
      <c r="B46">
        <v>-111.7109446</v>
      </c>
      <c r="C46">
        <v>-40.855942749999997</v>
      </c>
      <c r="D46">
        <v>-34.18851386</v>
      </c>
      <c r="E46">
        <v>0</v>
      </c>
      <c r="F46">
        <v>0</v>
      </c>
      <c r="G46">
        <v>0</v>
      </c>
    </row>
    <row r="47" spans="1:7" x14ac:dyDescent="0.4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67.109755579999998</v>
      </c>
    </row>
    <row r="48" spans="1:7" x14ac:dyDescent="0.45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63.876382960000001</v>
      </c>
    </row>
    <row r="49" spans="1:7" x14ac:dyDescent="0.45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63.039870540000003</v>
      </c>
    </row>
    <row r="50" spans="1:7" x14ac:dyDescent="0.45">
      <c r="A50" t="s">
        <v>59</v>
      </c>
      <c r="B50">
        <v>0</v>
      </c>
      <c r="C50">
        <v>0</v>
      </c>
      <c r="D50">
        <v>0</v>
      </c>
      <c r="E50">
        <v>0</v>
      </c>
      <c r="F50">
        <v>0</v>
      </c>
      <c r="G50">
        <v>63.144828830000002</v>
      </c>
    </row>
    <row r="51" spans="1:7" x14ac:dyDescent="0.45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75.041238710000002</v>
      </c>
    </row>
    <row r="52" spans="1:7" x14ac:dyDescent="0.45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62.3230547</v>
      </c>
    </row>
    <row r="53" spans="1:7" x14ac:dyDescent="0.45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64.421421449999997</v>
      </c>
    </row>
    <row r="54" spans="1:7" x14ac:dyDescent="0.45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-71.025631439999998</v>
      </c>
    </row>
    <row r="55" spans="1:7" x14ac:dyDescent="0.45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48.322410519999998</v>
      </c>
    </row>
    <row r="56" spans="1:7" x14ac:dyDescent="0.45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51.03295731</v>
      </c>
    </row>
    <row r="57" spans="1:7" x14ac:dyDescent="0.45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96.518068060000004</v>
      </c>
    </row>
    <row r="58" spans="1:7" x14ac:dyDescent="0.45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84.264380549999998</v>
      </c>
    </row>
    <row r="59" spans="1:7" x14ac:dyDescent="0.45">
      <c r="A59" t="s">
        <v>68</v>
      </c>
      <c r="B59">
        <v>0</v>
      </c>
      <c r="C59">
        <v>0</v>
      </c>
      <c r="D59">
        <v>0</v>
      </c>
      <c r="E59">
        <v>-29.83080575</v>
      </c>
      <c r="F59">
        <v>70.917335789999996</v>
      </c>
      <c r="G59">
        <v>0</v>
      </c>
    </row>
    <row r="60" spans="1:7" x14ac:dyDescent="0.45">
      <c r="A60" t="s">
        <v>69</v>
      </c>
      <c r="B60">
        <v>95.155504969999996</v>
      </c>
      <c r="C60">
        <v>44.580383740000002</v>
      </c>
      <c r="D60">
        <v>41.52708982</v>
      </c>
      <c r="E60">
        <v>0</v>
      </c>
      <c r="F60">
        <v>0</v>
      </c>
      <c r="G60">
        <v>0</v>
      </c>
    </row>
    <row r="61" spans="1:7" x14ac:dyDescent="0.45">
      <c r="A61" t="s">
        <v>70</v>
      </c>
      <c r="B61">
        <v>94.370376620000002</v>
      </c>
      <c r="C61">
        <v>46.131173619999998</v>
      </c>
      <c r="D61">
        <v>33.186568289999997</v>
      </c>
      <c r="E61">
        <v>0</v>
      </c>
      <c r="F61">
        <v>0</v>
      </c>
      <c r="G61">
        <v>0</v>
      </c>
    </row>
    <row r="62" spans="1:7" x14ac:dyDescent="0.45">
      <c r="A62" t="s">
        <v>71</v>
      </c>
      <c r="B62">
        <v>100.48120520000001</v>
      </c>
      <c r="C62">
        <v>35.505870989999998</v>
      </c>
      <c r="D62">
        <v>43.960294939999997</v>
      </c>
      <c r="E62">
        <v>0</v>
      </c>
      <c r="F62">
        <v>0</v>
      </c>
      <c r="G62">
        <v>0</v>
      </c>
    </row>
    <row r="63" spans="1:7" x14ac:dyDescent="0.45">
      <c r="A63" t="s">
        <v>72</v>
      </c>
      <c r="B63">
        <v>102.3398126</v>
      </c>
      <c r="C63">
        <v>32.867506339999998</v>
      </c>
      <c r="D63">
        <v>46.979163929999999</v>
      </c>
      <c r="E63">
        <v>0</v>
      </c>
      <c r="F63">
        <v>0</v>
      </c>
      <c r="G63">
        <v>0</v>
      </c>
    </row>
    <row r="64" spans="1:7" x14ac:dyDescent="0.45">
      <c r="A64" t="s">
        <v>73</v>
      </c>
      <c r="B64">
        <v>93.510362200000003</v>
      </c>
      <c r="C64">
        <v>44.16259779</v>
      </c>
      <c r="D64">
        <v>32.085121669999999</v>
      </c>
      <c r="E64">
        <v>0</v>
      </c>
      <c r="F64">
        <v>0</v>
      </c>
      <c r="G64">
        <v>0</v>
      </c>
    </row>
    <row r="65" spans="1:7" x14ac:dyDescent="0.45">
      <c r="A65" t="s">
        <v>156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45">
      <c r="A66" t="s">
        <v>157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45">
      <c r="A67" t="s">
        <v>74</v>
      </c>
      <c r="B67">
        <v>-96.861063619999996</v>
      </c>
      <c r="C67">
        <v>-84.863200160000005</v>
      </c>
      <c r="D67">
        <v>-34.046050090000001</v>
      </c>
      <c r="E67">
        <v>0</v>
      </c>
      <c r="F67">
        <v>0</v>
      </c>
      <c r="G67">
        <v>0</v>
      </c>
    </row>
    <row r="68" spans="1:7" x14ac:dyDescent="0.45">
      <c r="A68" t="s">
        <v>75</v>
      </c>
      <c r="B68">
        <v>-124.2772973</v>
      </c>
      <c r="C68">
        <v>-36.863351029999997</v>
      </c>
      <c r="D68">
        <v>-36.934255149999998</v>
      </c>
      <c r="E68">
        <v>0</v>
      </c>
      <c r="F68">
        <v>0</v>
      </c>
      <c r="G68">
        <v>0</v>
      </c>
    </row>
    <row r="69" spans="1:7" x14ac:dyDescent="0.45">
      <c r="A69" t="s">
        <v>76</v>
      </c>
      <c r="B69">
        <v>-124.4869911</v>
      </c>
      <c r="C69">
        <v>-36.329762160000001</v>
      </c>
      <c r="D69">
        <v>-36.005421259999999</v>
      </c>
      <c r="E69">
        <v>0</v>
      </c>
      <c r="F69">
        <v>0</v>
      </c>
      <c r="G69">
        <v>0</v>
      </c>
    </row>
    <row r="70" spans="1:7" x14ac:dyDescent="0.45">
      <c r="A70" t="s">
        <v>77</v>
      </c>
      <c r="B70">
        <v>-122.7535639</v>
      </c>
      <c r="C70">
        <v>-34.005246649999997</v>
      </c>
      <c r="D70">
        <v>-34.568726689999998</v>
      </c>
      <c r="E70">
        <v>0</v>
      </c>
      <c r="F70">
        <v>0</v>
      </c>
      <c r="G70">
        <v>0</v>
      </c>
    </row>
    <row r="71" spans="1:7" x14ac:dyDescent="0.45">
      <c r="A71" t="s">
        <v>78</v>
      </c>
      <c r="B71">
        <v>0</v>
      </c>
      <c r="C71">
        <v>0</v>
      </c>
      <c r="D71">
        <v>0</v>
      </c>
      <c r="E71">
        <v>31.340144590000001</v>
      </c>
      <c r="F71">
        <v>-71.033908850000003</v>
      </c>
      <c r="G71">
        <v>0</v>
      </c>
    </row>
    <row r="72" spans="1:7" x14ac:dyDescent="0.45">
      <c r="A72" t="s">
        <v>158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45">
      <c r="A73" t="s">
        <v>159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45">
      <c r="A74" t="s">
        <v>160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45">
      <c r="A75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85.133407610000006</v>
      </c>
    </row>
    <row r="76" spans="1:7" x14ac:dyDescent="0.45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-112.0792083</v>
      </c>
    </row>
    <row r="77" spans="1:7" x14ac:dyDescent="0.45">
      <c r="A77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112.70415130000001</v>
      </c>
    </row>
    <row r="78" spans="1:7" x14ac:dyDescent="0.45">
      <c r="A78" t="s">
        <v>82</v>
      </c>
      <c r="B78">
        <v>109.35440029999999</v>
      </c>
      <c r="C78">
        <v>40.384299679999998</v>
      </c>
      <c r="D78">
        <v>40.282864189999998</v>
      </c>
      <c r="E78">
        <v>0</v>
      </c>
      <c r="F78">
        <v>0</v>
      </c>
      <c r="G78">
        <v>0</v>
      </c>
    </row>
    <row r="79" spans="1:7" x14ac:dyDescent="0.45">
      <c r="A79" t="s">
        <v>83</v>
      </c>
      <c r="B79">
        <v>108.4128018</v>
      </c>
      <c r="C79">
        <v>40.01538309</v>
      </c>
      <c r="D79">
        <v>39.833230630000003</v>
      </c>
      <c r="E79">
        <v>0</v>
      </c>
      <c r="F79">
        <v>0</v>
      </c>
      <c r="G79">
        <v>0</v>
      </c>
    </row>
    <row r="80" spans="1:7" x14ac:dyDescent="0.45">
      <c r="A80" t="s">
        <v>84</v>
      </c>
      <c r="B80">
        <v>136.03335240000001</v>
      </c>
      <c r="C80">
        <v>31.391150339999999</v>
      </c>
      <c r="D80">
        <v>79.430938190000006</v>
      </c>
      <c r="E80">
        <v>0</v>
      </c>
      <c r="F80">
        <v>0</v>
      </c>
      <c r="G80">
        <v>0</v>
      </c>
    </row>
    <row r="81" spans="1:7" x14ac:dyDescent="0.45">
      <c r="A81" t="s">
        <v>85</v>
      </c>
      <c r="B81">
        <v>134.86017279999999</v>
      </c>
      <c r="C81">
        <v>27.9248476</v>
      </c>
      <c r="D81">
        <v>71.366891710000004</v>
      </c>
      <c r="E81">
        <v>0</v>
      </c>
      <c r="F81">
        <v>0</v>
      </c>
      <c r="G81">
        <v>0</v>
      </c>
    </row>
    <row r="82" spans="1:7" x14ac:dyDescent="0.45">
      <c r="A82" t="s">
        <v>86</v>
      </c>
      <c r="B82">
        <v>-105.75584360000001</v>
      </c>
      <c r="C82">
        <v>-37.781178429999997</v>
      </c>
      <c r="D82">
        <v>-45.85700439</v>
      </c>
      <c r="E82">
        <v>0</v>
      </c>
      <c r="F82">
        <v>0</v>
      </c>
      <c r="G82">
        <v>0</v>
      </c>
    </row>
    <row r="83" spans="1:7" x14ac:dyDescent="0.45">
      <c r="A83" t="s">
        <v>87</v>
      </c>
      <c r="B83">
        <v>106.9184569</v>
      </c>
      <c r="C83">
        <v>39.24387729</v>
      </c>
      <c r="D83">
        <v>38.231019940000003</v>
      </c>
      <c r="E83">
        <v>0</v>
      </c>
      <c r="F83">
        <v>0</v>
      </c>
      <c r="G83">
        <v>0</v>
      </c>
    </row>
    <row r="84" spans="1:7" x14ac:dyDescent="0.45">
      <c r="A84" t="s">
        <v>161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45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45">
      <c r="A86" t="s">
        <v>163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45">
      <c r="A87" t="s">
        <v>164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45">
      <c r="A88" t="s">
        <v>165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45">
      <c r="A89" t="s">
        <v>88</v>
      </c>
      <c r="B89">
        <v>144.49727110000001</v>
      </c>
      <c r="C89">
        <v>35.876241559999997</v>
      </c>
      <c r="D89">
        <v>84.254403879999998</v>
      </c>
      <c r="E89">
        <v>0</v>
      </c>
      <c r="F89">
        <v>0</v>
      </c>
      <c r="G89">
        <v>0</v>
      </c>
    </row>
    <row r="90" spans="1:7" x14ac:dyDescent="0.45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25.4011256</v>
      </c>
    </row>
    <row r="91" spans="1:7" x14ac:dyDescent="0.4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40.18336772</v>
      </c>
    </row>
    <row r="92" spans="1:7" x14ac:dyDescent="0.45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38.968460069999999</v>
      </c>
    </row>
    <row r="93" spans="1:7" x14ac:dyDescent="0.45">
      <c r="A93" t="s">
        <v>92</v>
      </c>
      <c r="B93">
        <v>0</v>
      </c>
      <c r="C93">
        <v>0</v>
      </c>
      <c r="D93">
        <v>0</v>
      </c>
      <c r="E93">
        <v>-34.086733289999998</v>
      </c>
      <c r="F93">
        <v>-76.541697790000001</v>
      </c>
      <c r="G93">
        <v>0</v>
      </c>
    </row>
    <row r="94" spans="1:7" x14ac:dyDescent="0.45">
      <c r="A94" t="s">
        <v>93</v>
      </c>
      <c r="B94">
        <v>0</v>
      </c>
      <c r="C94">
        <v>0</v>
      </c>
      <c r="D94">
        <v>0</v>
      </c>
      <c r="E94">
        <v>-41.041461740000003</v>
      </c>
      <c r="F94">
        <v>-79.982299069999996</v>
      </c>
      <c r="G94">
        <v>0</v>
      </c>
    </row>
    <row r="95" spans="1:7" x14ac:dyDescent="0.45">
      <c r="A95" t="s">
        <v>94</v>
      </c>
      <c r="B95">
        <v>0</v>
      </c>
      <c r="C95">
        <v>0</v>
      </c>
      <c r="D95">
        <v>0</v>
      </c>
      <c r="E95">
        <v>-41.047233749999997</v>
      </c>
      <c r="F95">
        <v>-82.614824630000001</v>
      </c>
      <c r="G95">
        <v>0</v>
      </c>
    </row>
    <row r="96" spans="1:7" x14ac:dyDescent="0.45">
      <c r="A96" t="s">
        <v>95</v>
      </c>
      <c r="B96">
        <v>0</v>
      </c>
      <c r="C96">
        <v>0</v>
      </c>
      <c r="D96">
        <v>0</v>
      </c>
      <c r="E96">
        <v>-35.454910959999999</v>
      </c>
      <c r="F96">
        <v>-84.484332289999998</v>
      </c>
      <c r="G96">
        <v>0</v>
      </c>
    </row>
    <row r="97" spans="1:7" x14ac:dyDescent="0.45">
      <c r="A97" t="s">
        <v>96</v>
      </c>
      <c r="B97">
        <v>0</v>
      </c>
      <c r="C97">
        <v>0</v>
      </c>
      <c r="D97">
        <v>0</v>
      </c>
      <c r="E97">
        <v>-43.363643240000002</v>
      </c>
      <c r="F97">
        <v>-80.108799660000003</v>
      </c>
      <c r="G97">
        <v>0</v>
      </c>
    </row>
    <row r="98" spans="1:7" x14ac:dyDescent="0.45">
      <c r="A98" t="s">
        <v>97</v>
      </c>
      <c r="B98">
        <v>0</v>
      </c>
      <c r="C98">
        <v>0</v>
      </c>
      <c r="D98">
        <v>0</v>
      </c>
      <c r="E98">
        <v>-38.304219519999997</v>
      </c>
      <c r="F98">
        <v>-79.807854250000005</v>
      </c>
      <c r="G98">
        <v>0</v>
      </c>
    </row>
    <row r="99" spans="1:7" x14ac:dyDescent="0.4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-77.051097209999995</v>
      </c>
    </row>
    <row r="100" spans="1:7" x14ac:dyDescent="0.45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-69.538305730000005</v>
      </c>
    </row>
    <row r="101" spans="1:7" x14ac:dyDescent="0.45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63.328875379999999</v>
      </c>
    </row>
    <row r="102" spans="1:7" x14ac:dyDescent="0.45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111.22823339999999</v>
      </c>
    </row>
    <row r="103" spans="1:7" x14ac:dyDescent="0.4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-105.3148502</v>
      </c>
    </row>
    <row r="104" spans="1:7" x14ac:dyDescent="0.45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102.57878359999999</v>
      </c>
    </row>
    <row r="105" spans="1:7" x14ac:dyDescent="0.45">
      <c r="A105" t="s">
        <v>104</v>
      </c>
      <c r="B105">
        <v>142.3384466</v>
      </c>
      <c r="C105">
        <v>36.535691630000002</v>
      </c>
      <c r="D105">
        <v>81.14107448</v>
      </c>
      <c r="E105">
        <v>0</v>
      </c>
      <c r="F105">
        <v>0</v>
      </c>
      <c r="G105">
        <v>0</v>
      </c>
    </row>
    <row r="106" spans="1:7" x14ac:dyDescent="0.45">
      <c r="A106" t="s">
        <v>166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45">
      <c r="A107" t="s">
        <v>167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45">
      <c r="A108" t="s">
        <v>105</v>
      </c>
      <c r="B108">
        <v>-105.287752</v>
      </c>
      <c r="C108">
        <v>-40.679253719999998</v>
      </c>
      <c r="D108">
        <v>-48.284131309999999</v>
      </c>
      <c r="E108">
        <v>0</v>
      </c>
      <c r="F108">
        <v>0</v>
      </c>
      <c r="G108">
        <v>0</v>
      </c>
    </row>
    <row r="109" spans="1:7" x14ac:dyDescent="0.45">
      <c r="A109" t="s">
        <v>106</v>
      </c>
      <c r="B109">
        <v>-104.03377860000001</v>
      </c>
      <c r="C109">
        <v>-46.459803839999999</v>
      </c>
      <c r="D109">
        <v>-42.863448409999997</v>
      </c>
      <c r="E109">
        <v>0</v>
      </c>
      <c r="F109">
        <v>0</v>
      </c>
      <c r="G109">
        <v>0</v>
      </c>
    </row>
    <row r="110" spans="1:7" x14ac:dyDescent="0.45">
      <c r="A110" t="s">
        <v>107</v>
      </c>
      <c r="B110">
        <v>-99.742821579999998</v>
      </c>
      <c r="C110">
        <v>-51.913637970000003</v>
      </c>
      <c r="D110">
        <v>-51.034977130000001</v>
      </c>
      <c r="E110">
        <v>0</v>
      </c>
      <c r="F110">
        <v>0</v>
      </c>
      <c r="G110">
        <v>0</v>
      </c>
    </row>
    <row r="111" spans="1:7" x14ac:dyDescent="0.45">
      <c r="A111" t="s">
        <v>108</v>
      </c>
      <c r="B111">
        <v>123.94991659999999</v>
      </c>
      <c r="C111">
        <v>37.891986189999997</v>
      </c>
      <c r="D111">
        <v>36.617219200000001</v>
      </c>
      <c r="E111">
        <v>0</v>
      </c>
      <c r="F111">
        <v>0</v>
      </c>
      <c r="G111">
        <v>0</v>
      </c>
    </row>
    <row r="112" spans="1:7" x14ac:dyDescent="0.45">
      <c r="A112" t="s">
        <v>109</v>
      </c>
      <c r="B112">
        <v>114.9010748</v>
      </c>
      <c r="C112">
        <v>48.68447922</v>
      </c>
      <c r="D112">
        <v>62.631182289999998</v>
      </c>
      <c r="E112">
        <v>0</v>
      </c>
      <c r="F112">
        <v>0</v>
      </c>
      <c r="G112">
        <v>0</v>
      </c>
    </row>
    <row r="113" spans="1:7" x14ac:dyDescent="0.45">
      <c r="A113" t="s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-65.42555179</v>
      </c>
    </row>
    <row r="114" spans="1:7" x14ac:dyDescent="0.45">
      <c r="A114" t="s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-65.098346399999997</v>
      </c>
    </row>
    <row r="115" spans="1:7" x14ac:dyDescent="0.45">
      <c r="A115" t="s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-62.084184120000003</v>
      </c>
    </row>
    <row r="116" spans="1:7" x14ac:dyDescent="0.45">
      <c r="A116" t="s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-62.101250239999999</v>
      </c>
    </row>
    <row r="117" spans="1:7" x14ac:dyDescent="0.45">
      <c r="A117" t="s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-69.101302880000006</v>
      </c>
    </row>
    <row r="118" spans="1:7" x14ac:dyDescent="0.45">
      <c r="A118" t="s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-63.653457520000003</v>
      </c>
    </row>
    <row r="119" spans="1:7" x14ac:dyDescent="0.45">
      <c r="A119" t="s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-65.514169140000007</v>
      </c>
    </row>
    <row r="120" spans="1:7" x14ac:dyDescent="0.45">
      <c r="A120" t="s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71.211736709999997</v>
      </c>
    </row>
    <row r="121" spans="1:7" x14ac:dyDescent="0.45">
      <c r="A121" t="s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-48.763666579999999</v>
      </c>
    </row>
    <row r="122" spans="1:7" x14ac:dyDescent="0.45">
      <c r="A122" t="s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-45.458105209999999</v>
      </c>
    </row>
    <row r="123" spans="1:7" x14ac:dyDescent="0.45">
      <c r="A123" t="s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-70.559253639999994</v>
      </c>
    </row>
    <row r="124" spans="1:7" x14ac:dyDescent="0.45">
      <c r="A124" t="s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-80.060759649999994</v>
      </c>
    </row>
    <row r="125" spans="1:7" x14ac:dyDescent="0.45">
      <c r="A125" t="s">
        <v>122</v>
      </c>
      <c r="B125">
        <v>-103.67145650000001</v>
      </c>
      <c r="C125">
        <v>-31.14032216</v>
      </c>
      <c r="D125">
        <v>-50.937846819999997</v>
      </c>
      <c r="E125">
        <v>0</v>
      </c>
      <c r="F125">
        <v>0</v>
      </c>
      <c r="G125">
        <v>0</v>
      </c>
    </row>
    <row r="126" spans="1:7" x14ac:dyDescent="0.45">
      <c r="A126" t="s">
        <v>123</v>
      </c>
      <c r="B126">
        <v>-83.346466879999994</v>
      </c>
      <c r="C126">
        <v>-35.559339690000002</v>
      </c>
      <c r="D126">
        <v>-35.830362630000003</v>
      </c>
      <c r="E126">
        <v>0</v>
      </c>
      <c r="F126">
        <v>0</v>
      </c>
      <c r="G126">
        <v>0</v>
      </c>
    </row>
    <row r="127" spans="1:7" x14ac:dyDescent="0.45">
      <c r="A127" t="s">
        <v>124</v>
      </c>
      <c r="B127">
        <v>-97.916505520000001</v>
      </c>
      <c r="C127">
        <v>-37.269966840000002</v>
      </c>
      <c r="D127">
        <v>-37.502845479999998</v>
      </c>
      <c r="E127">
        <v>0</v>
      </c>
      <c r="F127">
        <v>0</v>
      </c>
      <c r="G127">
        <v>0</v>
      </c>
    </row>
    <row r="128" spans="1:7" x14ac:dyDescent="0.45">
      <c r="A128" t="s">
        <v>125</v>
      </c>
      <c r="B128">
        <v>-95.190922889999996</v>
      </c>
      <c r="C128">
        <v>-42.595306839999999</v>
      </c>
      <c r="D128">
        <v>-33.659350959999998</v>
      </c>
      <c r="E128">
        <v>0</v>
      </c>
      <c r="F128">
        <v>0</v>
      </c>
      <c r="G128">
        <v>0</v>
      </c>
    </row>
    <row r="129" spans="1:7" x14ac:dyDescent="0.45">
      <c r="A129" t="s">
        <v>126</v>
      </c>
      <c r="B129">
        <v>-103.5679538</v>
      </c>
      <c r="C129">
        <v>-32.161729549999997</v>
      </c>
      <c r="D129">
        <v>-44.143388270000003</v>
      </c>
      <c r="E129">
        <v>0</v>
      </c>
      <c r="F129">
        <v>0</v>
      </c>
      <c r="G129">
        <v>0</v>
      </c>
    </row>
    <row r="130" spans="1:7" x14ac:dyDescent="0.45">
      <c r="A130" t="s">
        <v>168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45">
      <c r="A131" t="s">
        <v>169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45">
      <c r="A132" t="s">
        <v>127</v>
      </c>
      <c r="B132">
        <v>124.1946999</v>
      </c>
      <c r="C132">
        <v>35.659460559999999</v>
      </c>
      <c r="D132">
        <v>35.068289350000001</v>
      </c>
      <c r="E132">
        <v>0</v>
      </c>
      <c r="F132">
        <v>0</v>
      </c>
      <c r="G132">
        <v>0</v>
      </c>
    </row>
    <row r="133" spans="1:7" x14ac:dyDescent="0.45">
      <c r="A133" t="s">
        <v>128</v>
      </c>
      <c r="B133">
        <v>142.944232</v>
      </c>
      <c r="C133">
        <v>33.883402689999997</v>
      </c>
      <c r="D133">
        <v>84.259548370000005</v>
      </c>
      <c r="E133">
        <v>0</v>
      </c>
      <c r="F133">
        <v>0</v>
      </c>
      <c r="G133">
        <v>0</v>
      </c>
    </row>
    <row r="134" spans="1:7" x14ac:dyDescent="0.45">
      <c r="A134" t="s">
        <v>129</v>
      </c>
      <c r="B134">
        <v>142.79397059999999</v>
      </c>
      <c r="C134">
        <v>33.638322799999997</v>
      </c>
      <c r="D134">
        <v>85.302217880000001</v>
      </c>
      <c r="E134">
        <v>0</v>
      </c>
      <c r="F134">
        <v>0</v>
      </c>
      <c r="G134">
        <v>0</v>
      </c>
    </row>
    <row r="135" spans="1:7" x14ac:dyDescent="0.45">
      <c r="A135" t="s">
        <v>130</v>
      </c>
      <c r="B135">
        <v>122.513323</v>
      </c>
      <c r="C135">
        <v>36.487722929999997</v>
      </c>
      <c r="D135">
        <v>36.668350119999999</v>
      </c>
      <c r="E135">
        <v>0</v>
      </c>
      <c r="F135">
        <v>0</v>
      </c>
      <c r="G135">
        <v>0</v>
      </c>
    </row>
    <row r="136" spans="1:7" x14ac:dyDescent="0.45">
      <c r="A136" t="s">
        <v>131</v>
      </c>
      <c r="B136">
        <v>0</v>
      </c>
      <c r="C136">
        <v>0</v>
      </c>
      <c r="D136">
        <v>0</v>
      </c>
      <c r="E136">
        <v>-40.269534700000001</v>
      </c>
      <c r="F136">
        <v>89.584789209999997</v>
      </c>
      <c r="G136">
        <v>0</v>
      </c>
    </row>
    <row r="137" spans="1:7" x14ac:dyDescent="0.45">
      <c r="A137" t="s">
        <v>132</v>
      </c>
      <c r="B137">
        <v>0</v>
      </c>
      <c r="C137">
        <v>0</v>
      </c>
      <c r="D137">
        <v>0</v>
      </c>
      <c r="E137">
        <v>36.360462400000003</v>
      </c>
      <c r="F137">
        <v>-88.836415340000002</v>
      </c>
      <c r="G1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B5AE-09EB-459F-9536-CD8A026D7413}">
  <dimension ref="A1:G137"/>
  <sheetViews>
    <sheetView tabSelected="1" topLeftCell="A136" workbookViewId="0">
      <selection activeCell="A103" sqref="A103:XFD103"/>
    </sheetView>
  </sheetViews>
  <sheetFormatPr defaultRowHeight="14.25" x14ac:dyDescent="0.45"/>
  <sheetData>
    <row r="1" spans="1:7" x14ac:dyDescent="0.4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t="s">
        <v>140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5">
      <c r="A3" t="s">
        <v>141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5">
      <c r="A4" t="s">
        <v>142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5">
      <c r="A5" t="s">
        <v>143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5">
      <c r="A6" t="s">
        <v>144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5">
      <c r="A7" t="s">
        <v>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109.9440254</v>
      </c>
    </row>
    <row r="9" spans="1:7" x14ac:dyDescent="0.45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-109.662586</v>
      </c>
    </row>
    <row r="10" spans="1:7" x14ac:dyDescent="0.45">
      <c r="A10" t="s">
        <v>28</v>
      </c>
      <c r="B10">
        <v>-137.54730559999999</v>
      </c>
      <c r="C10">
        <v>-29.656558220000001</v>
      </c>
      <c r="D10">
        <v>-81.466770629999999</v>
      </c>
      <c r="E10">
        <v>0</v>
      </c>
      <c r="F10">
        <v>0</v>
      </c>
      <c r="G10">
        <v>0</v>
      </c>
    </row>
    <row r="11" spans="1:7" x14ac:dyDescent="0.45">
      <c r="A11" t="s">
        <v>29</v>
      </c>
      <c r="B11">
        <v>-107.1231585</v>
      </c>
      <c r="C11">
        <v>-37.888702879999997</v>
      </c>
      <c r="D11">
        <v>-37.989590890000002</v>
      </c>
      <c r="E11">
        <v>0</v>
      </c>
      <c r="F11">
        <v>0</v>
      </c>
      <c r="G11">
        <v>0</v>
      </c>
    </row>
    <row r="12" spans="1:7" x14ac:dyDescent="0.45">
      <c r="A12" t="s">
        <v>30</v>
      </c>
      <c r="B12">
        <v>-108.06915100000001</v>
      </c>
      <c r="C12">
        <v>-39.5594404</v>
      </c>
      <c r="D12">
        <v>-39.271177960000003</v>
      </c>
      <c r="E12">
        <v>0</v>
      </c>
      <c r="F12">
        <v>0</v>
      </c>
      <c r="G12">
        <v>0</v>
      </c>
    </row>
    <row r="13" spans="1:7" x14ac:dyDescent="0.45">
      <c r="A13" t="s">
        <v>31</v>
      </c>
      <c r="B13">
        <v>-89.597721750000005</v>
      </c>
      <c r="C13">
        <v>-78.324463789999996</v>
      </c>
      <c r="D13">
        <v>-30.61176202</v>
      </c>
      <c r="E13">
        <v>0</v>
      </c>
      <c r="F13">
        <v>0</v>
      </c>
      <c r="G13">
        <v>0</v>
      </c>
    </row>
    <row r="14" spans="1:7" x14ac:dyDescent="0.45">
      <c r="A14" t="s">
        <v>32</v>
      </c>
      <c r="B14">
        <v>101.3209298</v>
      </c>
      <c r="C14">
        <v>40.174198480000001</v>
      </c>
      <c r="D14">
        <v>37.65864698</v>
      </c>
      <c r="E14">
        <v>0</v>
      </c>
      <c r="F14">
        <v>0</v>
      </c>
      <c r="G14">
        <v>0</v>
      </c>
    </row>
    <row r="15" spans="1:7" x14ac:dyDescent="0.4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5">
      <c r="A16" t="s">
        <v>33</v>
      </c>
      <c r="B16">
        <v>-107.6662168</v>
      </c>
      <c r="C16">
        <v>-39.208530160000002</v>
      </c>
      <c r="D16">
        <v>-38.566134060000003</v>
      </c>
      <c r="E16">
        <v>0</v>
      </c>
      <c r="F16">
        <v>0</v>
      </c>
      <c r="G16">
        <v>0</v>
      </c>
    </row>
    <row r="17" spans="1:7" x14ac:dyDescent="0.45">
      <c r="A17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5">
      <c r="A18" t="s">
        <v>148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5">
      <c r="A19" t="s">
        <v>149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5">
      <c r="A20" t="s">
        <v>150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5">
      <c r="A21" t="s">
        <v>151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5">
      <c r="A22" t="s">
        <v>152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5">
      <c r="A23" t="s">
        <v>34</v>
      </c>
      <c r="B23">
        <v>-107.2344183</v>
      </c>
      <c r="C23">
        <v>-56.723790940000001</v>
      </c>
      <c r="D23">
        <v>-39.241813350000001</v>
      </c>
      <c r="E23">
        <v>0</v>
      </c>
      <c r="F23">
        <v>0</v>
      </c>
      <c r="G23">
        <v>0</v>
      </c>
    </row>
    <row r="24" spans="1:7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-36.096077379999997</v>
      </c>
    </row>
    <row r="25" spans="1:7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-30.269808869999999</v>
      </c>
    </row>
    <row r="26" spans="1:7" x14ac:dyDescent="0.4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-31.22013523</v>
      </c>
    </row>
    <row r="27" spans="1:7" x14ac:dyDescent="0.45">
      <c r="A27" t="s">
        <v>38</v>
      </c>
      <c r="B27">
        <v>0</v>
      </c>
      <c r="C27">
        <v>0</v>
      </c>
      <c r="D27">
        <v>0</v>
      </c>
      <c r="E27">
        <v>33.968432810000003</v>
      </c>
      <c r="F27">
        <v>78.054891179999998</v>
      </c>
      <c r="G27">
        <v>0</v>
      </c>
    </row>
    <row r="28" spans="1:7" x14ac:dyDescent="0.45">
      <c r="A28" t="s">
        <v>39</v>
      </c>
      <c r="B28">
        <v>0</v>
      </c>
      <c r="C28">
        <v>0</v>
      </c>
      <c r="D28">
        <v>0</v>
      </c>
      <c r="E28">
        <v>38.178206430000003</v>
      </c>
      <c r="F28">
        <v>79.682424560000001</v>
      </c>
      <c r="G28">
        <v>0</v>
      </c>
    </row>
    <row r="29" spans="1:7" x14ac:dyDescent="0.45">
      <c r="A29" t="s">
        <v>40</v>
      </c>
      <c r="B29">
        <v>0</v>
      </c>
      <c r="C29">
        <v>0</v>
      </c>
      <c r="D29">
        <v>0</v>
      </c>
      <c r="E29">
        <v>37.017099100000003</v>
      </c>
      <c r="F29">
        <v>81.738174670000006</v>
      </c>
      <c r="G29">
        <v>0</v>
      </c>
    </row>
    <row r="30" spans="1:7" x14ac:dyDescent="0.45">
      <c r="A30" t="s">
        <v>41</v>
      </c>
      <c r="B30">
        <v>0</v>
      </c>
      <c r="C30">
        <v>0</v>
      </c>
      <c r="D30">
        <v>0</v>
      </c>
      <c r="E30">
        <v>36.928374509999998</v>
      </c>
      <c r="F30">
        <v>82.419026909999999</v>
      </c>
      <c r="G30">
        <v>0</v>
      </c>
    </row>
    <row r="31" spans="1:7" x14ac:dyDescent="0.45">
      <c r="A31" t="s">
        <v>42</v>
      </c>
      <c r="B31">
        <v>0</v>
      </c>
      <c r="C31">
        <v>0</v>
      </c>
      <c r="D31">
        <v>0</v>
      </c>
      <c r="E31">
        <v>38.25549556</v>
      </c>
      <c r="F31">
        <v>78.354573400000007</v>
      </c>
      <c r="G31">
        <v>0</v>
      </c>
    </row>
    <row r="32" spans="1:7" x14ac:dyDescent="0.45">
      <c r="A32" t="s">
        <v>43</v>
      </c>
      <c r="B32">
        <v>0</v>
      </c>
      <c r="C32">
        <v>0</v>
      </c>
      <c r="D32">
        <v>0</v>
      </c>
      <c r="E32">
        <v>37.839335480000003</v>
      </c>
      <c r="F32">
        <v>79.032111970000003</v>
      </c>
      <c r="G32">
        <v>0</v>
      </c>
    </row>
    <row r="33" spans="1:7" x14ac:dyDescent="0.4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66.827142870000003</v>
      </c>
    </row>
    <row r="34" spans="1:7" x14ac:dyDescent="0.4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-64.064187750000002</v>
      </c>
    </row>
    <row r="35" spans="1:7" x14ac:dyDescent="0.4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-71.23916328</v>
      </c>
    </row>
    <row r="36" spans="1:7" x14ac:dyDescent="0.4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-65.126223440000004</v>
      </c>
    </row>
    <row r="37" spans="1:7" x14ac:dyDescent="0.45">
      <c r="A37" t="s">
        <v>153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5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65.014780110000004</v>
      </c>
    </row>
    <row r="39" spans="1:7" x14ac:dyDescent="0.45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-71.124920099999997</v>
      </c>
    </row>
    <row r="40" spans="1:7" x14ac:dyDescent="0.45">
      <c r="A40" t="s">
        <v>51</v>
      </c>
      <c r="B40">
        <v>-96.806327510000003</v>
      </c>
      <c r="C40">
        <v>-83.254574809999994</v>
      </c>
      <c r="D40">
        <v>-30.277118460000001</v>
      </c>
      <c r="E40">
        <v>0</v>
      </c>
      <c r="F40">
        <v>0</v>
      </c>
      <c r="G40">
        <v>0</v>
      </c>
    </row>
    <row r="41" spans="1:7" x14ac:dyDescent="0.45">
      <c r="A41" t="s">
        <v>154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5">
      <c r="A42" t="s">
        <v>155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5">
      <c r="A43" t="s">
        <v>52</v>
      </c>
      <c r="B43">
        <v>100.18460450000001</v>
      </c>
      <c r="C43">
        <v>46.964837260000003</v>
      </c>
      <c r="D43">
        <v>43.519792219999999</v>
      </c>
      <c r="E43">
        <v>0</v>
      </c>
      <c r="F43">
        <v>0</v>
      </c>
      <c r="G43">
        <v>0</v>
      </c>
    </row>
    <row r="44" spans="1:7" x14ac:dyDescent="0.45">
      <c r="A44" t="s">
        <v>53</v>
      </c>
      <c r="B44">
        <v>100.6524259</v>
      </c>
      <c r="C44">
        <v>47.61971509</v>
      </c>
      <c r="D44">
        <v>49.135718150000002</v>
      </c>
      <c r="E44">
        <v>0</v>
      </c>
      <c r="F44">
        <v>0</v>
      </c>
      <c r="G44">
        <v>0</v>
      </c>
    </row>
    <row r="45" spans="1:7" x14ac:dyDescent="0.45">
      <c r="A45" t="s">
        <v>54</v>
      </c>
      <c r="B45">
        <v>-140.35174129999999</v>
      </c>
      <c r="C45">
        <v>-28.25640598</v>
      </c>
      <c r="D45">
        <v>-83.170979450000004</v>
      </c>
      <c r="E45">
        <v>0</v>
      </c>
      <c r="F45">
        <v>0</v>
      </c>
      <c r="G45">
        <v>0</v>
      </c>
    </row>
    <row r="46" spans="1:7" x14ac:dyDescent="0.45">
      <c r="A46" t="s">
        <v>55</v>
      </c>
      <c r="B46">
        <v>-114.0301832</v>
      </c>
      <c r="C46">
        <v>-33.21150334</v>
      </c>
      <c r="D46">
        <v>-30.382052309999999</v>
      </c>
      <c r="E46">
        <v>0</v>
      </c>
      <c r="F46">
        <v>0</v>
      </c>
      <c r="G46">
        <v>0</v>
      </c>
    </row>
    <row r="47" spans="1:7" x14ac:dyDescent="0.4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65.477147290000005</v>
      </c>
    </row>
    <row r="48" spans="1:7" x14ac:dyDescent="0.45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67.272993619999994</v>
      </c>
    </row>
    <row r="49" spans="1:7" x14ac:dyDescent="0.45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65.944680959999999</v>
      </c>
    </row>
    <row r="50" spans="1:7" x14ac:dyDescent="0.45">
      <c r="A50" t="s">
        <v>59</v>
      </c>
      <c r="B50">
        <v>0</v>
      </c>
      <c r="C50">
        <v>0</v>
      </c>
      <c r="D50">
        <v>0</v>
      </c>
      <c r="E50">
        <v>0</v>
      </c>
      <c r="F50">
        <v>0</v>
      </c>
      <c r="G50">
        <v>66.193383839999996</v>
      </c>
    </row>
    <row r="51" spans="1:7" x14ac:dyDescent="0.45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72.882982350000006</v>
      </c>
    </row>
    <row r="52" spans="1:7" x14ac:dyDescent="0.45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64.605483879999994</v>
      </c>
    </row>
    <row r="53" spans="1:7" x14ac:dyDescent="0.45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66.887185489999993</v>
      </c>
    </row>
    <row r="54" spans="1:7" x14ac:dyDescent="0.45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-72.044757689999997</v>
      </c>
    </row>
    <row r="55" spans="1:7" x14ac:dyDescent="0.45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42.694152699999997</v>
      </c>
    </row>
    <row r="56" spans="1:7" x14ac:dyDescent="0.45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46.288217090000003</v>
      </c>
    </row>
    <row r="57" spans="1:7" x14ac:dyDescent="0.45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67.808386560000002</v>
      </c>
    </row>
    <row r="58" spans="1:7" x14ac:dyDescent="0.45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79.074686270000001</v>
      </c>
    </row>
    <row r="59" spans="1:7" x14ac:dyDescent="0.45">
      <c r="A59" t="s">
        <v>68</v>
      </c>
      <c r="B59">
        <v>0</v>
      </c>
      <c r="C59">
        <v>0</v>
      </c>
      <c r="D59">
        <v>0</v>
      </c>
      <c r="E59">
        <v>-22.78416086</v>
      </c>
      <c r="F59">
        <v>70.726577930000005</v>
      </c>
      <c r="G59">
        <v>0</v>
      </c>
    </row>
    <row r="60" spans="1:7" x14ac:dyDescent="0.45">
      <c r="A60" t="s">
        <v>69</v>
      </c>
      <c r="B60">
        <v>96.028644729999996</v>
      </c>
      <c r="C60">
        <v>40.763772299999999</v>
      </c>
      <c r="D60">
        <v>43.211318140000003</v>
      </c>
      <c r="E60">
        <v>0</v>
      </c>
      <c r="F60">
        <v>0</v>
      </c>
      <c r="G60">
        <v>0</v>
      </c>
    </row>
    <row r="61" spans="1:7" x14ac:dyDescent="0.45">
      <c r="A61" t="s">
        <v>70</v>
      </c>
      <c r="B61">
        <v>85.921376719999998</v>
      </c>
      <c r="C61">
        <v>33.775610309999998</v>
      </c>
      <c r="D61">
        <v>34.536897770000003</v>
      </c>
      <c r="E61">
        <v>0</v>
      </c>
      <c r="F61">
        <v>0</v>
      </c>
      <c r="G61">
        <v>0</v>
      </c>
    </row>
    <row r="62" spans="1:7" x14ac:dyDescent="0.45">
      <c r="A62" t="s">
        <v>71</v>
      </c>
      <c r="B62">
        <v>102.3861189</v>
      </c>
      <c r="C62">
        <v>29.719676230000001</v>
      </c>
      <c r="D62">
        <v>46.645348339999998</v>
      </c>
      <c r="E62">
        <v>0</v>
      </c>
      <c r="F62">
        <v>0</v>
      </c>
      <c r="G62">
        <v>0</v>
      </c>
    </row>
    <row r="63" spans="1:7" x14ac:dyDescent="0.45">
      <c r="A63" t="s">
        <v>72</v>
      </c>
      <c r="B63">
        <v>104.4179979</v>
      </c>
      <c r="C63">
        <v>30.99044984</v>
      </c>
      <c r="D63">
        <v>45.744276999999997</v>
      </c>
      <c r="E63">
        <v>0</v>
      </c>
      <c r="F63">
        <v>0</v>
      </c>
      <c r="G63">
        <v>0</v>
      </c>
    </row>
    <row r="64" spans="1:7" x14ac:dyDescent="0.45">
      <c r="A64" t="s">
        <v>73</v>
      </c>
      <c r="B64">
        <v>93.175336020000003</v>
      </c>
      <c r="C64">
        <v>44.234566039999997</v>
      </c>
      <c r="D64">
        <v>30.671964809999999</v>
      </c>
      <c r="E64">
        <v>0</v>
      </c>
      <c r="F64">
        <v>0</v>
      </c>
      <c r="G64">
        <v>0</v>
      </c>
    </row>
    <row r="65" spans="1:7" x14ac:dyDescent="0.45">
      <c r="A65" t="s">
        <v>156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45">
      <c r="A66" t="s">
        <v>157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45">
      <c r="A67" t="s">
        <v>74</v>
      </c>
      <c r="B67">
        <v>-104.363995</v>
      </c>
      <c r="C67">
        <v>-60.408755810000002</v>
      </c>
      <c r="D67">
        <v>-38.729889399999998</v>
      </c>
      <c r="E67">
        <v>0</v>
      </c>
      <c r="F67">
        <v>0</v>
      </c>
      <c r="G67">
        <v>0</v>
      </c>
    </row>
    <row r="68" spans="1:7" x14ac:dyDescent="0.45">
      <c r="A68" t="s">
        <v>75</v>
      </c>
      <c r="B68">
        <v>-121.5254778</v>
      </c>
      <c r="C68">
        <v>-32.485002719999997</v>
      </c>
      <c r="D68">
        <v>-31.07316239</v>
      </c>
      <c r="E68">
        <v>0</v>
      </c>
      <c r="F68">
        <v>0</v>
      </c>
      <c r="G68">
        <v>0</v>
      </c>
    </row>
    <row r="69" spans="1:7" x14ac:dyDescent="0.45">
      <c r="A69" t="s">
        <v>76</v>
      </c>
      <c r="B69">
        <v>-121.6679827</v>
      </c>
      <c r="C69">
        <v>-33.053818669999998</v>
      </c>
      <c r="D69">
        <v>-31.445310020000001</v>
      </c>
      <c r="E69">
        <v>0</v>
      </c>
      <c r="F69">
        <v>0</v>
      </c>
      <c r="G69">
        <v>0</v>
      </c>
    </row>
    <row r="70" spans="1:7" x14ac:dyDescent="0.45">
      <c r="A70" t="s">
        <v>77</v>
      </c>
      <c r="B70">
        <v>-119.824089</v>
      </c>
      <c r="C70">
        <v>-30.514739200000001</v>
      </c>
      <c r="D70">
        <v>-30.371560519999999</v>
      </c>
      <c r="E70">
        <v>0</v>
      </c>
      <c r="F70">
        <v>0</v>
      </c>
      <c r="G70">
        <v>0</v>
      </c>
    </row>
    <row r="71" spans="1:7" x14ac:dyDescent="0.45">
      <c r="A71" t="s">
        <v>78</v>
      </c>
      <c r="B71">
        <v>0</v>
      </c>
      <c r="C71">
        <v>0</v>
      </c>
      <c r="D71">
        <v>0</v>
      </c>
      <c r="E71">
        <v>28.027106700000001</v>
      </c>
      <c r="F71">
        <v>-71.270701009999996</v>
      </c>
      <c r="G71">
        <v>0</v>
      </c>
    </row>
    <row r="72" spans="1:7" x14ac:dyDescent="0.45">
      <c r="A72" t="s">
        <v>158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45">
      <c r="A73" t="s">
        <v>159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45">
      <c r="A74" t="s">
        <v>160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45">
      <c r="A75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76.893618919999994</v>
      </c>
    </row>
    <row r="76" spans="1:7" x14ac:dyDescent="0.45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-106.10465809999999</v>
      </c>
    </row>
    <row r="77" spans="1:7" x14ac:dyDescent="0.45">
      <c r="A77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111.89603320000001</v>
      </c>
    </row>
    <row r="78" spans="1:7" x14ac:dyDescent="0.45">
      <c r="A78" t="s">
        <v>82</v>
      </c>
      <c r="B78">
        <v>135.28343459999999</v>
      </c>
      <c r="C78">
        <v>28.78687175</v>
      </c>
      <c r="D78">
        <v>75.929943949999995</v>
      </c>
      <c r="E78">
        <v>0</v>
      </c>
      <c r="F78">
        <v>0</v>
      </c>
      <c r="G78">
        <v>0</v>
      </c>
    </row>
    <row r="79" spans="1:7" x14ac:dyDescent="0.45">
      <c r="A79" t="s">
        <v>83</v>
      </c>
      <c r="B79">
        <v>108.7627274</v>
      </c>
      <c r="C79">
        <v>39.787306839999999</v>
      </c>
      <c r="D79">
        <v>40.436893259999998</v>
      </c>
      <c r="E79">
        <v>0</v>
      </c>
      <c r="F79">
        <v>0</v>
      </c>
      <c r="G79">
        <v>0</v>
      </c>
    </row>
    <row r="80" spans="1:7" x14ac:dyDescent="0.45">
      <c r="A80" t="s">
        <v>84</v>
      </c>
      <c r="B80">
        <v>135.3266587</v>
      </c>
      <c r="C80">
        <v>29.247898360000001</v>
      </c>
      <c r="D80">
        <v>76.2705725</v>
      </c>
      <c r="E80">
        <v>0</v>
      </c>
      <c r="F80">
        <v>0</v>
      </c>
      <c r="G80">
        <v>0</v>
      </c>
    </row>
    <row r="81" spans="1:7" x14ac:dyDescent="0.45">
      <c r="A81" t="s">
        <v>85</v>
      </c>
      <c r="B81">
        <v>136.47891670000001</v>
      </c>
      <c r="C81">
        <v>27.612243920000001</v>
      </c>
      <c r="D81">
        <v>76.833045260000006</v>
      </c>
      <c r="E81">
        <v>0</v>
      </c>
      <c r="F81">
        <v>0</v>
      </c>
      <c r="G81">
        <v>0</v>
      </c>
    </row>
    <row r="82" spans="1:7" x14ac:dyDescent="0.45">
      <c r="A82" t="s">
        <v>86</v>
      </c>
      <c r="B82">
        <v>-108.4245047</v>
      </c>
      <c r="C82">
        <v>-35.972344649999997</v>
      </c>
      <c r="D82">
        <v>-45.918938320000002</v>
      </c>
      <c r="E82">
        <v>0</v>
      </c>
      <c r="F82">
        <v>0</v>
      </c>
      <c r="G82">
        <v>0</v>
      </c>
    </row>
    <row r="83" spans="1:7" x14ac:dyDescent="0.45">
      <c r="A83" t="s">
        <v>87</v>
      </c>
      <c r="B83">
        <v>107.6042884</v>
      </c>
      <c r="C83">
        <v>39.271065159999999</v>
      </c>
      <c r="D83">
        <v>38.507304730000001</v>
      </c>
      <c r="E83">
        <v>0</v>
      </c>
      <c r="F83">
        <v>0</v>
      </c>
      <c r="G83">
        <v>0</v>
      </c>
    </row>
    <row r="84" spans="1:7" x14ac:dyDescent="0.45">
      <c r="A84" t="s">
        <v>161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45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45">
      <c r="A86" t="s">
        <v>163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45">
      <c r="A87" t="s">
        <v>164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45">
      <c r="A88" t="s">
        <v>165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45">
      <c r="A89" t="s">
        <v>88</v>
      </c>
      <c r="B89">
        <v>122.7913004</v>
      </c>
      <c r="C89">
        <v>44.345814439999998</v>
      </c>
      <c r="D89">
        <v>57.04281727</v>
      </c>
      <c r="E89">
        <v>0</v>
      </c>
      <c r="F89">
        <v>0</v>
      </c>
      <c r="G89">
        <v>0</v>
      </c>
    </row>
    <row r="90" spans="1:7" x14ac:dyDescent="0.45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36.675754079999997</v>
      </c>
    </row>
    <row r="91" spans="1:7" x14ac:dyDescent="0.4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34.175283989999997</v>
      </c>
    </row>
    <row r="92" spans="1:7" x14ac:dyDescent="0.45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30.66887672</v>
      </c>
    </row>
    <row r="93" spans="1:7" x14ac:dyDescent="0.45">
      <c r="A93" t="s">
        <v>92</v>
      </c>
      <c r="B93">
        <v>0</v>
      </c>
      <c r="C93">
        <v>0</v>
      </c>
      <c r="D93">
        <v>0</v>
      </c>
      <c r="E93">
        <v>-33.34454101</v>
      </c>
      <c r="F93">
        <v>-78.200973629999993</v>
      </c>
      <c r="G93">
        <v>0</v>
      </c>
    </row>
    <row r="94" spans="1:7" x14ac:dyDescent="0.45">
      <c r="A94" t="s">
        <v>93</v>
      </c>
      <c r="B94">
        <v>0</v>
      </c>
      <c r="C94">
        <v>0</v>
      </c>
      <c r="D94">
        <v>0</v>
      </c>
      <c r="E94">
        <v>-38.199515839999997</v>
      </c>
      <c r="F94">
        <v>-80.841445770000007</v>
      </c>
      <c r="G94">
        <v>0</v>
      </c>
    </row>
    <row r="95" spans="1:7" x14ac:dyDescent="0.45">
      <c r="A95" t="s">
        <v>94</v>
      </c>
      <c r="B95">
        <v>0</v>
      </c>
      <c r="C95">
        <v>0</v>
      </c>
      <c r="D95">
        <v>0</v>
      </c>
      <c r="E95">
        <v>-37.207981439999998</v>
      </c>
      <c r="F95">
        <v>-82.221115870000006</v>
      </c>
      <c r="G95">
        <v>0</v>
      </c>
    </row>
    <row r="96" spans="1:7" x14ac:dyDescent="0.45">
      <c r="A96" t="s">
        <v>95</v>
      </c>
      <c r="B96">
        <v>0</v>
      </c>
      <c r="C96">
        <v>0</v>
      </c>
      <c r="D96">
        <v>0</v>
      </c>
      <c r="E96">
        <v>-32.43160408</v>
      </c>
      <c r="F96">
        <v>-84.149191689999995</v>
      </c>
      <c r="G96">
        <v>0</v>
      </c>
    </row>
    <row r="97" spans="1:7" x14ac:dyDescent="0.45">
      <c r="A97" t="s">
        <v>96</v>
      </c>
      <c r="B97">
        <v>0</v>
      </c>
      <c r="C97">
        <v>0</v>
      </c>
      <c r="D97">
        <v>0</v>
      </c>
      <c r="E97">
        <v>-39.090436050000001</v>
      </c>
      <c r="F97">
        <v>-79.785363140000001</v>
      </c>
      <c r="G97">
        <v>0</v>
      </c>
    </row>
    <row r="98" spans="1:7" x14ac:dyDescent="0.45">
      <c r="A98" t="s">
        <v>97</v>
      </c>
      <c r="B98">
        <v>0</v>
      </c>
      <c r="C98">
        <v>0</v>
      </c>
      <c r="D98">
        <v>0</v>
      </c>
      <c r="E98">
        <v>-36.164909479999999</v>
      </c>
      <c r="F98">
        <v>-79.172936239999999</v>
      </c>
      <c r="G98">
        <v>0</v>
      </c>
    </row>
    <row r="99" spans="1:7" x14ac:dyDescent="0.4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-72.452005990000004</v>
      </c>
    </row>
    <row r="100" spans="1:7" x14ac:dyDescent="0.45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-67.416329239999996</v>
      </c>
    </row>
    <row r="101" spans="1:7" x14ac:dyDescent="0.45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68.670910800000001</v>
      </c>
    </row>
    <row r="102" spans="1:7" x14ac:dyDescent="0.45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94.693264249999999</v>
      </c>
    </row>
    <row r="103" spans="1:7" x14ac:dyDescent="0.4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-70.77694588</v>
      </c>
    </row>
    <row r="104" spans="1:7" x14ac:dyDescent="0.45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70.574351919999998</v>
      </c>
    </row>
    <row r="105" spans="1:7" x14ac:dyDescent="0.45">
      <c r="A105" t="s">
        <v>104</v>
      </c>
      <c r="B105">
        <v>140.1015166</v>
      </c>
      <c r="C105">
        <v>30.34600932</v>
      </c>
      <c r="D105">
        <v>75.80605826</v>
      </c>
      <c r="E105">
        <v>0</v>
      </c>
      <c r="F105">
        <v>0</v>
      </c>
      <c r="G105">
        <v>0</v>
      </c>
    </row>
    <row r="106" spans="1:7" x14ac:dyDescent="0.45">
      <c r="A106" t="s">
        <v>166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45">
      <c r="A107" t="s">
        <v>167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45">
      <c r="A108" t="s">
        <v>105</v>
      </c>
      <c r="B108">
        <v>-103.1195111</v>
      </c>
      <c r="C108">
        <v>-45.120086309999998</v>
      </c>
      <c r="D108">
        <v>-46.161838430000003</v>
      </c>
      <c r="E108">
        <v>0</v>
      </c>
      <c r="F108">
        <v>0</v>
      </c>
      <c r="G108">
        <v>0</v>
      </c>
    </row>
    <row r="109" spans="1:7" x14ac:dyDescent="0.45">
      <c r="A109" t="s">
        <v>106</v>
      </c>
      <c r="B109">
        <v>-105.7763174</v>
      </c>
      <c r="C109">
        <v>-44.06432307</v>
      </c>
      <c r="D109">
        <v>-44.785748669999997</v>
      </c>
      <c r="E109">
        <v>0</v>
      </c>
      <c r="F109">
        <v>0</v>
      </c>
      <c r="G109">
        <v>0</v>
      </c>
    </row>
    <row r="110" spans="1:7" x14ac:dyDescent="0.45">
      <c r="A110" t="s">
        <v>107</v>
      </c>
      <c r="B110">
        <v>-134.3867678</v>
      </c>
      <c r="C110">
        <v>-31.16204999</v>
      </c>
      <c r="D110">
        <v>-86.063813179999997</v>
      </c>
      <c r="E110">
        <v>0</v>
      </c>
      <c r="F110">
        <v>0</v>
      </c>
      <c r="G110">
        <v>0</v>
      </c>
    </row>
    <row r="111" spans="1:7" x14ac:dyDescent="0.45">
      <c r="A111" t="s">
        <v>108</v>
      </c>
      <c r="B111">
        <v>123.084203</v>
      </c>
      <c r="C111">
        <v>34.761996860000004</v>
      </c>
      <c r="D111">
        <v>34.995808259999997</v>
      </c>
      <c r="E111">
        <v>0</v>
      </c>
      <c r="F111">
        <v>0</v>
      </c>
      <c r="G111">
        <v>0</v>
      </c>
    </row>
    <row r="112" spans="1:7" x14ac:dyDescent="0.45">
      <c r="A112" t="s">
        <v>109</v>
      </c>
      <c r="B112">
        <v>111.7410046</v>
      </c>
      <c r="C112">
        <v>40.982852110000003</v>
      </c>
      <c r="D112">
        <v>60.0908637</v>
      </c>
      <c r="E112">
        <v>0</v>
      </c>
      <c r="F112">
        <v>0</v>
      </c>
      <c r="G112">
        <v>0</v>
      </c>
    </row>
    <row r="113" spans="1:7" x14ac:dyDescent="0.45">
      <c r="A113" t="s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-66.766640659999993</v>
      </c>
    </row>
    <row r="114" spans="1:7" x14ac:dyDescent="0.45">
      <c r="A114" t="s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-65.088754589999994</v>
      </c>
    </row>
    <row r="115" spans="1:7" x14ac:dyDescent="0.45">
      <c r="A115" t="s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-63.223166200000001</v>
      </c>
    </row>
    <row r="116" spans="1:7" x14ac:dyDescent="0.45">
      <c r="A116" t="s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-63.769162719999997</v>
      </c>
    </row>
    <row r="117" spans="1:7" x14ac:dyDescent="0.45">
      <c r="A117" t="s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-71.90881727</v>
      </c>
    </row>
    <row r="118" spans="1:7" x14ac:dyDescent="0.45">
      <c r="A118" t="s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-67.027318159999993</v>
      </c>
    </row>
    <row r="119" spans="1:7" x14ac:dyDescent="0.45">
      <c r="A119" t="s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-69.712533190000002</v>
      </c>
    </row>
    <row r="120" spans="1:7" x14ac:dyDescent="0.45">
      <c r="A120" t="s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72.974443519999994</v>
      </c>
    </row>
    <row r="121" spans="1:7" x14ac:dyDescent="0.45">
      <c r="A121" t="s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-44.247862220000002</v>
      </c>
    </row>
    <row r="122" spans="1:7" x14ac:dyDescent="0.45">
      <c r="A122" t="s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-41.947072800000001</v>
      </c>
    </row>
    <row r="123" spans="1:7" x14ac:dyDescent="0.45">
      <c r="A123" t="s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-67.821517020000002</v>
      </c>
    </row>
    <row r="124" spans="1:7" x14ac:dyDescent="0.45">
      <c r="A124" t="s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-79.932598299999995</v>
      </c>
    </row>
    <row r="125" spans="1:7" x14ac:dyDescent="0.45">
      <c r="A125" t="s">
        <v>122</v>
      </c>
      <c r="B125">
        <v>-85.526271109999996</v>
      </c>
      <c r="C125">
        <v>-31.620045659999999</v>
      </c>
      <c r="D125">
        <v>-35.626947250000001</v>
      </c>
      <c r="E125">
        <v>0</v>
      </c>
      <c r="F125">
        <v>0</v>
      </c>
      <c r="G125">
        <v>0</v>
      </c>
    </row>
    <row r="126" spans="1:7" x14ac:dyDescent="0.45">
      <c r="A126" t="s">
        <v>123</v>
      </c>
      <c r="B126">
        <v>-85.848333879999998</v>
      </c>
      <c r="C126">
        <v>-31.64916388</v>
      </c>
      <c r="D126">
        <v>-36.56049161</v>
      </c>
      <c r="E126">
        <v>0</v>
      </c>
      <c r="F126">
        <v>0</v>
      </c>
      <c r="G126">
        <v>0</v>
      </c>
    </row>
    <row r="127" spans="1:7" x14ac:dyDescent="0.45">
      <c r="A127" t="s">
        <v>124</v>
      </c>
      <c r="B127">
        <v>-99.919215080000001</v>
      </c>
      <c r="C127">
        <v>-34.647302510000003</v>
      </c>
      <c r="D127">
        <v>-38.116941560000001</v>
      </c>
      <c r="E127">
        <v>0</v>
      </c>
      <c r="F127">
        <v>0</v>
      </c>
      <c r="G127">
        <v>0</v>
      </c>
    </row>
    <row r="128" spans="1:7" x14ac:dyDescent="0.45">
      <c r="A128" t="s">
        <v>125</v>
      </c>
      <c r="B128">
        <v>-93.18230355</v>
      </c>
      <c r="C128">
        <v>-41.503978340000003</v>
      </c>
      <c r="D128">
        <v>-30.318976119999999</v>
      </c>
      <c r="E128">
        <v>0</v>
      </c>
      <c r="F128">
        <v>0</v>
      </c>
      <c r="G128">
        <v>0</v>
      </c>
    </row>
    <row r="129" spans="1:7" x14ac:dyDescent="0.45">
      <c r="A129" t="s">
        <v>126</v>
      </c>
      <c r="B129">
        <v>-103.6989777</v>
      </c>
      <c r="C129">
        <v>-28.600327230000001</v>
      </c>
      <c r="D129">
        <v>-49.227125540000003</v>
      </c>
      <c r="E129">
        <v>0</v>
      </c>
      <c r="F129">
        <v>0</v>
      </c>
      <c r="G129">
        <v>0</v>
      </c>
    </row>
    <row r="130" spans="1:7" x14ac:dyDescent="0.45">
      <c r="A130" t="s">
        <v>168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45">
      <c r="A131" t="s">
        <v>169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45">
      <c r="A132" t="s">
        <v>127</v>
      </c>
      <c r="B132">
        <v>127.35483050000001</v>
      </c>
      <c r="C132">
        <v>36.272188739999997</v>
      </c>
      <c r="D132">
        <v>51.295449910000002</v>
      </c>
      <c r="E132">
        <v>0</v>
      </c>
      <c r="F132">
        <v>0</v>
      </c>
      <c r="G132">
        <v>0</v>
      </c>
    </row>
    <row r="133" spans="1:7" x14ac:dyDescent="0.45">
      <c r="A133" t="s">
        <v>128</v>
      </c>
      <c r="B133">
        <v>141.64866549999999</v>
      </c>
      <c r="C133">
        <v>31.524562400000001</v>
      </c>
      <c r="D133">
        <v>77.281162969999997</v>
      </c>
      <c r="E133">
        <v>0</v>
      </c>
      <c r="F133">
        <v>0</v>
      </c>
      <c r="G133">
        <v>0</v>
      </c>
    </row>
    <row r="134" spans="1:7" x14ac:dyDescent="0.45">
      <c r="A134" t="s">
        <v>129</v>
      </c>
      <c r="B134">
        <v>126.6069408</v>
      </c>
      <c r="C134">
        <v>40.622704579999997</v>
      </c>
      <c r="D134">
        <v>61.982182950000002</v>
      </c>
      <c r="E134">
        <v>0</v>
      </c>
      <c r="F134">
        <v>0</v>
      </c>
      <c r="G134">
        <v>0</v>
      </c>
    </row>
    <row r="135" spans="1:7" x14ac:dyDescent="0.45">
      <c r="A135" t="s">
        <v>130</v>
      </c>
      <c r="B135">
        <v>125.39592690000001</v>
      </c>
      <c r="C135">
        <v>32.701005430000002</v>
      </c>
      <c r="D135">
        <v>42.022386879999999</v>
      </c>
      <c r="E135">
        <v>0</v>
      </c>
      <c r="F135">
        <v>0</v>
      </c>
      <c r="G135">
        <v>0</v>
      </c>
    </row>
    <row r="136" spans="1:7" x14ac:dyDescent="0.45">
      <c r="A136" t="s">
        <v>131</v>
      </c>
      <c r="B136">
        <v>0</v>
      </c>
      <c r="C136">
        <v>0</v>
      </c>
      <c r="D136">
        <v>0</v>
      </c>
      <c r="E136">
        <v>-19.230590549999999</v>
      </c>
      <c r="F136">
        <v>76.56672863</v>
      </c>
      <c r="G136">
        <v>0</v>
      </c>
    </row>
    <row r="137" spans="1:7" x14ac:dyDescent="0.45">
      <c r="A137" t="s">
        <v>132</v>
      </c>
      <c r="B137">
        <v>0</v>
      </c>
      <c r="C137">
        <v>0</v>
      </c>
      <c r="D137">
        <v>0</v>
      </c>
      <c r="E137">
        <v>17.330626519999999</v>
      </c>
      <c r="F137">
        <v>-75.620056219999995</v>
      </c>
      <c r="G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xTB vs DFT D_spirodiimine</vt:lpstr>
      <vt:lpstr>xTB vs DFT D_SPSiBox</vt:lpstr>
      <vt:lpstr>xTB vs DFT D_spiroBox</vt:lpstr>
      <vt:lpstr>xTB vs DFT D_biimidazole</vt:lpstr>
      <vt:lpstr>xTB vs DFT ACBP</vt:lpstr>
      <vt:lpstr>xTB vs DFT Binol</vt:lpstr>
      <vt:lpstr>Bipyridine-n,n'-dioxide</vt:lpstr>
      <vt:lpstr>Binaphthyl derivatives</vt:lpstr>
      <vt:lpstr>all dft dihedral angles</vt:lpstr>
      <vt:lpstr>all xTB dihedral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2026-06-08T11:48:52Z</dcterms:modified>
</cp:coreProperties>
</file>