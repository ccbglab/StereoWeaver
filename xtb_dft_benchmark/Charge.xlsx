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2338" documentId="13_ncr:1_{C2F42A1A-F3AD-459C-B9F6-1A17F21557F3}" xr6:coauthVersionLast="47" xr6:coauthVersionMax="47" xr10:uidLastSave="{0256ACB4-C566-4C84-8184-2560B435A5D4}"/>
  <bookViews>
    <workbookView xWindow="-98" yWindow="-98" windowWidth="19396" windowHeight="11596" activeTab="3" xr2:uid="{00000000-000D-0000-FFFF-FFFF00000000}"/>
  </bookViews>
  <sheets>
    <sheet name="xTB vs DFT q0" sheetId="34" r:id="rId1"/>
    <sheet name="xTB vs DFT q3" sheetId="29" r:id="rId2"/>
    <sheet name="xTB vs DFT q1" sheetId="32" r:id="rId3"/>
    <sheet name="xTB vs DFT q2" sheetId="3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0" i="34" l="1"/>
  <c r="I139" i="34"/>
  <c r="C140" i="34"/>
  <c r="B140" i="34"/>
  <c r="C139" i="34"/>
  <c r="B139" i="34"/>
  <c r="D137" i="34"/>
  <c r="D136" i="34"/>
  <c r="D135" i="34"/>
  <c r="D134" i="34"/>
  <c r="D133" i="34"/>
  <c r="D132" i="34"/>
  <c r="D131" i="34"/>
  <c r="D130" i="34"/>
  <c r="D129" i="34"/>
  <c r="D128" i="34"/>
  <c r="D127" i="34"/>
  <c r="D126" i="34"/>
  <c r="D125" i="34"/>
  <c r="D124" i="34"/>
  <c r="D123" i="34"/>
  <c r="D122" i="34"/>
  <c r="D121" i="34"/>
  <c r="D120" i="34"/>
  <c r="D119" i="34"/>
  <c r="D118" i="34"/>
  <c r="D117" i="34"/>
  <c r="D116" i="34"/>
  <c r="D115" i="34"/>
  <c r="D114" i="34"/>
  <c r="D113" i="34"/>
  <c r="D112" i="34"/>
  <c r="D111" i="34"/>
  <c r="D110" i="34"/>
  <c r="D109" i="34"/>
  <c r="D108" i="34"/>
  <c r="D107" i="34"/>
  <c r="D106" i="34"/>
  <c r="D105" i="34"/>
  <c r="D104" i="34"/>
  <c r="D103" i="34"/>
  <c r="D102" i="34"/>
  <c r="D101" i="34"/>
  <c r="D100" i="34"/>
  <c r="D99" i="34"/>
  <c r="D98" i="34"/>
  <c r="D97" i="34"/>
  <c r="D96" i="34"/>
  <c r="D95" i="34"/>
  <c r="D94" i="34"/>
  <c r="D93" i="34"/>
  <c r="D92" i="34"/>
  <c r="D91" i="34"/>
  <c r="D90" i="34"/>
  <c r="D89" i="34"/>
  <c r="D88" i="34"/>
  <c r="D87" i="34"/>
  <c r="D86" i="34"/>
  <c r="D85" i="34"/>
  <c r="D84" i="34"/>
  <c r="D83" i="34"/>
  <c r="D82" i="34"/>
  <c r="D81" i="34"/>
  <c r="D80" i="34"/>
  <c r="D79" i="34"/>
  <c r="D78" i="34"/>
  <c r="D77" i="34"/>
  <c r="D76" i="34"/>
  <c r="D75" i="34"/>
  <c r="D74" i="34"/>
  <c r="D73" i="34"/>
  <c r="D72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E48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D3" i="34"/>
  <c r="G2" i="34"/>
  <c r="D2" i="34"/>
  <c r="D73" i="33"/>
  <c r="E73" i="33"/>
  <c r="D74" i="33"/>
  <c r="E74" i="33"/>
  <c r="D6" i="33"/>
  <c r="D36" i="33"/>
  <c r="D25" i="33"/>
  <c r="D13" i="33"/>
  <c r="D132" i="33"/>
  <c r="D133" i="33"/>
  <c r="D134" i="33"/>
  <c r="D135" i="33"/>
  <c r="C138" i="33"/>
  <c r="B138" i="33"/>
  <c r="C137" i="33"/>
  <c r="B137" i="33"/>
  <c r="D16" i="32"/>
  <c r="D75" i="32"/>
  <c r="D19" i="32"/>
  <c r="D21" i="32"/>
  <c r="E21" i="32"/>
  <c r="D6" i="32"/>
  <c r="D22" i="32"/>
  <c r="C140" i="32"/>
  <c r="C139" i="32"/>
  <c r="B140" i="32"/>
  <c r="B139" i="32"/>
  <c r="D134" i="32"/>
  <c r="D135" i="32"/>
  <c r="D136" i="32"/>
  <c r="D137" i="32"/>
  <c r="C140" i="29"/>
  <c r="C139" i="29"/>
  <c r="B140" i="29"/>
  <c r="B139" i="29"/>
  <c r="F138" i="29"/>
  <c r="E138" i="29"/>
  <c r="D138" i="29"/>
  <c r="F134" i="29"/>
  <c r="F135" i="29"/>
  <c r="F136" i="29"/>
  <c r="F137" i="29"/>
  <c r="E134" i="29"/>
  <c r="E135" i="29"/>
  <c r="E136" i="29"/>
  <c r="E137" i="29"/>
  <c r="D134" i="29"/>
  <c r="D135" i="29"/>
  <c r="D136" i="29"/>
  <c r="D137" i="29"/>
  <c r="D131" i="33"/>
  <c r="D130" i="33"/>
  <c r="D129" i="33"/>
  <c r="D128" i="33"/>
  <c r="D127" i="33"/>
  <c r="D126" i="33"/>
  <c r="D125" i="33"/>
  <c r="D124" i="33"/>
  <c r="D123" i="33"/>
  <c r="D122" i="33"/>
  <c r="D121" i="33"/>
  <c r="D120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5" i="33"/>
  <c r="D34" i="33"/>
  <c r="D33" i="33"/>
  <c r="D32" i="33"/>
  <c r="D31" i="33"/>
  <c r="D30" i="33"/>
  <c r="D29" i="33"/>
  <c r="D28" i="33"/>
  <c r="D27" i="33"/>
  <c r="D26" i="33"/>
  <c r="D24" i="33"/>
  <c r="D23" i="33"/>
  <c r="D22" i="33"/>
  <c r="D21" i="33"/>
  <c r="D20" i="33"/>
  <c r="D19" i="33"/>
  <c r="D18" i="33"/>
  <c r="D17" i="33"/>
  <c r="D16" i="33"/>
  <c r="D15" i="33"/>
  <c r="D14" i="33"/>
  <c r="D12" i="33"/>
  <c r="D11" i="33"/>
  <c r="D10" i="33"/>
  <c r="D9" i="33"/>
  <c r="D8" i="33"/>
  <c r="D7" i="33"/>
  <c r="D5" i="33"/>
  <c r="D4" i="33"/>
  <c r="D3" i="33"/>
  <c r="G2" i="33"/>
  <c r="D2" i="33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0" i="32"/>
  <c r="D18" i="32"/>
  <c r="D17" i="32"/>
  <c r="D15" i="32"/>
  <c r="D14" i="32"/>
  <c r="D13" i="32"/>
  <c r="D12" i="32"/>
  <c r="D11" i="32"/>
  <c r="D10" i="32"/>
  <c r="D9" i="32"/>
  <c r="D8" i="32"/>
  <c r="D7" i="32"/>
  <c r="D5" i="32"/>
  <c r="D4" i="32"/>
  <c r="D3" i="32"/>
  <c r="G2" i="32"/>
  <c r="D2" i="32"/>
  <c r="D37" i="29"/>
  <c r="E37" i="29"/>
  <c r="D31" i="29"/>
  <c r="D89" i="29"/>
  <c r="D91" i="29"/>
  <c r="D104" i="29"/>
  <c r="D101" i="29"/>
  <c r="D26" i="29"/>
  <c r="D17" i="29"/>
  <c r="D13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3" i="29"/>
  <c r="D102" i="29"/>
  <c r="D100" i="29"/>
  <c r="D99" i="29"/>
  <c r="D98" i="29"/>
  <c r="D97" i="29"/>
  <c r="D96" i="29"/>
  <c r="D95" i="29"/>
  <c r="D94" i="29"/>
  <c r="D93" i="29"/>
  <c r="D92" i="29"/>
  <c r="D90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6" i="29"/>
  <c r="D35" i="29"/>
  <c r="D34" i="29"/>
  <c r="D33" i="29"/>
  <c r="D32" i="29"/>
  <c r="D30" i="29"/>
  <c r="D29" i="29"/>
  <c r="D28" i="29"/>
  <c r="D27" i="29"/>
  <c r="D25" i="29"/>
  <c r="D24" i="29"/>
  <c r="D23" i="29"/>
  <c r="D22" i="29"/>
  <c r="D21" i="29"/>
  <c r="D20" i="29"/>
  <c r="D19" i="29"/>
  <c r="D18" i="29"/>
  <c r="D16" i="29"/>
  <c r="D15" i="29"/>
  <c r="D14" i="29"/>
  <c r="D12" i="29"/>
  <c r="D11" i="29"/>
  <c r="D10" i="29"/>
  <c r="D9" i="29"/>
  <c r="D8" i="29"/>
  <c r="D7" i="29"/>
  <c r="D6" i="29"/>
  <c r="D5" i="29"/>
  <c r="D4" i="29"/>
  <c r="D3" i="29"/>
  <c r="G2" i="29"/>
  <c r="D2" i="29"/>
  <c r="E39" i="34" l="1"/>
  <c r="E130" i="34"/>
  <c r="E38" i="34"/>
  <c r="F38" i="34" s="1"/>
  <c r="E37" i="34"/>
  <c r="F37" i="34" s="1"/>
  <c r="E36" i="34"/>
  <c r="F36" i="34" s="1"/>
  <c r="E35" i="34"/>
  <c r="F35" i="34" s="1"/>
  <c r="E34" i="34"/>
  <c r="F34" i="34" s="1"/>
  <c r="E33" i="34"/>
  <c r="F33" i="34" s="1"/>
  <c r="E32" i="34"/>
  <c r="F32" i="34" s="1"/>
  <c r="E31" i="34"/>
  <c r="F31" i="34" s="1"/>
  <c r="E30" i="34"/>
  <c r="F30" i="34" s="1"/>
  <c r="E29" i="34"/>
  <c r="F29" i="34" s="1"/>
  <c r="E28" i="34"/>
  <c r="F28" i="34" s="1"/>
  <c r="E27" i="34"/>
  <c r="F27" i="34" s="1"/>
  <c r="E26" i="34"/>
  <c r="F26" i="34" s="1"/>
  <c r="E25" i="34"/>
  <c r="F25" i="34" s="1"/>
  <c r="E24" i="34"/>
  <c r="F24" i="34" s="1"/>
  <c r="E23" i="34"/>
  <c r="F23" i="34" s="1"/>
  <c r="E22" i="34"/>
  <c r="F22" i="34" s="1"/>
  <c r="E21" i="34"/>
  <c r="F21" i="34" s="1"/>
  <c r="E20" i="34"/>
  <c r="F20" i="34" s="1"/>
  <c r="E19" i="34"/>
  <c r="F19" i="34" s="1"/>
  <c r="E18" i="34"/>
  <c r="F18" i="34" s="1"/>
  <c r="E17" i="34"/>
  <c r="F17" i="34" s="1"/>
  <c r="E16" i="34"/>
  <c r="F16" i="34" s="1"/>
  <c r="E10" i="34"/>
  <c r="F10" i="34" s="1"/>
  <c r="E7" i="34"/>
  <c r="F7" i="34" s="1"/>
  <c r="E5" i="34"/>
  <c r="F5" i="34" s="1"/>
  <c r="E114" i="34"/>
  <c r="F114" i="34" s="1"/>
  <c r="E103" i="34"/>
  <c r="F103" i="34" s="1"/>
  <c r="E102" i="34"/>
  <c r="F102" i="34" s="1"/>
  <c r="E99" i="34"/>
  <c r="F99" i="34" s="1"/>
  <c r="E91" i="34"/>
  <c r="F91" i="34" s="1"/>
  <c r="E88" i="34"/>
  <c r="F88" i="34" s="1"/>
  <c r="E85" i="34"/>
  <c r="F85" i="34" s="1"/>
  <c r="E76" i="34"/>
  <c r="F76" i="34" s="1"/>
  <c r="E74" i="34"/>
  <c r="F74" i="34" s="1"/>
  <c r="E66" i="34"/>
  <c r="F66" i="34" s="1"/>
  <c r="F48" i="34"/>
  <c r="E40" i="34"/>
  <c r="F40" i="34" s="1"/>
  <c r="E6" i="34"/>
  <c r="F6" i="34" s="1"/>
  <c r="E4" i="34"/>
  <c r="F4" i="34" s="1"/>
  <c r="E127" i="34"/>
  <c r="F127" i="34" s="1"/>
  <c r="E126" i="34"/>
  <c r="F126" i="34" s="1"/>
  <c r="E116" i="34"/>
  <c r="F116" i="34" s="1"/>
  <c r="E113" i="34"/>
  <c r="F113" i="34" s="1"/>
  <c r="E110" i="34"/>
  <c r="F110" i="34" s="1"/>
  <c r="E109" i="34"/>
  <c r="F109" i="34" s="1"/>
  <c r="E104" i="34"/>
  <c r="F104" i="34" s="1"/>
  <c r="E100" i="34"/>
  <c r="F100" i="34" s="1"/>
  <c r="E97" i="34"/>
  <c r="F97" i="34" s="1"/>
  <c r="E94" i="34"/>
  <c r="F94" i="34" s="1"/>
  <c r="E93" i="34"/>
  <c r="F93" i="34" s="1"/>
  <c r="E87" i="34"/>
  <c r="F87" i="34" s="1"/>
  <c r="E79" i="34"/>
  <c r="F79" i="34" s="1"/>
  <c r="E78" i="34"/>
  <c r="F78" i="34" s="1"/>
  <c r="E71" i="34"/>
  <c r="F71" i="34" s="1"/>
  <c r="E70" i="34"/>
  <c r="F70" i="34" s="1"/>
  <c r="E65" i="34"/>
  <c r="F65" i="34" s="1"/>
  <c r="E62" i="34"/>
  <c r="F62" i="34" s="1"/>
  <c r="E53" i="34"/>
  <c r="F53" i="34" s="1"/>
  <c r="E50" i="34"/>
  <c r="F50" i="34" s="1"/>
  <c r="E47" i="34"/>
  <c r="F47" i="34" s="1"/>
  <c r="E43" i="34"/>
  <c r="F43" i="34" s="1"/>
  <c r="E42" i="34"/>
  <c r="F42" i="34" s="1"/>
  <c r="E41" i="34"/>
  <c r="F41" i="34" s="1"/>
  <c r="E14" i="34"/>
  <c r="F14" i="34" s="1"/>
  <c r="E13" i="34"/>
  <c r="F13" i="34" s="1"/>
  <c r="E135" i="34"/>
  <c r="F135" i="34" s="1"/>
  <c r="E134" i="34"/>
  <c r="F134" i="34" s="1"/>
  <c r="E133" i="34"/>
  <c r="F133" i="34" s="1"/>
  <c r="E132" i="34"/>
  <c r="F132" i="34" s="1"/>
  <c r="E131" i="34"/>
  <c r="F131" i="34" s="1"/>
  <c r="E129" i="34"/>
  <c r="F129" i="34" s="1"/>
  <c r="E128" i="34"/>
  <c r="F128" i="34" s="1"/>
  <c r="E122" i="34"/>
  <c r="F122" i="34" s="1"/>
  <c r="E119" i="34"/>
  <c r="F119" i="34" s="1"/>
  <c r="E118" i="34"/>
  <c r="F118" i="34" s="1"/>
  <c r="E117" i="34"/>
  <c r="F117" i="34" s="1"/>
  <c r="E111" i="34"/>
  <c r="F111" i="34" s="1"/>
  <c r="E107" i="34"/>
  <c r="F107" i="34" s="1"/>
  <c r="E106" i="34"/>
  <c r="F106" i="34" s="1"/>
  <c r="E96" i="34"/>
  <c r="F96" i="34" s="1"/>
  <c r="E92" i="34"/>
  <c r="F92" i="34" s="1"/>
  <c r="E90" i="34"/>
  <c r="F90" i="34" s="1"/>
  <c r="E80" i="34"/>
  <c r="F80" i="34" s="1"/>
  <c r="E77" i="34"/>
  <c r="F77" i="34" s="1"/>
  <c r="E68" i="34"/>
  <c r="F68" i="34" s="1"/>
  <c r="E63" i="34"/>
  <c r="F63" i="34" s="1"/>
  <c r="E60" i="34"/>
  <c r="F60" i="34" s="1"/>
  <c r="E58" i="34"/>
  <c r="F58" i="34" s="1"/>
  <c r="E52" i="34"/>
  <c r="F52" i="34" s="1"/>
  <c r="E49" i="34"/>
  <c r="F49" i="34" s="1"/>
  <c r="E45" i="34"/>
  <c r="F45" i="34" s="1"/>
  <c r="E44" i="34"/>
  <c r="F44" i="34" s="1"/>
  <c r="E12" i="34"/>
  <c r="F12" i="34" s="1"/>
  <c r="E11" i="34"/>
  <c r="F11" i="34" s="1"/>
  <c r="H2" i="34"/>
  <c r="E137" i="34"/>
  <c r="F137" i="34" s="1"/>
  <c r="E136" i="34"/>
  <c r="F136" i="34" s="1"/>
  <c r="E125" i="34"/>
  <c r="F125" i="34" s="1"/>
  <c r="E124" i="34"/>
  <c r="F124" i="34" s="1"/>
  <c r="E123" i="34"/>
  <c r="F123" i="34" s="1"/>
  <c r="E121" i="34"/>
  <c r="F121" i="34" s="1"/>
  <c r="E98" i="34"/>
  <c r="F98" i="34" s="1"/>
  <c r="E84" i="34"/>
  <c r="F84" i="34" s="1"/>
  <c r="E81" i="34"/>
  <c r="F81" i="34" s="1"/>
  <c r="E73" i="34"/>
  <c r="F73" i="34" s="1"/>
  <c r="E67" i="34"/>
  <c r="F67" i="34" s="1"/>
  <c r="E59" i="34"/>
  <c r="F59" i="34" s="1"/>
  <c r="E56" i="34"/>
  <c r="F56" i="34" s="1"/>
  <c r="E54" i="34"/>
  <c r="F54" i="34" s="1"/>
  <c r="E51" i="34"/>
  <c r="F51" i="34" s="1"/>
  <c r="E46" i="34"/>
  <c r="F46" i="34" s="1"/>
  <c r="F39" i="34"/>
  <c r="E15" i="34"/>
  <c r="F15" i="34" s="1"/>
  <c r="E9" i="34"/>
  <c r="F9" i="34" s="1"/>
  <c r="D138" i="34"/>
  <c r="E120" i="34"/>
  <c r="F120" i="34" s="1"/>
  <c r="E115" i="34"/>
  <c r="F115" i="34" s="1"/>
  <c r="E112" i="34"/>
  <c r="F112" i="34" s="1"/>
  <c r="E108" i="34"/>
  <c r="F108" i="34" s="1"/>
  <c r="E105" i="34"/>
  <c r="F105" i="34" s="1"/>
  <c r="E101" i="34"/>
  <c r="F101" i="34" s="1"/>
  <c r="E95" i="34"/>
  <c r="F95" i="34" s="1"/>
  <c r="E89" i="34"/>
  <c r="F89" i="34" s="1"/>
  <c r="E86" i="34"/>
  <c r="F86" i="34" s="1"/>
  <c r="E83" i="34"/>
  <c r="F83" i="34" s="1"/>
  <c r="E82" i="34"/>
  <c r="F82" i="34" s="1"/>
  <c r="E75" i="34"/>
  <c r="F75" i="34" s="1"/>
  <c r="E72" i="34"/>
  <c r="F72" i="34" s="1"/>
  <c r="E69" i="34"/>
  <c r="F69" i="34" s="1"/>
  <c r="E64" i="34"/>
  <c r="F64" i="34" s="1"/>
  <c r="E61" i="34"/>
  <c r="F61" i="34" s="1"/>
  <c r="E57" i="34"/>
  <c r="F57" i="34" s="1"/>
  <c r="E55" i="34"/>
  <c r="F55" i="34" s="1"/>
  <c r="E8" i="34"/>
  <c r="F8" i="34" s="1"/>
  <c r="E3" i="34"/>
  <c r="F3" i="34" s="1"/>
  <c r="E2" i="34"/>
  <c r="F73" i="33"/>
  <c r="F74" i="33"/>
  <c r="E6" i="33"/>
  <c r="F6" i="33" s="1"/>
  <c r="E36" i="33"/>
  <c r="E25" i="33"/>
  <c r="F25" i="33" s="1"/>
  <c r="E90" i="33"/>
  <c r="E13" i="33"/>
  <c r="F13" i="33" s="1"/>
  <c r="E133" i="33"/>
  <c r="F133" i="33" s="1"/>
  <c r="E134" i="33"/>
  <c r="F134" i="33" s="1"/>
  <c r="E48" i="33"/>
  <c r="D136" i="33"/>
  <c r="E132" i="33"/>
  <c r="F132" i="33" s="1"/>
  <c r="E135" i="33"/>
  <c r="F135" i="33" s="1"/>
  <c r="E16" i="32"/>
  <c r="F16" i="32" s="1"/>
  <c r="E6" i="32"/>
  <c r="E75" i="32"/>
  <c r="F75" i="32" s="1"/>
  <c r="E19" i="32"/>
  <c r="F19" i="32" s="1"/>
  <c r="F6" i="32"/>
  <c r="F21" i="32"/>
  <c r="E22" i="32"/>
  <c r="F22" i="32" s="1"/>
  <c r="D138" i="32"/>
  <c r="E134" i="32"/>
  <c r="F134" i="32" s="1"/>
  <c r="E136" i="32"/>
  <c r="F136" i="32" s="1"/>
  <c r="E135" i="32"/>
  <c r="F135" i="32" s="1"/>
  <c r="E137" i="32"/>
  <c r="F137" i="32" s="1"/>
  <c r="E128" i="33"/>
  <c r="F128" i="33" s="1"/>
  <c r="E120" i="33"/>
  <c r="F120" i="33" s="1"/>
  <c r="E119" i="33"/>
  <c r="F119" i="33" s="1"/>
  <c r="E118" i="33"/>
  <c r="F118" i="33" s="1"/>
  <c r="E117" i="33"/>
  <c r="F117" i="33" s="1"/>
  <c r="E116" i="33"/>
  <c r="F116" i="33" s="1"/>
  <c r="E115" i="33"/>
  <c r="F115" i="33" s="1"/>
  <c r="E114" i="33"/>
  <c r="F114" i="33" s="1"/>
  <c r="E109" i="33"/>
  <c r="F109" i="33" s="1"/>
  <c r="E104" i="33"/>
  <c r="F104" i="33" s="1"/>
  <c r="E103" i="33"/>
  <c r="F103" i="33" s="1"/>
  <c r="E102" i="33"/>
  <c r="F102" i="33" s="1"/>
  <c r="E101" i="33"/>
  <c r="F101" i="33" s="1"/>
  <c r="E96" i="33"/>
  <c r="F96" i="33" s="1"/>
  <c r="E93" i="33"/>
  <c r="F93" i="33" s="1"/>
  <c r="E92" i="33"/>
  <c r="F92" i="33" s="1"/>
  <c r="E91" i="33"/>
  <c r="F91" i="33" s="1"/>
  <c r="E65" i="33"/>
  <c r="F65" i="33" s="1"/>
  <c r="E62" i="33"/>
  <c r="F62" i="33" s="1"/>
  <c r="E60" i="33"/>
  <c r="F60" i="33" s="1"/>
  <c r="E54" i="33"/>
  <c r="F54" i="33" s="1"/>
  <c r="E53" i="33"/>
  <c r="F53" i="33" s="1"/>
  <c r="E52" i="33"/>
  <c r="F52" i="33" s="1"/>
  <c r="E51" i="33"/>
  <c r="F51" i="33" s="1"/>
  <c r="E9" i="33"/>
  <c r="F9" i="33" s="1"/>
  <c r="E89" i="33"/>
  <c r="F89" i="33" s="1"/>
  <c r="E88" i="33"/>
  <c r="F88" i="33" s="1"/>
  <c r="E87" i="33"/>
  <c r="F87" i="33" s="1"/>
  <c r="E86" i="33"/>
  <c r="F86" i="33" s="1"/>
  <c r="E85" i="33"/>
  <c r="F85" i="33" s="1"/>
  <c r="E84" i="33"/>
  <c r="F84" i="33" s="1"/>
  <c r="E83" i="33"/>
  <c r="F83" i="33" s="1"/>
  <c r="E82" i="33"/>
  <c r="F82" i="33" s="1"/>
  <c r="E81" i="33"/>
  <c r="F81" i="33" s="1"/>
  <c r="E80" i="33"/>
  <c r="F80" i="33" s="1"/>
  <c r="E79" i="33"/>
  <c r="F79" i="33" s="1"/>
  <c r="E78" i="33"/>
  <c r="F78" i="33" s="1"/>
  <c r="E77" i="33"/>
  <c r="F77" i="33" s="1"/>
  <c r="E76" i="33"/>
  <c r="F76" i="33" s="1"/>
  <c r="E75" i="33"/>
  <c r="F75" i="33" s="1"/>
  <c r="E64" i="33"/>
  <c r="F64" i="33" s="1"/>
  <c r="E57" i="33"/>
  <c r="F57" i="33" s="1"/>
  <c r="E10" i="33"/>
  <c r="F10" i="33" s="1"/>
  <c r="E47" i="33"/>
  <c r="F47" i="33" s="1"/>
  <c r="E46" i="33"/>
  <c r="F46" i="33" s="1"/>
  <c r="E45" i="33"/>
  <c r="F45" i="33" s="1"/>
  <c r="E44" i="33"/>
  <c r="F44" i="33" s="1"/>
  <c r="E43" i="33"/>
  <c r="F43" i="33" s="1"/>
  <c r="E42" i="33"/>
  <c r="F42" i="33" s="1"/>
  <c r="E41" i="33"/>
  <c r="F41" i="33" s="1"/>
  <c r="E40" i="33"/>
  <c r="F40" i="33" s="1"/>
  <c r="E39" i="33"/>
  <c r="F39" i="33" s="1"/>
  <c r="E38" i="33"/>
  <c r="F38" i="33" s="1"/>
  <c r="E37" i="33"/>
  <c r="F37" i="33" s="1"/>
  <c r="E35" i="33"/>
  <c r="F35" i="33" s="1"/>
  <c r="E34" i="33"/>
  <c r="F34" i="33" s="1"/>
  <c r="E33" i="33"/>
  <c r="F33" i="33" s="1"/>
  <c r="E32" i="33"/>
  <c r="F32" i="33" s="1"/>
  <c r="E31" i="33"/>
  <c r="F31" i="33" s="1"/>
  <c r="E30" i="33"/>
  <c r="F30" i="33" s="1"/>
  <c r="E29" i="33"/>
  <c r="F29" i="33" s="1"/>
  <c r="E28" i="33"/>
  <c r="F28" i="33" s="1"/>
  <c r="E27" i="33"/>
  <c r="F27" i="33" s="1"/>
  <c r="E26" i="33"/>
  <c r="F26" i="33" s="1"/>
  <c r="E24" i="33"/>
  <c r="F24" i="33" s="1"/>
  <c r="E23" i="33"/>
  <c r="F23" i="33" s="1"/>
  <c r="E22" i="33"/>
  <c r="F22" i="33" s="1"/>
  <c r="E21" i="33"/>
  <c r="F21" i="33" s="1"/>
  <c r="E20" i="33"/>
  <c r="F20" i="33" s="1"/>
  <c r="E19" i="33"/>
  <c r="F19" i="33" s="1"/>
  <c r="E18" i="33"/>
  <c r="F18" i="33" s="1"/>
  <c r="E17" i="33"/>
  <c r="F17" i="33" s="1"/>
  <c r="E16" i="33"/>
  <c r="F16" i="33" s="1"/>
  <c r="E15" i="33"/>
  <c r="F15" i="33" s="1"/>
  <c r="E14" i="33"/>
  <c r="F14" i="33" s="1"/>
  <c r="E12" i="33"/>
  <c r="F12" i="33" s="1"/>
  <c r="E11" i="33"/>
  <c r="F11" i="33" s="1"/>
  <c r="E5" i="33"/>
  <c r="F5" i="33" s="1"/>
  <c r="E4" i="33"/>
  <c r="F4" i="33" s="1"/>
  <c r="E3" i="33"/>
  <c r="F3" i="33" s="1"/>
  <c r="H2" i="33"/>
  <c r="E129" i="33"/>
  <c r="F129" i="33" s="1"/>
  <c r="E125" i="33"/>
  <c r="F125" i="33" s="1"/>
  <c r="E124" i="33"/>
  <c r="F124" i="33" s="1"/>
  <c r="E123" i="33"/>
  <c r="F123" i="33" s="1"/>
  <c r="E122" i="33"/>
  <c r="F122" i="33" s="1"/>
  <c r="E113" i="33"/>
  <c r="F113" i="33" s="1"/>
  <c r="E112" i="33"/>
  <c r="F112" i="33" s="1"/>
  <c r="E111" i="33"/>
  <c r="F111" i="33" s="1"/>
  <c r="E110" i="33"/>
  <c r="F110" i="33" s="1"/>
  <c r="E94" i="33"/>
  <c r="F94" i="33" s="1"/>
  <c r="E72" i="33"/>
  <c r="F72" i="33" s="1"/>
  <c r="E71" i="33"/>
  <c r="F71" i="33" s="1"/>
  <c r="E70" i="33"/>
  <c r="F70" i="33" s="1"/>
  <c r="E69" i="33"/>
  <c r="F69" i="33" s="1"/>
  <c r="E68" i="33"/>
  <c r="F68" i="33" s="1"/>
  <c r="E61" i="33"/>
  <c r="F61" i="33" s="1"/>
  <c r="E58" i="33"/>
  <c r="F58" i="33" s="1"/>
  <c r="E50" i="33"/>
  <c r="F50" i="33" s="1"/>
  <c r="E7" i="33"/>
  <c r="F7" i="33" s="1"/>
  <c r="E131" i="33"/>
  <c r="F131" i="33" s="1"/>
  <c r="E130" i="33"/>
  <c r="F130" i="33" s="1"/>
  <c r="E127" i="33"/>
  <c r="F127" i="33" s="1"/>
  <c r="E126" i="33"/>
  <c r="F126" i="33" s="1"/>
  <c r="E121" i="33"/>
  <c r="F121" i="33" s="1"/>
  <c r="E108" i="33"/>
  <c r="F108" i="33" s="1"/>
  <c r="E107" i="33"/>
  <c r="F107" i="33" s="1"/>
  <c r="E106" i="33"/>
  <c r="F106" i="33" s="1"/>
  <c r="E105" i="33"/>
  <c r="F105" i="33" s="1"/>
  <c r="E100" i="33"/>
  <c r="F100" i="33" s="1"/>
  <c r="E99" i="33"/>
  <c r="F99" i="33" s="1"/>
  <c r="E98" i="33"/>
  <c r="F98" i="33" s="1"/>
  <c r="E97" i="33"/>
  <c r="F97" i="33" s="1"/>
  <c r="E95" i="33"/>
  <c r="F95" i="33" s="1"/>
  <c r="F90" i="33"/>
  <c r="E67" i="33"/>
  <c r="F67" i="33" s="1"/>
  <c r="E66" i="33"/>
  <c r="F66" i="33" s="1"/>
  <c r="E63" i="33"/>
  <c r="F63" i="33" s="1"/>
  <c r="E59" i="33"/>
  <c r="F59" i="33" s="1"/>
  <c r="E55" i="33"/>
  <c r="F55" i="33" s="1"/>
  <c r="F48" i="33"/>
  <c r="E56" i="33"/>
  <c r="F56" i="33" s="1"/>
  <c r="E49" i="33"/>
  <c r="F49" i="33" s="1"/>
  <c r="E8" i="33"/>
  <c r="F8" i="33" s="1"/>
  <c r="E2" i="33"/>
  <c r="E133" i="32"/>
  <c r="F133" i="32" s="1"/>
  <c r="E132" i="32"/>
  <c r="F132" i="32" s="1"/>
  <c r="E131" i="32"/>
  <c r="F131" i="32" s="1"/>
  <c r="E130" i="32"/>
  <c r="F130" i="32" s="1"/>
  <c r="E129" i="32"/>
  <c r="F129" i="32" s="1"/>
  <c r="E128" i="32"/>
  <c r="F128" i="32" s="1"/>
  <c r="E127" i="32"/>
  <c r="F127" i="32" s="1"/>
  <c r="E126" i="32"/>
  <c r="F126" i="32" s="1"/>
  <c r="E124" i="32"/>
  <c r="F124" i="32" s="1"/>
  <c r="E122" i="32"/>
  <c r="F122" i="32" s="1"/>
  <c r="E118" i="32"/>
  <c r="F118" i="32" s="1"/>
  <c r="E116" i="32"/>
  <c r="F116" i="32" s="1"/>
  <c r="E114" i="32"/>
  <c r="F114" i="32" s="1"/>
  <c r="E113" i="32"/>
  <c r="F113" i="32" s="1"/>
  <c r="E111" i="32"/>
  <c r="F111" i="32" s="1"/>
  <c r="E109" i="32"/>
  <c r="F109" i="32" s="1"/>
  <c r="E108" i="32"/>
  <c r="F108" i="32" s="1"/>
  <c r="E106" i="32"/>
  <c r="F106" i="32" s="1"/>
  <c r="E103" i="32"/>
  <c r="F103" i="32" s="1"/>
  <c r="E102" i="32"/>
  <c r="F102" i="32" s="1"/>
  <c r="E100" i="32"/>
  <c r="F100" i="32" s="1"/>
  <c r="E98" i="32"/>
  <c r="F98" i="32" s="1"/>
  <c r="E35" i="32"/>
  <c r="F35" i="32" s="1"/>
  <c r="E33" i="32"/>
  <c r="F33" i="32" s="1"/>
  <c r="E32" i="32"/>
  <c r="F32" i="32" s="1"/>
  <c r="E31" i="32"/>
  <c r="F31" i="32" s="1"/>
  <c r="E30" i="32"/>
  <c r="F30" i="32" s="1"/>
  <c r="E29" i="32"/>
  <c r="F29" i="32" s="1"/>
  <c r="E25" i="32"/>
  <c r="F25" i="32" s="1"/>
  <c r="E24" i="32"/>
  <c r="F24" i="32" s="1"/>
  <c r="E23" i="32"/>
  <c r="F23" i="32" s="1"/>
  <c r="E20" i="32"/>
  <c r="F20" i="32" s="1"/>
  <c r="E8" i="32"/>
  <c r="F8" i="32" s="1"/>
  <c r="E7" i="32"/>
  <c r="F7" i="32" s="1"/>
  <c r="E2" i="32"/>
  <c r="E97" i="32"/>
  <c r="F97" i="32" s="1"/>
  <c r="E96" i="32"/>
  <c r="F96" i="32" s="1"/>
  <c r="E95" i="32"/>
  <c r="F95" i="32" s="1"/>
  <c r="E94" i="32"/>
  <c r="F94" i="32" s="1"/>
  <c r="E93" i="32"/>
  <c r="F93" i="32" s="1"/>
  <c r="E92" i="32"/>
  <c r="F92" i="32" s="1"/>
  <c r="E91" i="32"/>
  <c r="F91" i="32" s="1"/>
  <c r="E90" i="32"/>
  <c r="F90" i="32" s="1"/>
  <c r="E89" i="32"/>
  <c r="F89" i="32" s="1"/>
  <c r="E88" i="32"/>
  <c r="F88" i="32" s="1"/>
  <c r="E87" i="32"/>
  <c r="F87" i="32" s="1"/>
  <c r="E86" i="32"/>
  <c r="F86" i="32" s="1"/>
  <c r="E85" i="32"/>
  <c r="F85" i="32" s="1"/>
  <c r="E84" i="32"/>
  <c r="F84" i="32" s="1"/>
  <c r="E83" i="32"/>
  <c r="F83" i="32" s="1"/>
  <c r="E82" i="32"/>
  <c r="F82" i="32" s="1"/>
  <c r="E81" i="32"/>
  <c r="F81" i="32" s="1"/>
  <c r="E80" i="32"/>
  <c r="F80" i="32" s="1"/>
  <c r="E79" i="32"/>
  <c r="F79" i="32" s="1"/>
  <c r="E78" i="32"/>
  <c r="F78" i="32" s="1"/>
  <c r="E77" i="32"/>
  <c r="F77" i="32" s="1"/>
  <c r="E76" i="32"/>
  <c r="F76" i="32" s="1"/>
  <c r="E74" i="32"/>
  <c r="F74" i="32" s="1"/>
  <c r="E73" i="32"/>
  <c r="F73" i="32" s="1"/>
  <c r="E72" i="32"/>
  <c r="F72" i="32" s="1"/>
  <c r="E71" i="32"/>
  <c r="F71" i="32" s="1"/>
  <c r="E70" i="32"/>
  <c r="F70" i="32" s="1"/>
  <c r="E69" i="32"/>
  <c r="F69" i="32" s="1"/>
  <c r="E68" i="32"/>
  <c r="F68" i="32" s="1"/>
  <c r="E67" i="32"/>
  <c r="F67" i="32" s="1"/>
  <c r="E66" i="32"/>
  <c r="F66" i="32" s="1"/>
  <c r="E65" i="32"/>
  <c r="F65" i="32" s="1"/>
  <c r="E64" i="32"/>
  <c r="F64" i="32" s="1"/>
  <c r="E63" i="32"/>
  <c r="F63" i="32" s="1"/>
  <c r="E62" i="32"/>
  <c r="F62" i="32" s="1"/>
  <c r="E61" i="32"/>
  <c r="F61" i="32" s="1"/>
  <c r="E60" i="32"/>
  <c r="F60" i="32" s="1"/>
  <c r="E59" i="32"/>
  <c r="F59" i="32" s="1"/>
  <c r="E58" i="32"/>
  <c r="F58" i="32" s="1"/>
  <c r="E57" i="32"/>
  <c r="F57" i="32" s="1"/>
  <c r="E56" i="32"/>
  <c r="F56" i="32" s="1"/>
  <c r="E55" i="32"/>
  <c r="F55" i="32" s="1"/>
  <c r="E54" i="32"/>
  <c r="F54" i="32" s="1"/>
  <c r="E53" i="32"/>
  <c r="F53" i="32" s="1"/>
  <c r="E52" i="32"/>
  <c r="F52" i="32" s="1"/>
  <c r="E51" i="32"/>
  <c r="F51" i="32" s="1"/>
  <c r="E50" i="32"/>
  <c r="F50" i="32" s="1"/>
  <c r="E49" i="32"/>
  <c r="F49" i="32" s="1"/>
  <c r="E48" i="32"/>
  <c r="F48" i="32" s="1"/>
  <c r="E47" i="32"/>
  <c r="F47" i="32" s="1"/>
  <c r="E46" i="32"/>
  <c r="F46" i="32" s="1"/>
  <c r="E45" i="32"/>
  <c r="F45" i="32" s="1"/>
  <c r="E43" i="32"/>
  <c r="F43" i="32" s="1"/>
  <c r="E42" i="32"/>
  <c r="F42" i="32" s="1"/>
  <c r="E41" i="32"/>
  <c r="F41" i="32" s="1"/>
  <c r="E38" i="32"/>
  <c r="F38" i="32" s="1"/>
  <c r="E37" i="32"/>
  <c r="F37" i="32" s="1"/>
  <c r="E34" i="32"/>
  <c r="F34" i="32" s="1"/>
  <c r="E18" i="32"/>
  <c r="F18" i="32" s="1"/>
  <c r="E17" i="32"/>
  <c r="F17" i="32" s="1"/>
  <c r="E12" i="32"/>
  <c r="F12" i="32" s="1"/>
  <c r="E5" i="32"/>
  <c r="F5" i="32" s="1"/>
  <c r="E4" i="32"/>
  <c r="F4" i="32" s="1"/>
  <c r="E3" i="32"/>
  <c r="F3" i="32" s="1"/>
  <c r="E125" i="32"/>
  <c r="F125" i="32" s="1"/>
  <c r="E123" i="32"/>
  <c r="F123" i="32" s="1"/>
  <c r="E121" i="32"/>
  <c r="F121" i="32" s="1"/>
  <c r="E120" i="32"/>
  <c r="F120" i="32" s="1"/>
  <c r="E119" i="32"/>
  <c r="F119" i="32" s="1"/>
  <c r="E117" i="32"/>
  <c r="F117" i="32" s="1"/>
  <c r="E115" i="32"/>
  <c r="F115" i="32" s="1"/>
  <c r="E112" i="32"/>
  <c r="F112" i="32" s="1"/>
  <c r="E110" i="32"/>
  <c r="F110" i="32" s="1"/>
  <c r="E107" i="32"/>
  <c r="F107" i="32" s="1"/>
  <c r="E105" i="32"/>
  <c r="F105" i="32" s="1"/>
  <c r="E104" i="32"/>
  <c r="F104" i="32" s="1"/>
  <c r="E101" i="32"/>
  <c r="F101" i="32" s="1"/>
  <c r="E99" i="32"/>
  <c r="F99" i="32" s="1"/>
  <c r="E44" i="32"/>
  <c r="F44" i="32" s="1"/>
  <c r="E40" i="32"/>
  <c r="F40" i="32" s="1"/>
  <c r="E39" i="32"/>
  <c r="F39" i="32" s="1"/>
  <c r="E36" i="32"/>
  <c r="F36" i="32" s="1"/>
  <c r="E28" i="32"/>
  <c r="F28" i="32" s="1"/>
  <c r="E27" i="32"/>
  <c r="F27" i="32" s="1"/>
  <c r="E26" i="32"/>
  <c r="F26" i="32" s="1"/>
  <c r="E15" i="32"/>
  <c r="F15" i="32" s="1"/>
  <c r="E14" i="32"/>
  <c r="F14" i="32" s="1"/>
  <c r="E13" i="32"/>
  <c r="F13" i="32" s="1"/>
  <c r="E11" i="32"/>
  <c r="F11" i="32" s="1"/>
  <c r="E10" i="32"/>
  <c r="F10" i="32" s="1"/>
  <c r="E9" i="32"/>
  <c r="F9" i="32" s="1"/>
  <c r="H2" i="32"/>
  <c r="F37" i="29"/>
  <c r="E31" i="29"/>
  <c r="F31" i="29"/>
  <c r="E101" i="29"/>
  <c r="E89" i="29"/>
  <c r="F89" i="29" s="1"/>
  <c r="E91" i="29"/>
  <c r="F91" i="29" s="1"/>
  <c r="E104" i="29"/>
  <c r="F104" i="29" s="1"/>
  <c r="F101" i="29"/>
  <c r="E26" i="29"/>
  <c r="E17" i="29"/>
  <c r="F17" i="29" s="1"/>
  <c r="E13" i="29"/>
  <c r="F13" i="29" s="1"/>
  <c r="E18" i="29"/>
  <c r="E132" i="29"/>
  <c r="E20" i="29"/>
  <c r="F20" i="29" s="1"/>
  <c r="E8" i="29"/>
  <c r="F8" i="29" s="1"/>
  <c r="E7" i="29"/>
  <c r="F7" i="29" s="1"/>
  <c r="E6" i="29"/>
  <c r="F6" i="29" s="1"/>
  <c r="E5" i="29"/>
  <c r="F5" i="29" s="1"/>
  <c r="E4" i="29"/>
  <c r="F4" i="29" s="1"/>
  <c r="E3" i="29"/>
  <c r="F3" i="29" s="1"/>
  <c r="H2" i="29"/>
  <c r="E123" i="29"/>
  <c r="F123" i="29" s="1"/>
  <c r="E122" i="29"/>
  <c r="F122" i="29" s="1"/>
  <c r="E121" i="29"/>
  <c r="F121" i="29" s="1"/>
  <c r="E120" i="29"/>
  <c r="F120" i="29" s="1"/>
  <c r="E115" i="29"/>
  <c r="F115" i="29" s="1"/>
  <c r="E114" i="29"/>
  <c r="F114" i="29" s="1"/>
  <c r="E113" i="29"/>
  <c r="F113" i="29" s="1"/>
  <c r="E112" i="29"/>
  <c r="F112" i="29" s="1"/>
  <c r="E111" i="29"/>
  <c r="F111" i="29" s="1"/>
  <c r="E110" i="29"/>
  <c r="F110" i="29" s="1"/>
  <c r="E106" i="29"/>
  <c r="F106" i="29" s="1"/>
  <c r="E105" i="29"/>
  <c r="F105" i="29" s="1"/>
  <c r="E98" i="29"/>
  <c r="F98" i="29" s="1"/>
  <c r="E97" i="29"/>
  <c r="F97" i="29" s="1"/>
  <c r="E95" i="29"/>
  <c r="F95" i="29" s="1"/>
  <c r="E92" i="29"/>
  <c r="F92" i="29" s="1"/>
  <c r="E90" i="29"/>
  <c r="F90" i="29" s="1"/>
  <c r="E88" i="29"/>
  <c r="F88" i="29" s="1"/>
  <c r="E87" i="29"/>
  <c r="F87" i="29" s="1"/>
  <c r="E86" i="29"/>
  <c r="F86" i="29" s="1"/>
  <c r="E84" i="29"/>
  <c r="F84" i="29" s="1"/>
  <c r="E82" i="29"/>
  <c r="F82" i="29" s="1"/>
  <c r="E81" i="29"/>
  <c r="F81" i="29" s="1"/>
  <c r="E80" i="29"/>
  <c r="F80" i="29" s="1"/>
  <c r="E75" i="29"/>
  <c r="F75" i="29" s="1"/>
  <c r="E70" i="29"/>
  <c r="F70" i="29" s="1"/>
  <c r="E69" i="29"/>
  <c r="F69" i="29" s="1"/>
  <c r="E66" i="29"/>
  <c r="F66" i="29" s="1"/>
  <c r="E65" i="29"/>
  <c r="F65" i="29" s="1"/>
  <c r="E64" i="29"/>
  <c r="F64" i="29" s="1"/>
  <c r="E63" i="29"/>
  <c r="F63" i="29" s="1"/>
  <c r="E61" i="29"/>
  <c r="F61" i="29" s="1"/>
  <c r="E60" i="29"/>
  <c r="F60" i="29" s="1"/>
  <c r="E59" i="29"/>
  <c r="F59" i="29" s="1"/>
  <c r="E58" i="29"/>
  <c r="F58" i="29" s="1"/>
  <c r="E56" i="29"/>
  <c r="F56" i="29" s="1"/>
  <c r="E55" i="29"/>
  <c r="F55" i="29" s="1"/>
  <c r="E54" i="29"/>
  <c r="F54" i="29" s="1"/>
  <c r="E51" i="29"/>
  <c r="F51" i="29" s="1"/>
  <c r="E49" i="29"/>
  <c r="F49" i="29" s="1"/>
  <c r="E48" i="29"/>
  <c r="F48" i="29" s="1"/>
  <c r="E47" i="29"/>
  <c r="F47" i="29" s="1"/>
  <c r="E46" i="29"/>
  <c r="F46" i="29" s="1"/>
  <c r="E45" i="29"/>
  <c r="F45" i="29" s="1"/>
  <c r="E41" i="29"/>
  <c r="F41" i="29" s="1"/>
  <c r="E39" i="29"/>
  <c r="F39" i="29" s="1"/>
  <c r="E30" i="29"/>
  <c r="F30" i="29" s="1"/>
  <c r="E28" i="29"/>
  <c r="F28" i="29" s="1"/>
  <c r="E27" i="29"/>
  <c r="F27" i="29" s="1"/>
  <c r="E25" i="29"/>
  <c r="F25" i="29" s="1"/>
  <c r="E24" i="29"/>
  <c r="F24" i="29" s="1"/>
  <c r="E23" i="29"/>
  <c r="F23" i="29" s="1"/>
  <c r="E22" i="29"/>
  <c r="F22" i="29" s="1"/>
  <c r="E19" i="29"/>
  <c r="F19" i="29" s="1"/>
  <c r="E9" i="29"/>
  <c r="F9" i="29" s="1"/>
  <c r="E131" i="29"/>
  <c r="F131" i="29" s="1"/>
  <c r="E130" i="29"/>
  <c r="F130" i="29" s="1"/>
  <c r="E128" i="29"/>
  <c r="F128" i="29" s="1"/>
  <c r="E125" i="29"/>
  <c r="F125" i="29" s="1"/>
  <c r="E109" i="29"/>
  <c r="F109" i="29" s="1"/>
  <c r="E107" i="29"/>
  <c r="F107" i="29" s="1"/>
  <c r="E103" i="29"/>
  <c r="F103" i="29" s="1"/>
  <c r="E85" i="29"/>
  <c r="F85" i="29" s="1"/>
  <c r="E77" i="29"/>
  <c r="F77" i="29" s="1"/>
  <c r="E62" i="29"/>
  <c r="F62" i="29" s="1"/>
  <c r="E52" i="29"/>
  <c r="F52" i="29" s="1"/>
  <c r="E50" i="29"/>
  <c r="F50" i="29" s="1"/>
  <c r="E34" i="29"/>
  <c r="F34" i="29" s="1"/>
  <c r="E33" i="29"/>
  <c r="F33" i="29" s="1"/>
  <c r="E21" i="29"/>
  <c r="F21" i="29" s="1"/>
  <c r="E14" i="29"/>
  <c r="F14" i="29" s="1"/>
  <c r="E12" i="29"/>
  <c r="F12" i="29" s="1"/>
  <c r="E11" i="29"/>
  <c r="F11" i="29" s="1"/>
  <c r="E10" i="29"/>
  <c r="F10" i="29" s="1"/>
  <c r="E133" i="29"/>
  <c r="F133" i="29" s="1"/>
  <c r="E129" i="29"/>
  <c r="F129" i="29" s="1"/>
  <c r="E127" i="29"/>
  <c r="F127" i="29" s="1"/>
  <c r="E126" i="29"/>
  <c r="F126" i="29" s="1"/>
  <c r="E124" i="29"/>
  <c r="F124" i="29" s="1"/>
  <c r="E119" i="29"/>
  <c r="F119" i="29" s="1"/>
  <c r="E118" i="29"/>
  <c r="F118" i="29" s="1"/>
  <c r="E117" i="29"/>
  <c r="F117" i="29" s="1"/>
  <c r="E116" i="29"/>
  <c r="F116" i="29" s="1"/>
  <c r="E108" i="29"/>
  <c r="F108" i="29" s="1"/>
  <c r="E102" i="29"/>
  <c r="F102" i="29" s="1"/>
  <c r="E100" i="29"/>
  <c r="F100" i="29" s="1"/>
  <c r="E99" i="29"/>
  <c r="F99" i="29" s="1"/>
  <c r="E96" i="29"/>
  <c r="F96" i="29" s="1"/>
  <c r="E94" i="29"/>
  <c r="F94" i="29" s="1"/>
  <c r="E93" i="29"/>
  <c r="F93" i="29" s="1"/>
  <c r="E83" i="29"/>
  <c r="F83" i="29" s="1"/>
  <c r="E79" i="29"/>
  <c r="F79" i="29" s="1"/>
  <c r="E78" i="29"/>
  <c r="F78" i="29" s="1"/>
  <c r="E76" i="29"/>
  <c r="F76" i="29" s="1"/>
  <c r="E74" i="29"/>
  <c r="F74" i="29" s="1"/>
  <c r="E73" i="29"/>
  <c r="F73" i="29" s="1"/>
  <c r="E72" i="29"/>
  <c r="F72" i="29" s="1"/>
  <c r="E71" i="29"/>
  <c r="F71" i="29" s="1"/>
  <c r="E68" i="29"/>
  <c r="F68" i="29" s="1"/>
  <c r="E67" i="29"/>
  <c r="F67" i="29" s="1"/>
  <c r="E57" i="29"/>
  <c r="F57" i="29" s="1"/>
  <c r="E53" i="29"/>
  <c r="F53" i="29" s="1"/>
  <c r="E44" i="29"/>
  <c r="F44" i="29" s="1"/>
  <c r="E43" i="29"/>
  <c r="F43" i="29" s="1"/>
  <c r="E42" i="29"/>
  <c r="F42" i="29" s="1"/>
  <c r="E40" i="29"/>
  <c r="F40" i="29" s="1"/>
  <c r="E38" i="29"/>
  <c r="F38" i="29" s="1"/>
  <c r="E36" i="29"/>
  <c r="F36" i="29" s="1"/>
  <c r="E35" i="29"/>
  <c r="F35" i="29" s="1"/>
  <c r="E32" i="29"/>
  <c r="F32" i="29" s="1"/>
  <c r="E29" i="29"/>
  <c r="F29" i="29" s="1"/>
  <c r="E16" i="29"/>
  <c r="F16" i="29" s="1"/>
  <c r="E15" i="29"/>
  <c r="F15" i="29" s="1"/>
  <c r="E2" i="29"/>
  <c r="F130" i="34" l="1"/>
  <c r="E138" i="34"/>
  <c r="F2" i="34"/>
  <c r="F138" i="34" s="1"/>
  <c r="E136" i="33"/>
  <c r="F36" i="33"/>
  <c r="E138" i="32"/>
  <c r="F2" i="33"/>
  <c r="F136" i="33" s="1"/>
  <c r="F2" i="32"/>
  <c r="F138" i="32" s="1"/>
  <c r="F132" i="29"/>
  <c r="F18" i="29"/>
  <c r="F26" i="29"/>
  <c r="F2" i="29"/>
</calcChain>
</file>

<file path=xl/sharedStrings.xml><?xml version="1.0" encoding="utf-8"?>
<sst xmlns="http://schemas.openxmlformats.org/spreadsheetml/2006/main" count="578" uniqueCount="151">
  <si>
    <t>Bias</t>
  </si>
  <si>
    <t>MAE</t>
  </si>
  <si>
    <t>RMSE</t>
  </si>
  <si>
    <t>R</t>
  </si>
  <si>
    <t>R2</t>
  </si>
  <si>
    <t>Perfect line</t>
  </si>
  <si>
    <t>Name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</si>
  <si>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</si>
  <si>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</si>
  <si>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</si>
  <si>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</si>
  <si>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</si>
  <si>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</si>
  <si>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</si>
  <si>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</si>
  <si>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</si>
  <si>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</si>
  <si>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</si>
  <si>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</si>
  <si>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</si>
  <si>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</si>
  <si>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</si>
  <si>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</si>
  <si>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</si>
  <si>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</si>
  <si>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</si>
  <si>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</si>
  <si>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</si>
  <si>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</si>
  <si>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</si>
  <si>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</si>
  <si>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</si>
  <si>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</si>
  <si>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</si>
  <si>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</si>
  <si>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</si>
  <si>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</si>
  <si>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</si>
  <si>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</si>
  <si>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</si>
  <si>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</si>
  <si>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</si>
  <si>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</si>
  <si>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</si>
  <si>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</si>
  <si>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</si>
  <si>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</si>
  <si>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</si>
  <si>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</si>
  <si>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</si>
  <si>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</si>
  <si>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</si>
  <si>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</si>
  <si>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</si>
  <si>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</si>
  <si>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</si>
  <si>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</si>
  <si>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</si>
  <si>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</si>
  <si>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</si>
  <si>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</si>
  <si>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</si>
  <si>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</si>
  <si>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</si>
  <si>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</si>
  <si>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</si>
  <si>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</si>
  <si>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</si>
  <si>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</si>
  <si>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</si>
  <si>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</si>
  <si>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</si>
  <si>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</si>
  <si>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</si>
  <si>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</si>
  <si>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</si>
  <si>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</si>
  <si>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</si>
  <si>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</si>
  <si>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</si>
  <si>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</si>
  <si>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</si>
  <si>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</si>
  <si>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</si>
  <si>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</si>
  <si>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</si>
  <si>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</si>
  <si>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</si>
  <si>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</si>
  <si>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</si>
  <si>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</si>
  <si>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</si>
  <si>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</si>
  <si>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</si>
  <si>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</si>
  <si>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</si>
  <si>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</si>
  <si>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</si>
  <si>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</si>
  <si>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</si>
  <si>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</si>
  <si>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</si>
  <si>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</si>
  <si>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</si>
  <si>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</si>
  <si>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</si>
  <si>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</si>
  <si>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</si>
  <si>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</si>
  <si>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</si>
  <si>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</si>
  <si>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</si>
  <si>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</si>
  <si>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</si>
  <si>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</si>
  <si>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</si>
  <si>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</si>
  <si>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</si>
  <si>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</si>
  <si>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</si>
  <si>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</si>
  <si>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</si>
  <si>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</si>
  <si>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</si>
  <si>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</si>
  <si>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</si>
  <si>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</si>
  <si>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</si>
  <si>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</si>
  <si>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</si>
  <si>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</si>
  <si>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</si>
  <si>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</si>
  <si>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</si>
  <si>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</si>
  <si>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</si>
  <si>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</si>
  <si>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</si>
  <si>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</si>
  <si>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</si>
  <si>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</si>
  <si>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</si>
  <si>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</si>
  <si>
    <t>xTB_Charge_KeyIdx</t>
  </si>
  <si>
    <t>DFT_Mulliken_Charge_KeyIdx</t>
  </si>
  <si>
    <t>xTB_Charge_Diazo_carbon</t>
  </si>
  <si>
    <t>DFT_Mulliken_Charge_Diazo_carbon</t>
  </si>
  <si>
    <t>xTB_Charge_Lng_1</t>
  </si>
  <si>
    <t>DFT_Mulliken_Charge_Lng_1</t>
  </si>
  <si>
    <t>xTB_Charge_Lng_2</t>
  </si>
  <si>
    <t>DFT_Mulliken_Charge_Lng_2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</si>
</sst>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Atomic</a:t>
            </a:r>
            <a:r>
              <a:rPr lang="en-IN" sz="1600" b="1" baseline="0">
                <a:solidFill>
                  <a:sysClr val="windowText" lastClr="000000"/>
                </a:solidFill>
              </a:rPr>
              <a:t> charge</a:t>
            </a:r>
            <a:r>
              <a:rPr lang="en-IN" sz="1600" b="1">
                <a:solidFill>
                  <a:sysClr val="windowText" lastClr="000000"/>
                </a:solidFill>
              </a:rPr>
              <a:t>, </a:t>
            </a:r>
            <a:r>
              <a:rPr lang="en-IN" sz="1600" b="1" i="1" u="none" strike="noStrike" kern="1200" spc="0" baseline="0">
                <a:solidFill>
                  <a:sysClr val="windowText" lastClr="000000"/>
                </a:solidFill>
              </a:rPr>
              <a:t>q</a:t>
            </a:r>
            <a:r>
              <a:rPr lang="en-IN" sz="1600" b="1" i="1" u="none" strike="noStrike" kern="1200" spc="0" baseline="-25000">
                <a:solidFill>
                  <a:sysClr val="windowText" lastClr="000000"/>
                </a:solidFill>
              </a:rPr>
              <a:t>0</a:t>
            </a:r>
            <a:r>
              <a:rPr lang="en-IN" sz="1600" b="1" baseline="0">
                <a:solidFill>
                  <a:sysClr val="windowText" lastClr="000000"/>
                </a:solidFill>
              </a:rPr>
              <a:t> 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401469664657692"/>
          <c:y val="9.91325898389095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8095649552126126"/>
          <c:y val="0.17374999999999999"/>
          <c:w val="0.55474832712046496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4004087035133714"/>
                  <c:y val="7.903794553561845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IN" sz="1000" b="1" i="1" u="none" strike="noStrike" baseline="0">
                        <a:effectLst/>
                      </a:rPr>
                      <a:t>q</a:t>
                    </a:r>
                    <a:r>
                      <a:rPr lang="en-IN" sz="1000" b="1" i="1" u="none" strike="noStrike" baseline="-25000">
                        <a:effectLst/>
                      </a:rPr>
                      <a:t>0</a:t>
                    </a:r>
                    <a:r>
                      <a:rPr lang="en-IN" sz="1000" b="1" i="0" u="none" strike="noStrike" baseline="-25000">
                        <a:effectLst/>
                      </a:rPr>
                      <a:t>,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0.11</a:t>
                    </a:r>
                    <a:r>
                      <a:rPr lang="en-IN" sz="1000" b="1" i="1" u="none" strike="noStrike" baseline="0">
                        <a:effectLst/>
                      </a:rPr>
                      <a:t>q</a:t>
                    </a:r>
                    <a:r>
                      <a:rPr lang="en-IN" sz="1000" b="1" i="1" u="none" strike="noStrike" baseline="-25000">
                        <a:effectLst/>
                      </a:rPr>
                      <a:t>0</a:t>
                    </a:r>
                    <a:r>
                      <a:rPr lang="en-IN" sz="1000" b="1" i="0" u="none" strike="noStrike" baseline="-25000">
                        <a:effectLst/>
                      </a:rPr>
                      <a:t>,</a:t>
                    </a:r>
                    <a:r>
                      <a:rPr lang="en-GB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+ 0.29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0.01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0.12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0.22a.u.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0.25a.u.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q0'!$B$2:$B$137</c:f>
              <c:numCache>
                <c:formatCode>General</c:formatCode>
                <c:ptCount val="136"/>
                <c:pt idx="0">
                  <c:v>-1.150294E-2</c:v>
                </c:pt>
                <c:pt idx="1">
                  <c:v>-1.3593500000000001E-3</c:v>
                </c:pt>
                <c:pt idx="2">
                  <c:v>1.4155360000000001E-2</c:v>
                </c:pt>
                <c:pt idx="3">
                  <c:v>0.10154593000000001</c:v>
                </c:pt>
                <c:pt idx="4">
                  <c:v>2.4377280000000001E-2</c:v>
                </c:pt>
                <c:pt idx="5">
                  <c:v>0.10825348999999999</c:v>
                </c:pt>
                <c:pt idx="6">
                  <c:v>2.4038489999999999E-2</c:v>
                </c:pt>
                <c:pt idx="7">
                  <c:v>3.8652190000000003E-2</c:v>
                </c:pt>
                <c:pt idx="8">
                  <c:v>1.5093469999999999E-2</c:v>
                </c:pt>
                <c:pt idx="9">
                  <c:v>1.5895610000000001E-2</c:v>
                </c:pt>
                <c:pt idx="10">
                  <c:v>8.1982500000000007E-3</c:v>
                </c:pt>
                <c:pt idx="11">
                  <c:v>0.29326703999999998</c:v>
                </c:pt>
                <c:pt idx="12">
                  <c:v>2.145509E-2</c:v>
                </c:pt>
                <c:pt idx="13">
                  <c:v>2.0732879999999999E-2</c:v>
                </c:pt>
                <c:pt idx="14">
                  <c:v>5.61504E-3</c:v>
                </c:pt>
                <c:pt idx="15">
                  <c:v>0.27994216999999999</c:v>
                </c:pt>
                <c:pt idx="16">
                  <c:v>1.398694E-2</c:v>
                </c:pt>
                <c:pt idx="17">
                  <c:v>7.6775209999999997E-2</c:v>
                </c:pt>
                <c:pt idx="18">
                  <c:v>1.0272099999999999E-2</c:v>
                </c:pt>
                <c:pt idx="19">
                  <c:v>3.4867600000000002E-3</c:v>
                </c:pt>
                <c:pt idx="20">
                  <c:v>2.3083889999999999E-2</c:v>
                </c:pt>
                <c:pt idx="21">
                  <c:v>1.6649130000000002E-2</c:v>
                </c:pt>
                <c:pt idx="22">
                  <c:v>4.6568350000000001E-2</c:v>
                </c:pt>
                <c:pt idx="23">
                  <c:v>4.4910600000000002E-2</c:v>
                </c:pt>
                <c:pt idx="24">
                  <c:v>0.34233660999999999</c:v>
                </c:pt>
                <c:pt idx="25">
                  <c:v>6.4772990000000003E-2</c:v>
                </c:pt>
                <c:pt idx="26">
                  <c:v>6.0425230000000003E-2</c:v>
                </c:pt>
                <c:pt idx="27">
                  <c:v>5.7101180000000001E-2</c:v>
                </c:pt>
                <c:pt idx="28">
                  <c:v>6.0936499999999998E-2</c:v>
                </c:pt>
                <c:pt idx="29">
                  <c:v>0.35958246999999999</c:v>
                </c:pt>
                <c:pt idx="30">
                  <c:v>6.1658329999999997E-2</c:v>
                </c:pt>
                <c:pt idx="31">
                  <c:v>0.13251197000000001</c:v>
                </c:pt>
                <c:pt idx="32">
                  <c:v>0.14370769999999999</c:v>
                </c:pt>
                <c:pt idx="33">
                  <c:v>0.10995041</c:v>
                </c:pt>
                <c:pt idx="34">
                  <c:v>0.12216784999999999</c:v>
                </c:pt>
                <c:pt idx="35">
                  <c:v>0.29046775000000002</c:v>
                </c:pt>
                <c:pt idx="36">
                  <c:v>0.13650425999999999</c:v>
                </c:pt>
                <c:pt idx="37">
                  <c:v>0.14420454999999999</c:v>
                </c:pt>
                <c:pt idx="38">
                  <c:v>3.0991850000000001E-2</c:v>
                </c:pt>
                <c:pt idx="39">
                  <c:v>3.5533490000000001E-2</c:v>
                </c:pt>
                <c:pt idx="40">
                  <c:v>-8.7768999999999998E-4</c:v>
                </c:pt>
                <c:pt idx="41">
                  <c:v>8.5333400000000004E-3</c:v>
                </c:pt>
                <c:pt idx="42">
                  <c:v>2.852681E-2</c:v>
                </c:pt>
                <c:pt idx="43">
                  <c:v>2.2681139999999999E-2</c:v>
                </c:pt>
                <c:pt idx="44">
                  <c:v>4.7848019999999998E-2</c:v>
                </c:pt>
                <c:pt idx="45">
                  <c:v>0.22704608000000001</c:v>
                </c:pt>
                <c:pt idx="46">
                  <c:v>0.22541435000000001</c:v>
                </c:pt>
                <c:pt idx="47">
                  <c:v>0.22218146999999999</c:v>
                </c:pt>
                <c:pt idx="48">
                  <c:v>0.22230481999999999</c:v>
                </c:pt>
                <c:pt idx="49">
                  <c:v>0.21794693000000001</c:v>
                </c:pt>
                <c:pt idx="50">
                  <c:v>0.25696140000000001</c:v>
                </c:pt>
                <c:pt idx="51">
                  <c:v>0.21544094999999999</c:v>
                </c:pt>
                <c:pt idx="52">
                  <c:v>0.21908206</c:v>
                </c:pt>
                <c:pt idx="53">
                  <c:v>7.2860030000000006E-2</c:v>
                </c:pt>
                <c:pt idx="54">
                  <c:v>0.10776987</c:v>
                </c:pt>
                <c:pt idx="55">
                  <c:v>0.13327066000000001</c:v>
                </c:pt>
                <c:pt idx="56">
                  <c:v>0.22477694000000001</c:v>
                </c:pt>
                <c:pt idx="57">
                  <c:v>4.135776E-2</c:v>
                </c:pt>
                <c:pt idx="58">
                  <c:v>0.1346493</c:v>
                </c:pt>
                <c:pt idx="59">
                  <c:v>0.15503492999999999</c:v>
                </c:pt>
                <c:pt idx="60">
                  <c:v>9.1609040000000003E-2</c:v>
                </c:pt>
                <c:pt idx="61">
                  <c:v>8.5051370000000001E-2</c:v>
                </c:pt>
                <c:pt idx="62">
                  <c:v>8.8239860000000003E-2</c:v>
                </c:pt>
                <c:pt idx="63">
                  <c:v>7.0177920000000005E-2</c:v>
                </c:pt>
                <c:pt idx="64">
                  <c:v>-1.5006900000000001E-3</c:v>
                </c:pt>
                <c:pt idx="65">
                  <c:v>1.6537090000000001E-2</c:v>
                </c:pt>
                <c:pt idx="66">
                  <c:v>4.5981880000000003E-2</c:v>
                </c:pt>
                <c:pt idx="67">
                  <c:v>4.0826210000000002E-2</c:v>
                </c:pt>
                <c:pt idx="68">
                  <c:v>4.9472780000000001E-2</c:v>
                </c:pt>
                <c:pt idx="69">
                  <c:v>4.9311399999999998E-2</c:v>
                </c:pt>
                <c:pt idx="70">
                  <c:v>1.735E-3</c:v>
                </c:pt>
                <c:pt idx="71">
                  <c:v>1.462455E-2</c:v>
                </c:pt>
                <c:pt idx="72">
                  <c:v>1.604191E-2</c:v>
                </c:pt>
                <c:pt idx="73">
                  <c:v>4.499123E-2</c:v>
                </c:pt>
                <c:pt idx="74">
                  <c:v>2.3368099999999999E-2</c:v>
                </c:pt>
                <c:pt idx="75">
                  <c:v>3.6591770000000003E-2</c:v>
                </c:pt>
                <c:pt idx="76">
                  <c:v>-1.11319E-3</c:v>
                </c:pt>
                <c:pt idx="77">
                  <c:v>6.7436500000000003E-3</c:v>
                </c:pt>
                <c:pt idx="78">
                  <c:v>9.4998700000000005E-3</c:v>
                </c:pt>
                <c:pt idx="79">
                  <c:v>1.9950929999999999E-2</c:v>
                </c:pt>
                <c:pt idx="80">
                  <c:v>9.0563299999999996E-3</c:v>
                </c:pt>
                <c:pt idx="81">
                  <c:v>5.9807599999999999E-3</c:v>
                </c:pt>
                <c:pt idx="82">
                  <c:v>0.11347973</c:v>
                </c:pt>
                <c:pt idx="83">
                  <c:v>3.7432060000000003E-2</c:v>
                </c:pt>
                <c:pt idx="84">
                  <c:v>1.8893719999999999E-2</c:v>
                </c:pt>
                <c:pt idx="85">
                  <c:v>-7.2915499999999999E-3</c:v>
                </c:pt>
                <c:pt idx="86">
                  <c:v>3.3070299999999997E-2</c:v>
                </c:pt>
                <c:pt idx="87">
                  <c:v>0.30888343000000001</c:v>
                </c:pt>
                <c:pt idx="88">
                  <c:v>4.7597149999999998E-2</c:v>
                </c:pt>
                <c:pt idx="89">
                  <c:v>0.35564750000000001</c:v>
                </c:pt>
                <c:pt idx="90">
                  <c:v>4.7039890000000001E-2</c:v>
                </c:pt>
                <c:pt idx="91">
                  <c:v>6.315308E-2</c:v>
                </c:pt>
                <c:pt idx="92">
                  <c:v>6.0689739999999999E-2</c:v>
                </c:pt>
                <c:pt idx="93">
                  <c:v>5.8646400000000001E-2</c:v>
                </c:pt>
                <c:pt idx="94">
                  <c:v>5.3003450000000001E-2</c:v>
                </c:pt>
                <c:pt idx="95">
                  <c:v>7.2549279999999994E-2</c:v>
                </c:pt>
                <c:pt idx="96">
                  <c:v>5.7235889999999998E-2</c:v>
                </c:pt>
                <c:pt idx="97">
                  <c:v>0.16982808999999999</c:v>
                </c:pt>
                <c:pt idx="98">
                  <c:v>0.14950168999999999</c:v>
                </c:pt>
                <c:pt idx="99">
                  <c:v>0.38597809999999999</c:v>
                </c:pt>
                <c:pt idx="100">
                  <c:v>0.17219950000000001</c:v>
                </c:pt>
                <c:pt idx="101">
                  <c:v>0.15522527</c:v>
                </c:pt>
                <c:pt idx="102">
                  <c:v>0.14364022000000001</c:v>
                </c:pt>
                <c:pt idx="103">
                  <c:v>2.063278E-2</c:v>
                </c:pt>
                <c:pt idx="104">
                  <c:v>3.4674129999999997E-2</c:v>
                </c:pt>
                <c:pt idx="105">
                  <c:v>-4.2591900000000004E-3</c:v>
                </c:pt>
                <c:pt idx="106">
                  <c:v>9.37641E-3</c:v>
                </c:pt>
                <c:pt idx="107">
                  <c:v>9.4900399999999999E-3</c:v>
                </c:pt>
                <c:pt idx="108">
                  <c:v>3.9489169999999997E-2</c:v>
                </c:pt>
                <c:pt idx="109">
                  <c:v>2.9185969999999999E-2</c:v>
                </c:pt>
                <c:pt idx="110">
                  <c:v>4.3535400000000002E-2</c:v>
                </c:pt>
                <c:pt idx="111">
                  <c:v>0.26148962999999997</c:v>
                </c:pt>
                <c:pt idx="112">
                  <c:v>0.23719971000000001</c:v>
                </c:pt>
                <c:pt idx="113">
                  <c:v>0.22001670000000001</c:v>
                </c:pt>
                <c:pt idx="114">
                  <c:v>0.22125898999999999</c:v>
                </c:pt>
                <c:pt idx="115">
                  <c:v>0.21302821</c:v>
                </c:pt>
                <c:pt idx="116">
                  <c:v>0.26972974999999999</c:v>
                </c:pt>
                <c:pt idx="117">
                  <c:v>0.26305910999999998</c:v>
                </c:pt>
                <c:pt idx="118">
                  <c:v>0.21077267999999999</c:v>
                </c:pt>
                <c:pt idx="119">
                  <c:v>9.0636030000000006E-2</c:v>
                </c:pt>
                <c:pt idx="120">
                  <c:v>7.7003310000000005E-2</c:v>
                </c:pt>
                <c:pt idx="121">
                  <c:v>0.13781288</c:v>
                </c:pt>
                <c:pt idx="122">
                  <c:v>0.23655488999999999</c:v>
                </c:pt>
                <c:pt idx="123">
                  <c:v>0.11156853999999999</c:v>
                </c:pt>
                <c:pt idx="124">
                  <c:v>0.13976141</c:v>
                </c:pt>
                <c:pt idx="125">
                  <c:v>7.8024720000000006E-2</c:v>
                </c:pt>
                <c:pt idx="126">
                  <c:v>8.3383330000000005E-2</c:v>
                </c:pt>
                <c:pt idx="127">
                  <c:v>9.1937790000000005E-2</c:v>
                </c:pt>
                <c:pt idx="128">
                  <c:v>7.1312280000000006E-2</c:v>
                </c:pt>
                <c:pt idx="129">
                  <c:v>-2.2869800000000001E-3</c:v>
                </c:pt>
                <c:pt idx="130">
                  <c:v>1.1815249999999999E-2</c:v>
                </c:pt>
                <c:pt idx="131">
                  <c:v>2.1892849999999998E-2</c:v>
                </c:pt>
                <c:pt idx="132">
                  <c:v>2.5205000000000002E-2</c:v>
                </c:pt>
                <c:pt idx="133">
                  <c:v>4.3048679999999999E-2</c:v>
                </c:pt>
                <c:pt idx="134">
                  <c:v>2.0768089999999999E-2</c:v>
                </c:pt>
                <c:pt idx="135">
                  <c:v>1.9241879999999999E-2</c:v>
                </c:pt>
              </c:numCache>
            </c:numRef>
          </c:xVal>
          <c:yVal>
            <c:numRef>
              <c:f>'xTB vs DFT q0'!$C$2:$C$137</c:f>
              <c:numCache>
                <c:formatCode>General</c:formatCode>
                <c:ptCount val="136"/>
                <c:pt idx="0">
                  <c:v>0.33921400000000002</c:v>
                </c:pt>
                <c:pt idx="1">
                  <c:v>0.36558499999999999</c:v>
                </c:pt>
                <c:pt idx="2">
                  <c:v>0.29139900000000002</c:v>
                </c:pt>
                <c:pt idx="3">
                  <c:v>0.33804099999999998</c:v>
                </c:pt>
                <c:pt idx="4">
                  <c:v>-3.9910000000000001E-2</c:v>
                </c:pt>
                <c:pt idx="5">
                  <c:v>0.33742299999999997</c:v>
                </c:pt>
                <c:pt idx="6">
                  <c:v>0.38570700000000002</c:v>
                </c:pt>
                <c:pt idx="7">
                  <c:v>0.33491300000000002</c:v>
                </c:pt>
                <c:pt idx="8">
                  <c:v>0.36177500000000001</c:v>
                </c:pt>
                <c:pt idx="9">
                  <c:v>0.33310400000000001</c:v>
                </c:pt>
                <c:pt idx="10">
                  <c:v>0.35520000000000002</c:v>
                </c:pt>
                <c:pt idx="11">
                  <c:v>0.276229</c:v>
                </c:pt>
                <c:pt idx="12">
                  <c:v>0.37186399999999997</c:v>
                </c:pt>
                <c:pt idx="13">
                  <c:v>0.25424099999999999</c:v>
                </c:pt>
                <c:pt idx="14">
                  <c:v>0.38261200000000001</c:v>
                </c:pt>
                <c:pt idx="15">
                  <c:v>0.38793899999999998</c:v>
                </c:pt>
                <c:pt idx="16">
                  <c:v>0.274316</c:v>
                </c:pt>
                <c:pt idx="17">
                  <c:v>-0.223132</c:v>
                </c:pt>
                <c:pt idx="18">
                  <c:v>0.31834499999999999</c:v>
                </c:pt>
                <c:pt idx="19">
                  <c:v>0.28022200000000003</c:v>
                </c:pt>
                <c:pt idx="20">
                  <c:v>0.20635800000000001</c:v>
                </c:pt>
                <c:pt idx="21">
                  <c:v>0.30047000000000001</c:v>
                </c:pt>
                <c:pt idx="22">
                  <c:v>0.33325300000000002</c:v>
                </c:pt>
                <c:pt idx="23">
                  <c:v>0.35627599999999998</c:v>
                </c:pt>
                <c:pt idx="24">
                  <c:v>0.551759</c:v>
                </c:pt>
                <c:pt idx="25">
                  <c:v>0.40231299999999998</c:v>
                </c:pt>
                <c:pt idx="26">
                  <c:v>0.378666</c:v>
                </c:pt>
                <c:pt idx="27">
                  <c:v>0.36666799999999999</c:v>
                </c:pt>
                <c:pt idx="28">
                  <c:v>0.35703699999999999</c:v>
                </c:pt>
                <c:pt idx="29">
                  <c:v>0.47830299999999998</c:v>
                </c:pt>
                <c:pt idx="30">
                  <c:v>0.32239800000000002</c:v>
                </c:pt>
                <c:pt idx="31">
                  <c:v>0.21837000000000001</c:v>
                </c:pt>
                <c:pt idx="32">
                  <c:v>0.27738699999999999</c:v>
                </c:pt>
                <c:pt idx="33">
                  <c:v>0.26675100000000002</c:v>
                </c:pt>
                <c:pt idx="34">
                  <c:v>0.27779300000000001</c:v>
                </c:pt>
                <c:pt idx="35">
                  <c:v>0.15194099999999999</c:v>
                </c:pt>
                <c:pt idx="36">
                  <c:v>0.29823499999999997</c:v>
                </c:pt>
                <c:pt idx="37">
                  <c:v>0.22955200000000001</c:v>
                </c:pt>
                <c:pt idx="38">
                  <c:v>0.24873999999999999</c:v>
                </c:pt>
                <c:pt idx="39">
                  <c:v>0.32189400000000001</c:v>
                </c:pt>
                <c:pt idx="40">
                  <c:v>0.36521399999999998</c:v>
                </c:pt>
                <c:pt idx="41">
                  <c:v>0.31712600000000002</c:v>
                </c:pt>
                <c:pt idx="42">
                  <c:v>0.28550900000000001</c:v>
                </c:pt>
                <c:pt idx="43">
                  <c:v>0.34746899999999997</c:v>
                </c:pt>
                <c:pt idx="44">
                  <c:v>0.33686300000000002</c:v>
                </c:pt>
                <c:pt idx="45">
                  <c:v>0.35214600000000001</c:v>
                </c:pt>
                <c:pt idx="46">
                  <c:v>0.26948899999999998</c:v>
                </c:pt>
                <c:pt idx="47">
                  <c:v>0.33789799999999998</c:v>
                </c:pt>
                <c:pt idx="48">
                  <c:v>0.35338000000000003</c:v>
                </c:pt>
                <c:pt idx="49">
                  <c:v>0.28307900000000003</c:v>
                </c:pt>
                <c:pt idx="50">
                  <c:v>0.34527099999999999</c:v>
                </c:pt>
                <c:pt idx="51">
                  <c:v>0.32719500000000001</c:v>
                </c:pt>
                <c:pt idx="52">
                  <c:v>0.33816299999999999</c:v>
                </c:pt>
                <c:pt idx="53">
                  <c:v>0.34799400000000003</c:v>
                </c:pt>
                <c:pt idx="54">
                  <c:v>0.29542499999999999</c:v>
                </c:pt>
                <c:pt idx="55">
                  <c:v>0.3029</c:v>
                </c:pt>
                <c:pt idx="56">
                  <c:v>0.25068099999999999</c:v>
                </c:pt>
                <c:pt idx="57">
                  <c:v>0.42422199999999999</c:v>
                </c:pt>
                <c:pt idx="58">
                  <c:v>0.21953300000000001</c:v>
                </c:pt>
                <c:pt idx="59">
                  <c:v>0.27467000000000003</c:v>
                </c:pt>
                <c:pt idx="60">
                  <c:v>0.32089600000000001</c:v>
                </c:pt>
                <c:pt idx="61">
                  <c:v>0.32677600000000001</c:v>
                </c:pt>
                <c:pt idx="62">
                  <c:v>0.34637499999999999</c:v>
                </c:pt>
                <c:pt idx="63">
                  <c:v>0.367309</c:v>
                </c:pt>
                <c:pt idx="64">
                  <c:v>0.29716700000000001</c:v>
                </c:pt>
                <c:pt idx="65">
                  <c:v>0.26822099999999999</c:v>
                </c:pt>
                <c:pt idx="66">
                  <c:v>0.25370399999999999</c:v>
                </c:pt>
                <c:pt idx="67">
                  <c:v>0.300037</c:v>
                </c:pt>
                <c:pt idx="68">
                  <c:v>0.27404000000000001</c:v>
                </c:pt>
                <c:pt idx="69">
                  <c:v>0.429033</c:v>
                </c:pt>
                <c:pt idx="70">
                  <c:v>0.36751899999999998</c:v>
                </c:pt>
                <c:pt idx="71">
                  <c:v>0.32295200000000002</c:v>
                </c:pt>
                <c:pt idx="72">
                  <c:v>-7.5427999999999995E-2</c:v>
                </c:pt>
                <c:pt idx="73">
                  <c:v>-5.7206E-2</c:v>
                </c:pt>
                <c:pt idx="74">
                  <c:v>0.393096</c:v>
                </c:pt>
                <c:pt idx="75">
                  <c:v>0.34532400000000002</c:v>
                </c:pt>
                <c:pt idx="76">
                  <c:v>0.37076100000000001</c:v>
                </c:pt>
                <c:pt idx="77">
                  <c:v>0.35978500000000002</c:v>
                </c:pt>
                <c:pt idx="78">
                  <c:v>0.29232999999999998</c:v>
                </c:pt>
                <c:pt idx="79">
                  <c:v>0.23950199999999999</c:v>
                </c:pt>
                <c:pt idx="80">
                  <c:v>0.34865099999999999</c:v>
                </c:pt>
                <c:pt idx="81">
                  <c:v>0.38217400000000001</c:v>
                </c:pt>
                <c:pt idx="82">
                  <c:v>0.34258300000000003</c:v>
                </c:pt>
                <c:pt idx="83">
                  <c:v>-8.7271000000000001E-2</c:v>
                </c:pt>
                <c:pt idx="84">
                  <c:v>0.31391400000000003</c:v>
                </c:pt>
                <c:pt idx="85">
                  <c:v>0.30667499999999998</c:v>
                </c:pt>
                <c:pt idx="86">
                  <c:v>0.218614</c:v>
                </c:pt>
                <c:pt idx="87">
                  <c:v>0.34277099999999999</c:v>
                </c:pt>
                <c:pt idx="88">
                  <c:v>0.38625900000000002</c:v>
                </c:pt>
                <c:pt idx="89">
                  <c:v>0.55587200000000003</c:v>
                </c:pt>
                <c:pt idx="90">
                  <c:v>0.39058199999999998</c:v>
                </c:pt>
                <c:pt idx="91">
                  <c:v>0.40065099999999998</c:v>
                </c:pt>
                <c:pt idx="92">
                  <c:v>0.370334</c:v>
                </c:pt>
                <c:pt idx="93">
                  <c:v>0.36850699999999997</c:v>
                </c:pt>
                <c:pt idx="94">
                  <c:v>0.35540100000000002</c:v>
                </c:pt>
                <c:pt idx="95">
                  <c:v>0.35211199999999998</c:v>
                </c:pt>
                <c:pt idx="96">
                  <c:v>0.37432100000000001</c:v>
                </c:pt>
                <c:pt idx="97">
                  <c:v>0.20594199999999999</c:v>
                </c:pt>
                <c:pt idx="98">
                  <c:v>0.16140499999999999</c:v>
                </c:pt>
                <c:pt idx="99">
                  <c:v>0.33120100000000002</c:v>
                </c:pt>
                <c:pt idx="100">
                  <c:v>0.24101400000000001</c:v>
                </c:pt>
                <c:pt idx="101">
                  <c:v>0.25137500000000002</c:v>
                </c:pt>
                <c:pt idx="102">
                  <c:v>0.21888099999999999</c:v>
                </c:pt>
                <c:pt idx="103">
                  <c:v>0.256498</c:v>
                </c:pt>
                <c:pt idx="104">
                  <c:v>0.34598099999999998</c:v>
                </c:pt>
                <c:pt idx="105">
                  <c:v>0.36772700000000003</c:v>
                </c:pt>
                <c:pt idx="106">
                  <c:v>0.31824799999999998</c:v>
                </c:pt>
                <c:pt idx="107">
                  <c:v>0.286796</c:v>
                </c:pt>
                <c:pt idx="108">
                  <c:v>0.25590099999999999</c:v>
                </c:pt>
                <c:pt idx="109">
                  <c:v>0.32816600000000001</c:v>
                </c:pt>
                <c:pt idx="110">
                  <c:v>0.27955400000000002</c:v>
                </c:pt>
                <c:pt idx="111">
                  <c:v>0.33062999999999998</c:v>
                </c:pt>
                <c:pt idx="112">
                  <c:v>0.29377300000000001</c:v>
                </c:pt>
                <c:pt idx="113">
                  <c:v>0.31828299999999998</c:v>
                </c:pt>
                <c:pt idx="114">
                  <c:v>0.32652599999999998</c:v>
                </c:pt>
                <c:pt idx="115">
                  <c:v>0.26606400000000002</c:v>
                </c:pt>
                <c:pt idx="116">
                  <c:v>0.32818399999999998</c:v>
                </c:pt>
                <c:pt idx="117">
                  <c:v>0.29581800000000003</c:v>
                </c:pt>
                <c:pt idx="118">
                  <c:v>0.25819599999999998</c:v>
                </c:pt>
                <c:pt idx="119">
                  <c:v>0.32240200000000002</c:v>
                </c:pt>
                <c:pt idx="120">
                  <c:v>0.31449899999999997</c:v>
                </c:pt>
                <c:pt idx="121">
                  <c:v>0.31225700000000001</c:v>
                </c:pt>
                <c:pt idx="122">
                  <c:v>0.31801099999999999</c:v>
                </c:pt>
                <c:pt idx="123">
                  <c:v>0.32550299999999999</c:v>
                </c:pt>
                <c:pt idx="124">
                  <c:v>0.30182100000000001</c:v>
                </c:pt>
                <c:pt idx="125">
                  <c:v>0.35781499999999999</c:v>
                </c:pt>
                <c:pt idx="126">
                  <c:v>0.28564699999999998</c:v>
                </c:pt>
                <c:pt idx="127">
                  <c:v>0.27456599999999998</c:v>
                </c:pt>
                <c:pt idx="128">
                  <c:v>0.368508</c:v>
                </c:pt>
                <c:pt idx="129">
                  <c:v>0.30172199999999999</c:v>
                </c:pt>
                <c:pt idx="130">
                  <c:v>0.304147</c:v>
                </c:pt>
                <c:pt idx="131">
                  <c:v>0.23975399999999999</c:v>
                </c:pt>
                <c:pt idx="132">
                  <c:v>0.235599</c:v>
                </c:pt>
                <c:pt idx="133">
                  <c:v>0.27196999999999999</c:v>
                </c:pt>
                <c:pt idx="134">
                  <c:v>0.41547899999999999</c:v>
                </c:pt>
                <c:pt idx="135">
                  <c:v>0.41526200000000002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1-41E3-8EAF-96493BFC4A33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q0'!$B$2:$B$137</c:f>
              <c:numCache>
                <c:formatCode>General</c:formatCode>
                <c:ptCount val="136"/>
                <c:pt idx="0">
                  <c:v>-1.150294E-2</c:v>
                </c:pt>
                <c:pt idx="1">
                  <c:v>-1.3593500000000001E-3</c:v>
                </c:pt>
                <c:pt idx="2">
                  <c:v>1.4155360000000001E-2</c:v>
                </c:pt>
                <c:pt idx="3">
                  <c:v>0.10154593000000001</c:v>
                </c:pt>
                <c:pt idx="4">
                  <c:v>2.4377280000000001E-2</c:v>
                </c:pt>
                <c:pt idx="5">
                  <c:v>0.10825348999999999</c:v>
                </c:pt>
                <c:pt idx="6">
                  <c:v>2.4038489999999999E-2</c:v>
                </c:pt>
                <c:pt idx="7">
                  <c:v>3.8652190000000003E-2</c:v>
                </c:pt>
                <c:pt idx="8">
                  <c:v>1.5093469999999999E-2</c:v>
                </c:pt>
                <c:pt idx="9">
                  <c:v>1.5895610000000001E-2</c:v>
                </c:pt>
                <c:pt idx="10">
                  <c:v>8.1982500000000007E-3</c:v>
                </c:pt>
                <c:pt idx="11">
                  <c:v>0.29326703999999998</c:v>
                </c:pt>
                <c:pt idx="12">
                  <c:v>2.145509E-2</c:v>
                </c:pt>
                <c:pt idx="13">
                  <c:v>2.0732879999999999E-2</c:v>
                </c:pt>
                <c:pt idx="14">
                  <c:v>5.61504E-3</c:v>
                </c:pt>
                <c:pt idx="15">
                  <c:v>0.27994216999999999</c:v>
                </c:pt>
                <c:pt idx="16">
                  <c:v>1.398694E-2</c:v>
                </c:pt>
                <c:pt idx="17">
                  <c:v>7.6775209999999997E-2</c:v>
                </c:pt>
                <c:pt idx="18">
                  <c:v>1.0272099999999999E-2</c:v>
                </c:pt>
                <c:pt idx="19">
                  <c:v>3.4867600000000002E-3</c:v>
                </c:pt>
                <c:pt idx="20">
                  <c:v>2.3083889999999999E-2</c:v>
                </c:pt>
                <c:pt idx="21">
                  <c:v>1.6649130000000002E-2</c:v>
                </c:pt>
                <c:pt idx="22">
                  <c:v>4.6568350000000001E-2</c:v>
                </c:pt>
                <c:pt idx="23">
                  <c:v>4.4910600000000002E-2</c:v>
                </c:pt>
                <c:pt idx="24">
                  <c:v>0.34233660999999999</c:v>
                </c:pt>
                <c:pt idx="25">
                  <c:v>6.4772990000000003E-2</c:v>
                </c:pt>
                <c:pt idx="26">
                  <c:v>6.0425230000000003E-2</c:v>
                </c:pt>
                <c:pt idx="27">
                  <c:v>5.7101180000000001E-2</c:v>
                </c:pt>
                <c:pt idx="28">
                  <c:v>6.0936499999999998E-2</c:v>
                </c:pt>
                <c:pt idx="29">
                  <c:v>0.35958246999999999</c:v>
                </c:pt>
                <c:pt idx="30">
                  <c:v>6.1658329999999997E-2</c:v>
                </c:pt>
                <c:pt idx="31">
                  <c:v>0.13251197000000001</c:v>
                </c:pt>
                <c:pt idx="32">
                  <c:v>0.14370769999999999</c:v>
                </c:pt>
                <c:pt idx="33">
                  <c:v>0.10995041</c:v>
                </c:pt>
                <c:pt idx="34">
                  <c:v>0.12216784999999999</c:v>
                </c:pt>
                <c:pt idx="35">
                  <c:v>0.29046775000000002</c:v>
                </c:pt>
                <c:pt idx="36">
                  <c:v>0.13650425999999999</c:v>
                </c:pt>
                <c:pt idx="37">
                  <c:v>0.14420454999999999</c:v>
                </c:pt>
                <c:pt idx="38">
                  <c:v>3.0991850000000001E-2</c:v>
                </c:pt>
                <c:pt idx="39">
                  <c:v>3.5533490000000001E-2</c:v>
                </c:pt>
                <c:pt idx="40">
                  <c:v>-8.7768999999999998E-4</c:v>
                </c:pt>
                <c:pt idx="41">
                  <c:v>8.5333400000000004E-3</c:v>
                </c:pt>
                <c:pt idx="42">
                  <c:v>2.852681E-2</c:v>
                </c:pt>
                <c:pt idx="43">
                  <c:v>2.2681139999999999E-2</c:v>
                </c:pt>
                <c:pt idx="44">
                  <c:v>4.7848019999999998E-2</c:v>
                </c:pt>
                <c:pt idx="45">
                  <c:v>0.22704608000000001</c:v>
                </c:pt>
                <c:pt idx="46">
                  <c:v>0.22541435000000001</c:v>
                </c:pt>
                <c:pt idx="47">
                  <c:v>0.22218146999999999</c:v>
                </c:pt>
                <c:pt idx="48">
                  <c:v>0.22230481999999999</c:v>
                </c:pt>
                <c:pt idx="49">
                  <c:v>0.21794693000000001</c:v>
                </c:pt>
                <c:pt idx="50">
                  <c:v>0.25696140000000001</c:v>
                </c:pt>
                <c:pt idx="51">
                  <c:v>0.21544094999999999</c:v>
                </c:pt>
                <c:pt idx="52">
                  <c:v>0.21908206</c:v>
                </c:pt>
                <c:pt idx="53">
                  <c:v>7.2860030000000006E-2</c:v>
                </c:pt>
                <c:pt idx="54">
                  <c:v>0.10776987</c:v>
                </c:pt>
                <c:pt idx="55">
                  <c:v>0.13327066000000001</c:v>
                </c:pt>
                <c:pt idx="56">
                  <c:v>0.22477694000000001</c:v>
                </c:pt>
                <c:pt idx="57">
                  <c:v>4.135776E-2</c:v>
                </c:pt>
                <c:pt idx="58">
                  <c:v>0.1346493</c:v>
                </c:pt>
                <c:pt idx="59">
                  <c:v>0.15503492999999999</c:v>
                </c:pt>
                <c:pt idx="60">
                  <c:v>9.1609040000000003E-2</c:v>
                </c:pt>
                <c:pt idx="61">
                  <c:v>8.5051370000000001E-2</c:v>
                </c:pt>
                <c:pt idx="62">
                  <c:v>8.8239860000000003E-2</c:v>
                </c:pt>
                <c:pt idx="63">
                  <c:v>7.0177920000000005E-2</c:v>
                </c:pt>
                <c:pt idx="64">
                  <c:v>-1.5006900000000001E-3</c:v>
                </c:pt>
                <c:pt idx="65">
                  <c:v>1.6537090000000001E-2</c:v>
                </c:pt>
                <c:pt idx="66">
                  <c:v>4.5981880000000003E-2</c:v>
                </c:pt>
                <c:pt idx="67">
                  <c:v>4.0826210000000002E-2</c:v>
                </c:pt>
                <c:pt idx="68">
                  <c:v>4.9472780000000001E-2</c:v>
                </c:pt>
                <c:pt idx="69">
                  <c:v>4.9311399999999998E-2</c:v>
                </c:pt>
                <c:pt idx="70">
                  <c:v>1.735E-3</c:v>
                </c:pt>
                <c:pt idx="71">
                  <c:v>1.462455E-2</c:v>
                </c:pt>
                <c:pt idx="72">
                  <c:v>1.604191E-2</c:v>
                </c:pt>
                <c:pt idx="73">
                  <c:v>4.499123E-2</c:v>
                </c:pt>
                <c:pt idx="74">
                  <c:v>2.3368099999999999E-2</c:v>
                </c:pt>
                <c:pt idx="75">
                  <c:v>3.6591770000000003E-2</c:v>
                </c:pt>
                <c:pt idx="76">
                  <c:v>-1.11319E-3</c:v>
                </c:pt>
                <c:pt idx="77">
                  <c:v>6.7436500000000003E-3</c:v>
                </c:pt>
                <c:pt idx="78">
                  <c:v>9.4998700000000005E-3</c:v>
                </c:pt>
                <c:pt idx="79">
                  <c:v>1.9950929999999999E-2</c:v>
                </c:pt>
                <c:pt idx="80">
                  <c:v>9.0563299999999996E-3</c:v>
                </c:pt>
                <c:pt idx="81">
                  <c:v>5.9807599999999999E-3</c:v>
                </c:pt>
                <c:pt idx="82">
                  <c:v>0.11347973</c:v>
                </c:pt>
                <c:pt idx="83">
                  <c:v>3.7432060000000003E-2</c:v>
                </c:pt>
                <c:pt idx="84">
                  <c:v>1.8893719999999999E-2</c:v>
                </c:pt>
                <c:pt idx="85">
                  <c:v>-7.2915499999999999E-3</c:v>
                </c:pt>
                <c:pt idx="86">
                  <c:v>3.3070299999999997E-2</c:v>
                </c:pt>
                <c:pt idx="87">
                  <c:v>0.30888343000000001</c:v>
                </c:pt>
                <c:pt idx="88">
                  <c:v>4.7597149999999998E-2</c:v>
                </c:pt>
                <c:pt idx="89">
                  <c:v>0.35564750000000001</c:v>
                </c:pt>
                <c:pt idx="90">
                  <c:v>4.7039890000000001E-2</c:v>
                </c:pt>
                <c:pt idx="91">
                  <c:v>6.315308E-2</c:v>
                </c:pt>
                <c:pt idx="92">
                  <c:v>6.0689739999999999E-2</c:v>
                </c:pt>
                <c:pt idx="93">
                  <c:v>5.8646400000000001E-2</c:v>
                </c:pt>
                <c:pt idx="94">
                  <c:v>5.3003450000000001E-2</c:v>
                </c:pt>
                <c:pt idx="95">
                  <c:v>7.2549279999999994E-2</c:v>
                </c:pt>
                <c:pt idx="96">
                  <c:v>5.7235889999999998E-2</c:v>
                </c:pt>
                <c:pt idx="97">
                  <c:v>0.16982808999999999</c:v>
                </c:pt>
                <c:pt idx="98">
                  <c:v>0.14950168999999999</c:v>
                </c:pt>
                <c:pt idx="99">
                  <c:v>0.38597809999999999</c:v>
                </c:pt>
                <c:pt idx="100">
                  <c:v>0.17219950000000001</c:v>
                </c:pt>
                <c:pt idx="101">
                  <c:v>0.15522527</c:v>
                </c:pt>
                <c:pt idx="102">
                  <c:v>0.14364022000000001</c:v>
                </c:pt>
                <c:pt idx="103">
                  <c:v>2.063278E-2</c:v>
                </c:pt>
                <c:pt idx="104">
                  <c:v>3.4674129999999997E-2</c:v>
                </c:pt>
                <c:pt idx="105">
                  <c:v>-4.2591900000000004E-3</c:v>
                </c:pt>
                <c:pt idx="106">
                  <c:v>9.37641E-3</c:v>
                </c:pt>
                <c:pt idx="107">
                  <c:v>9.4900399999999999E-3</c:v>
                </c:pt>
                <c:pt idx="108">
                  <c:v>3.9489169999999997E-2</c:v>
                </c:pt>
                <c:pt idx="109">
                  <c:v>2.9185969999999999E-2</c:v>
                </c:pt>
                <c:pt idx="110">
                  <c:v>4.3535400000000002E-2</c:v>
                </c:pt>
                <c:pt idx="111">
                  <c:v>0.26148962999999997</c:v>
                </c:pt>
                <c:pt idx="112">
                  <c:v>0.23719971000000001</c:v>
                </c:pt>
                <c:pt idx="113">
                  <c:v>0.22001670000000001</c:v>
                </c:pt>
                <c:pt idx="114">
                  <c:v>0.22125898999999999</c:v>
                </c:pt>
                <c:pt idx="115">
                  <c:v>0.21302821</c:v>
                </c:pt>
                <c:pt idx="116">
                  <c:v>0.26972974999999999</c:v>
                </c:pt>
                <c:pt idx="117">
                  <c:v>0.26305910999999998</c:v>
                </c:pt>
                <c:pt idx="118">
                  <c:v>0.21077267999999999</c:v>
                </c:pt>
                <c:pt idx="119">
                  <c:v>9.0636030000000006E-2</c:v>
                </c:pt>
                <c:pt idx="120">
                  <c:v>7.7003310000000005E-2</c:v>
                </c:pt>
                <c:pt idx="121">
                  <c:v>0.13781288</c:v>
                </c:pt>
                <c:pt idx="122">
                  <c:v>0.23655488999999999</c:v>
                </c:pt>
                <c:pt idx="123">
                  <c:v>0.11156853999999999</c:v>
                </c:pt>
                <c:pt idx="124">
                  <c:v>0.13976141</c:v>
                </c:pt>
                <c:pt idx="125">
                  <c:v>7.8024720000000006E-2</c:v>
                </c:pt>
                <c:pt idx="126">
                  <c:v>8.3383330000000005E-2</c:v>
                </c:pt>
                <c:pt idx="127">
                  <c:v>9.1937790000000005E-2</c:v>
                </c:pt>
                <c:pt idx="128">
                  <c:v>7.1312280000000006E-2</c:v>
                </c:pt>
                <c:pt idx="129">
                  <c:v>-2.2869800000000001E-3</c:v>
                </c:pt>
                <c:pt idx="130">
                  <c:v>1.1815249999999999E-2</c:v>
                </c:pt>
                <c:pt idx="131">
                  <c:v>2.1892849999999998E-2</c:v>
                </c:pt>
                <c:pt idx="132">
                  <c:v>2.5205000000000002E-2</c:v>
                </c:pt>
                <c:pt idx="133">
                  <c:v>4.3048679999999999E-2</c:v>
                </c:pt>
                <c:pt idx="134">
                  <c:v>2.0768089999999999E-2</c:v>
                </c:pt>
                <c:pt idx="135">
                  <c:v>1.9241879999999999E-2</c:v>
                </c:pt>
              </c:numCache>
            </c:numRef>
          </c:xVal>
          <c:yVal>
            <c:numRef>
              <c:f>'xTB vs DFT q0'!$I$2:$I$137</c:f>
              <c:numCache>
                <c:formatCode>General</c:formatCode>
                <c:ptCount val="136"/>
                <c:pt idx="0">
                  <c:v>-1.150294E-2</c:v>
                </c:pt>
                <c:pt idx="1">
                  <c:v>-1.3593500000000001E-3</c:v>
                </c:pt>
                <c:pt idx="2">
                  <c:v>1.4155360000000001E-2</c:v>
                </c:pt>
                <c:pt idx="3">
                  <c:v>0.10154593000000001</c:v>
                </c:pt>
                <c:pt idx="4">
                  <c:v>2.4377280000000001E-2</c:v>
                </c:pt>
                <c:pt idx="5">
                  <c:v>0.10825348999999999</c:v>
                </c:pt>
                <c:pt idx="6">
                  <c:v>2.4038489999999999E-2</c:v>
                </c:pt>
                <c:pt idx="7">
                  <c:v>3.8652190000000003E-2</c:v>
                </c:pt>
                <c:pt idx="8">
                  <c:v>1.5093469999999999E-2</c:v>
                </c:pt>
                <c:pt idx="9">
                  <c:v>1.5895610000000001E-2</c:v>
                </c:pt>
                <c:pt idx="10">
                  <c:v>8.1982500000000007E-3</c:v>
                </c:pt>
                <c:pt idx="11">
                  <c:v>0.29326703999999998</c:v>
                </c:pt>
                <c:pt idx="12">
                  <c:v>2.145509E-2</c:v>
                </c:pt>
                <c:pt idx="13">
                  <c:v>2.0732879999999999E-2</c:v>
                </c:pt>
                <c:pt idx="14">
                  <c:v>5.61504E-3</c:v>
                </c:pt>
                <c:pt idx="15">
                  <c:v>0.27994216999999999</c:v>
                </c:pt>
                <c:pt idx="16">
                  <c:v>1.398694E-2</c:v>
                </c:pt>
                <c:pt idx="17">
                  <c:v>7.6775209999999997E-2</c:v>
                </c:pt>
                <c:pt idx="18">
                  <c:v>1.0272099999999999E-2</c:v>
                </c:pt>
                <c:pt idx="19">
                  <c:v>3.4867600000000002E-3</c:v>
                </c:pt>
                <c:pt idx="20">
                  <c:v>2.3083889999999999E-2</c:v>
                </c:pt>
                <c:pt idx="21">
                  <c:v>1.6649130000000002E-2</c:v>
                </c:pt>
                <c:pt idx="22">
                  <c:v>4.6568350000000001E-2</c:v>
                </c:pt>
                <c:pt idx="23">
                  <c:v>4.4910600000000002E-2</c:v>
                </c:pt>
                <c:pt idx="24">
                  <c:v>0.34233660999999999</c:v>
                </c:pt>
                <c:pt idx="25">
                  <c:v>6.4772990000000003E-2</c:v>
                </c:pt>
                <c:pt idx="26">
                  <c:v>6.0425230000000003E-2</c:v>
                </c:pt>
                <c:pt idx="27">
                  <c:v>5.7101180000000001E-2</c:v>
                </c:pt>
                <c:pt idx="28">
                  <c:v>6.0936499999999998E-2</c:v>
                </c:pt>
                <c:pt idx="29">
                  <c:v>0.35958246999999999</c:v>
                </c:pt>
                <c:pt idx="30">
                  <c:v>6.1658329999999997E-2</c:v>
                </c:pt>
                <c:pt idx="31">
                  <c:v>0.13251197000000001</c:v>
                </c:pt>
                <c:pt idx="32">
                  <c:v>0.14370769999999999</c:v>
                </c:pt>
                <c:pt idx="33">
                  <c:v>0.10995041</c:v>
                </c:pt>
                <c:pt idx="34">
                  <c:v>0.12216784999999999</c:v>
                </c:pt>
                <c:pt idx="35">
                  <c:v>0.29046775000000002</c:v>
                </c:pt>
                <c:pt idx="36">
                  <c:v>0.13650425999999999</c:v>
                </c:pt>
                <c:pt idx="37">
                  <c:v>0.14420454999999999</c:v>
                </c:pt>
                <c:pt idx="38">
                  <c:v>3.0991850000000001E-2</c:v>
                </c:pt>
                <c:pt idx="39">
                  <c:v>3.5533490000000001E-2</c:v>
                </c:pt>
                <c:pt idx="40">
                  <c:v>-8.7768999999999998E-4</c:v>
                </c:pt>
                <c:pt idx="41">
                  <c:v>8.5333400000000004E-3</c:v>
                </c:pt>
                <c:pt idx="42">
                  <c:v>2.852681E-2</c:v>
                </c:pt>
                <c:pt idx="43">
                  <c:v>2.2681139999999999E-2</c:v>
                </c:pt>
                <c:pt idx="44">
                  <c:v>4.7848019999999998E-2</c:v>
                </c:pt>
                <c:pt idx="45">
                  <c:v>0.22704608000000001</c:v>
                </c:pt>
                <c:pt idx="46">
                  <c:v>0.22541435000000001</c:v>
                </c:pt>
                <c:pt idx="47">
                  <c:v>0.22218146999999999</c:v>
                </c:pt>
                <c:pt idx="48">
                  <c:v>0.22230481999999999</c:v>
                </c:pt>
                <c:pt idx="49">
                  <c:v>0.21794693000000001</c:v>
                </c:pt>
                <c:pt idx="50">
                  <c:v>0.25696140000000001</c:v>
                </c:pt>
                <c:pt idx="51">
                  <c:v>0.21544094999999999</c:v>
                </c:pt>
                <c:pt idx="52">
                  <c:v>0.21908206</c:v>
                </c:pt>
                <c:pt idx="53">
                  <c:v>7.2860030000000006E-2</c:v>
                </c:pt>
                <c:pt idx="54">
                  <c:v>0.10776987</c:v>
                </c:pt>
                <c:pt idx="55">
                  <c:v>0.13327066000000001</c:v>
                </c:pt>
                <c:pt idx="56">
                  <c:v>0.22477694000000001</c:v>
                </c:pt>
                <c:pt idx="57">
                  <c:v>4.135776E-2</c:v>
                </c:pt>
                <c:pt idx="58">
                  <c:v>0.1346493</c:v>
                </c:pt>
                <c:pt idx="59">
                  <c:v>0.15503492999999999</c:v>
                </c:pt>
                <c:pt idx="60">
                  <c:v>9.1609040000000003E-2</c:v>
                </c:pt>
                <c:pt idx="61">
                  <c:v>8.5051370000000001E-2</c:v>
                </c:pt>
                <c:pt idx="62">
                  <c:v>8.8239860000000003E-2</c:v>
                </c:pt>
                <c:pt idx="63">
                  <c:v>7.0177920000000005E-2</c:v>
                </c:pt>
                <c:pt idx="64">
                  <c:v>-1.5006900000000001E-3</c:v>
                </c:pt>
                <c:pt idx="65">
                  <c:v>1.6537090000000001E-2</c:v>
                </c:pt>
                <c:pt idx="66">
                  <c:v>4.5981880000000003E-2</c:v>
                </c:pt>
                <c:pt idx="67">
                  <c:v>4.0826210000000002E-2</c:v>
                </c:pt>
                <c:pt idx="68">
                  <c:v>4.9472780000000001E-2</c:v>
                </c:pt>
                <c:pt idx="69">
                  <c:v>4.9311399999999998E-2</c:v>
                </c:pt>
                <c:pt idx="70">
                  <c:v>1.735E-3</c:v>
                </c:pt>
                <c:pt idx="71">
                  <c:v>1.462455E-2</c:v>
                </c:pt>
                <c:pt idx="72">
                  <c:v>1.604191E-2</c:v>
                </c:pt>
                <c:pt idx="73">
                  <c:v>4.499123E-2</c:v>
                </c:pt>
                <c:pt idx="74">
                  <c:v>2.3368099999999999E-2</c:v>
                </c:pt>
                <c:pt idx="75">
                  <c:v>3.6591770000000003E-2</c:v>
                </c:pt>
                <c:pt idx="76">
                  <c:v>-1.11319E-3</c:v>
                </c:pt>
                <c:pt idx="77">
                  <c:v>6.7436500000000003E-3</c:v>
                </c:pt>
                <c:pt idx="78">
                  <c:v>9.4998700000000005E-3</c:v>
                </c:pt>
                <c:pt idx="79">
                  <c:v>1.9950929999999999E-2</c:v>
                </c:pt>
                <c:pt idx="80">
                  <c:v>9.0563299999999996E-3</c:v>
                </c:pt>
                <c:pt idx="81">
                  <c:v>5.9807599999999999E-3</c:v>
                </c:pt>
                <c:pt idx="82">
                  <c:v>0.11347973</c:v>
                </c:pt>
                <c:pt idx="83">
                  <c:v>3.7432060000000003E-2</c:v>
                </c:pt>
                <c:pt idx="84">
                  <c:v>1.8893719999999999E-2</c:v>
                </c:pt>
                <c:pt idx="85">
                  <c:v>-7.2915499999999999E-3</c:v>
                </c:pt>
                <c:pt idx="86">
                  <c:v>3.3070299999999997E-2</c:v>
                </c:pt>
                <c:pt idx="87">
                  <c:v>0.30888343000000001</c:v>
                </c:pt>
                <c:pt idx="88">
                  <c:v>4.7597149999999998E-2</c:v>
                </c:pt>
                <c:pt idx="89">
                  <c:v>0.35564750000000001</c:v>
                </c:pt>
                <c:pt idx="90">
                  <c:v>4.7039890000000001E-2</c:v>
                </c:pt>
                <c:pt idx="91">
                  <c:v>6.315308E-2</c:v>
                </c:pt>
                <c:pt idx="92">
                  <c:v>6.0689739999999999E-2</c:v>
                </c:pt>
                <c:pt idx="93">
                  <c:v>5.8646400000000001E-2</c:v>
                </c:pt>
                <c:pt idx="94">
                  <c:v>5.3003450000000001E-2</c:v>
                </c:pt>
                <c:pt idx="95">
                  <c:v>7.2549279999999994E-2</c:v>
                </c:pt>
                <c:pt idx="96">
                  <c:v>5.7235889999999998E-2</c:v>
                </c:pt>
                <c:pt idx="97">
                  <c:v>0.16982808999999999</c:v>
                </c:pt>
                <c:pt idx="98">
                  <c:v>0.14950168999999999</c:v>
                </c:pt>
                <c:pt idx="99">
                  <c:v>0.38597809999999999</c:v>
                </c:pt>
                <c:pt idx="100">
                  <c:v>0.17219950000000001</c:v>
                </c:pt>
                <c:pt idx="101">
                  <c:v>0.15522527</c:v>
                </c:pt>
                <c:pt idx="102">
                  <c:v>0.14364022000000001</c:v>
                </c:pt>
                <c:pt idx="103">
                  <c:v>2.063278E-2</c:v>
                </c:pt>
                <c:pt idx="104">
                  <c:v>3.4674129999999997E-2</c:v>
                </c:pt>
                <c:pt idx="105">
                  <c:v>-4.2591900000000004E-3</c:v>
                </c:pt>
                <c:pt idx="106">
                  <c:v>9.37641E-3</c:v>
                </c:pt>
                <c:pt idx="107">
                  <c:v>9.4900399999999999E-3</c:v>
                </c:pt>
                <c:pt idx="108">
                  <c:v>3.9489169999999997E-2</c:v>
                </c:pt>
                <c:pt idx="109">
                  <c:v>2.9185969999999999E-2</c:v>
                </c:pt>
                <c:pt idx="110">
                  <c:v>4.3535400000000002E-2</c:v>
                </c:pt>
                <c:pt idx="111">
                  <c:v>0.26148962999999997</c:v>
                </c:pt>
                <c:pt idx="112">
                  <c:v>0.23719971000000001</c:v>
                </c:pt>
                <c:pt idx="113">
                  <c:v>0.22001670000000001</c:v>
                </c:pt>
                <c:pt idx="114">
                  <c:v>0.22125898999999999</c:v>
                </c:pt>
                <c:pt idx="115">
                  <c:v>0.21302821</c:v>
                </c:pt>
                <c:pt idx="116">
                  <c:v>0.26972974999999999</c:v>
                </c:pt>
                <c:pt idx="117">
                  <c:v>0.26305910999999998</c:v>
                </c:pt>
                <c:pt idx="118">
                  <c:v>0.21077267999999999</c:v>
                </c:pt>
                <c:pt idx="119">
                  <c:v>9.0636030000000006E-2</c:v>
                </c:pt>
                <c:pt idx="120">
                  <c:v>7.7003310000000005E-2</c:v>
                </c:pt>
                <c:pt idx="121">
                  <c:v>0.13781288</c:v>
                </c:pt>
                <c:pt idx="122">
                  <c:v>0.23655488999999999</c:v>
                </c:pt>
                <c:pt idx="123">
                  <c:v>0.11156853999999999</c:v>
                </c:pt>
                <c:pt idx="124">
                  <c:v>0.13976141</c:v>
                </c:pt>
                <c:pt idx="125">
                  <c:v>7.8024720000000006E-2</c:v>
                </c:pt>
                <c:pt idx="126">
                  <c:v>8.3383330000000005E-2</c:v>
                </c:pt>
                <c:pt idx="127">
                  <c:v>9.1937790000000005E-2</c:v>
                </c:pt>
                <c:pt idx="128">
                  <c:v>7.1312280000000006E-2</c:v>
                </c:pt>
                <c:pt idx="129">
                  <c:v>-2.2869800000000001E-3</c:v>
                </c:pt>
                <c:pt idx="130">
                  <c:v>1.1815249999999999E-2</c:v>
                </c:pt>
                <c:pt idx="131">
                  <c:v>2.1892849999999998E-2</c:v>
                </c:pt>
                <c:pt idx="132">
                  <c:v>2.5205000000000002E-2</c:v>
                </c:pt>
                <c:pt idx="133">
                  <c:v>4.3048679999999999E-2</c:v>
                </c:pt>
                <c:pt idx="134">
                  <c:v>2.0768089999999999E-2</c:v>
                </c:pt>
                <c:pt idx="135">
                  <c:v>1.9241879999999999E-2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91-41E3-8EAF-96493BFC4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0.385978850000000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0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9817060655042461"/>
              <c:y val="0.71216267111592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0.55587200000000003"/>
          <c:min val="-0.22313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0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24160439000788456"/>
              <c:y val="0.279327537589399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77852736940126E-2"/>
          <c:y val="0.8931346778678687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Atomic</a:t>
            </a:r>
            <a:r>
              <a:rPr lang="en-IN" sz="1600" b="1" baseline="0">
                <a:solidFill>
                  <a:sysClr val="windowText" lastClr="000000"/>
                </a:solidFill>
              </a:rPr>
              <a:t> charge</a:t>
            </a:r>
            <a:r>
              <a:rPr lang="en-IN" sz="1600" b="1">
                <a:solidFill>
                  <a:sysClr val="windowText" lastClr="000000"/>
                </a:solidFill>
              </a:rPr>
              <a:t>, </a:t>
            </a:r>
            <a:r>
              <a:rPr lang="en-IN" sz="1600" b="1" i="1" u="none" strike="noStrike" kern="1200" spc="0" baseline="0">
                <a:solidFill>
                  <a:sysClr val="windowText" lastClr="000000"/>
                </a:solidFill>
              </a:rPr>
              <a:t>q</a:t>
            </a:r>
            <a:r>
              <a:rPr lang="en-IN" sz="1600" b="1" i="1" u="none" strike="noStrike" kern="1200" spc="0" baseline="-25000">
                <a:solidFill>
                  <a:sysClr val="windowText" lastClr="000000"/>
                </a:solidFill>
              </a:rPr>
              <a:t>3</a:t>
            </a:r>
            <a:r>
              <a:rPr lang="en-IN" sz="1600" b="1" baseline="0">
                <a:solidFill>
                  <a:sysClr val="windowText" lastClr="000000"/>
                </a:solidFill>
              </a:rPr>
              <a:t> 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401469664657692"/>
          <c:y val="9.91325898389095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1869252606843218"/>
          <c:y val="0.17374999999999999"/>
          <c:w val="0.6360810645609682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388252490631362"/>
                  <c:y val="0.1249874620691000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IN" sz="1000" b="1" i="1" u="none" strike="noStrike" baseline="0">
                        <a:effectLst/>
                      </a:rPr>
                      <a:t>q</a:t>
                    </a:r>
                    <a:r>
                      <a:rPr lang="en-IN" sz="1000" b="1" i="1" u="none" strike="noStrike" baseline="-25000">
                        <a:effectLst/>
                      </a:rPr>
                      <a:t>3</a:t>
                    </a:r>
                    <a:r>
                      <a:rPr lang="en-IN" sz="1000" b="1" i="0" u="none" strike="noStrike" baseline="-25000">
                        <a:effectLst/>
                      </a:rPr>
                      <a:t>,</a:t>
                    </a:r>
                    <a:r>
                      <a:rPr lang="en-GB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/>
                      <a:t> = 0.50</a:t>
                    </a:r>
                    <a:r>
                      <a:rPr lang="en-IN" sz="1000" b="1" i="1" u="none" strike="noStrike" baseline="0">
                        <a:effectLst/>
                      </a:rPr>
                      <a:t>q</a:t>
                    </a:r>
                    <a:r>
                      <a:rPr lang="en-IN" sz="1000" b="1" i="1" u="none" strike="noStrike" baseline="-25000">
                        <a:effectLst/>
                      </a:rPr>
                      <a:t>3</a:t>
                    </a:r>
                    <a:r>
                      <a:rPr lang="en-IN" sz="1000" b="1" i="0" u="none" strike="noStrike" baseline="-25000">
                        <a:effectLst/>
                      </a:rPr>
                      <a:t>,</a:t>
                    </a:r>
                    <a:r>
                      <a:rPr lang="en-GB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- 0.10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0.1104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0.35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0.03a.u.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0.04a.u.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q3'!$B$2:$B$137</c:f>
              <c:numCache>
                <c:formatCode>General</c:formatCode>
                <c:ptCount val="136"/>
                <c:pt idx="0">
                  <c:v>-0.15303277000000001</c:v>
                </c:pt>
                <c:pt idx="1">
                  <c:v>-0.14925516</c:v>
                </c:pt>
                <c:pt idx="2">
                  <c:v>-0.14392535000000001</c:v>
                </c:pt>
                <c:pt idx="3">
                  <c:v>-0.12817132000000001</c:v>
                </c:pt>
                <c:pt idx="4">
                  <c:v>-0.15144479</c:v>
                </c:pt>
                <c:pt idx="5">
                  <c:v>-0.13177477000000001</c:v>
                </c:pt>
                <c:pt idx="6">
                  <c:v>-0.13805779000000001</c:v>
                </c:pt>
                <c:pt idx="7">
                  <c:v>-0.14269243000000001</c:v>
                </c:pt>
                <c:pt idx="8">
                  <c:v>-0.15374003999999999</c:v>
                </c:pt>
                <c:pt idx="9">
                  <c:v>-0.14456770999999999</c:v>
                </c:pt>
                <c:pt idx="10">
                  <c:v>-0.14926846999999999</c:v>
                </c:pt>
                <c:pt idx="11">
                  <c:v>-0.21330774</c:v>
                </c:pt>
                <c:pt idx="12">
                  <c:v>-0.14728252</c:v>
                </c:pt>
                <c:pt idx="13">
                  <c:v>-0.16032761000000001</c:v>
                </c:pt>
                <c:pt idx="14">
                  <c:v>-0.14293558000000001</c:v>
                </c:pt>
                <c:pt idx="15">
                  <c:v>-0.17261439000000001</c:v>
                </c:pt>
                <c:pt idx="16">
                  <c:v>-0.15498766</c:v>
                </c:pt>
                <c:pt idx="17">
                  <c:v>-0.16466030000000001</c:v>
                </c:pt>
                <c:pt idx="18">
                  <c:v>-0.15439517999999999</c:v>
                </c:pt>
                <c:pt idx="19">
                  <c:v>-0.15605088</c:v>
                </c:pt>
                <c:pt idx="20">
                  <c:v>-0.16401477</c:v>
                </c:pt>
                <c:pt idx="21">
                  <c:v>-0.15879712000000001</c:v>
                </c:pt>
                <c:pt idx="22">
                  <c:v>-0.12392942999999999</c:v>
                </c:pt>
                <c:pt idx="23">
                  <c:v>-0.12356404999999999</c:v>
                </c:pt>
                <c:pt idx="24">
                  <c:v>-0.18881603</c:v>
                </c:pt>
                <c:pt idx="25">
                  <c:v>-0.12329612</c:v>
                </c:pt>
                <c:pt idx="26">
                  <c:v>-0.13311614999999999</c:v>
                </c:pt>
                <c:pt idx="27">
                  <c:v>-0.12777031</c:v>
                </c:pt>
                <c:pt idx="28">
                  <c:v>-0.13329539000000001</c:v>
                </c:pt>
                <c:pt idx="29">
                  <c:v>-0.19214654</c:v>
                </c:pt>
                <c:pt idx="30">
                  <c:v>-0.13326159000000001</c:v>
                </c:pt>
                <c:pt idx="31">
                  <c:v>-0.17105235999999999</c:v>
                </c:pt>
                <c:pt idx="32">
                  <c:v>-0.17519143000000001</c:v>
                </c:pt>
                <c:pt idx="33">
                  <c:v>-0.18128342</c:v>
                </c:pt>
                <c:pt idx="34">
                  <c:v>-0.15985796999999999</c:v>
                </c:pt>
                <c:pt idx="35">
                  <c:v>-0.24185387999999999</c:v>
                </c:pt>
                <c:pt idx="36">
                  <c:v>-0.1739018</c:v>
                </c:pt>
                <c:pt idx="37">
                  <c:v>-0.18487050999999999</c:v>
                </c:pt>
                <c:pt idx="38">
                  <c:v>-0.15422063999999999</c:v>
                </c:pt>
                <c:pt idx="39">
                  <c:v>-0.12812129</c:v>
                </c:pt>
                <c:pt idx="40">
                  <c:v>-0.14687086999999999</c:v>
                </c:pt>
                <c:pt idx="41">
                  <c:v>-0.15856142000000001</c:v>
                </c:pt>
                <c:pt idx="42">
                  <c:v>-0.15832213000000001</c:v>
                </c:pt>
                <c:pt idx="43">
                  <c:v>-0.14582795000000001</c:v>
                </c:pt>
                <c:pt idx="44">
                  <c:v>-0.14748305</c:v>
                </c:pt>
                <c:pt idx="45">
                  <c:v>-0.15160535999999999</c:v>
                </c:pt>
                <c:pt idx="46">
                  <c:v>-0.15255271000000001</c:v>
                </c:pt>
                <c:pt idx="47">
                  <c:v>-0.15573848000000001</c:v>
                </c:pt>
                <c:pt idx="48">
                  <c:v>-0.15205119</c:v>
                </c:pt>
                <c:pt idx="49">
                  <c:v>-0.16041751000000001</c:v>
                </c:pt>
                <c:pt idx="50">
                  <c:v>-0.15919437</c:v>
                </c:pt>
                <c:pt idx="51">
                  <c:v>-0.15026112</c:v>
                </c:pt>
                <c:pt idx="52">
                  <c:v>-0.15500257000000001</c:v>
                </c:pt>
                <c:pt idx="53">
                  <c:v>-0.14449666999999999</c:v>
                </c:pt>
                <c:pt idx="54">
                  <c:v>-0.15029200000000001</c:v>
                </c:pt>
                <c:pt idx="55">
                  <c:v>-0.17481989000000001</c:v>
                </c:pt>
                <c:pt idx="56">
                  <c:v>-0.15524326999999999</c:v>
                </c:pt>
                <c:pt idx="57">
                  <c:v>-0.11605687000000001</c:v>
                </c:pt>
                <c:pt idx="58">
                  <c:v>-0.14535184000000001</c:v>
                </c:pt>
                <c:pt idx="59">
                  <c:v>-0.13606132000000001</c:v>
                </c:pt>
                <c:pt idx="60">
                  <c:v>-0.14111573999999999</c:v>
                </c:pt>
                <c:pt idx="61">
                  <c:v>-0.14306229000000001</c:v>
                </c:pt>
                <c:pt idx="62">
                  <c:v>-0.13262663999999999</c:v>
                </c:pt>
                <c:pt idx="63">
                  <c:v>-0.11924177</c:v>
                </c:pt>
                <c:pt idx="64">
                  <c:v>-0.15466885</c:v>
                </c:pt>
                <c:pt idx="65">
                  <c:v>-0.15861992</c:v>
                </c:pt>
                <c:pt idx="66">
                  <c:v>-0.15523558000000001</c:v>
                </c:pt>
                <c:pt idx="67">
                  <c:v>-0.14768882999999999</c:v>
                </c:pt>
                <c:pt idx="68">
                  <c:v>-0.14931525000000001</c:v>
                </c:pt>
                <c:pt idx="69">
                  <c:v>-0.11845226</c:v>
                </c:pt>
                <c:pt idx="70">
                  <c:v>-0.14932044</c:v>
                </c:pt>
                <c:pt idx="71">
                  <c:v>-0.14491651999999999</c:v>
                </c:pt>
                <c:pt idx="72">
                  <c:v>-0.14516744000000001</c:v>
                </c:pt>
                <c:pt idx="73">
                  <c:v>-0.14213307</c:v>
                </c:pt>
                <c:pt idx="74">
                  <c:v>-0.14006605999999999</c:v>
                </c:pt>
                <c:pt idx="75">
                  <c:v>-0.13897618</c:v>
                </c:pt>
                <c:pt idx="76">
                  <c:v>-0.14934581999999999</c:v>
                </c:pt>
                <c:pt idx="77">
                  <c:v>-0.14903705</c:v>
                </c:pt>
                <c:pt idx="78">
                  <c:v>-0.16416728</c:v>
                </c:pt>
                <c:pt idx="79">
                  <c:v>-0.16248982000000001</c:v>
                </c:pt>
                <c:pt idx="80">
                  <c:v>-0.14840693999999999</c:v>
                </c:pt>
                <c:pt idx="81">
                  <c:v>-0.14280075</c:v>
                </c:pt>
                <c:pt idx="82">
                  <c:v>-0.12777888000000001</c:v>
                </c:pt>
                <c:pt idx="83">
                  <c:v>-0.15408595999999999</c:v>
                </c:pt>
                <c:pt idx="84">
                  <c:v>-0.15538594999999999</c:v>
                </c:pt>
                <c:pt idx="85">
                  <c:v>-0.15676989999999999</c:v>
                </c:pt>
                <c:pt idx="86">
                  <c:v>-0.16677012999999999</c:v>
                </c:pt>
                <c:pt idx="87">
                  <c:v>-0.20383916999999999</c:v>
                </c:pt>
                <c:pt idx="88">
                  <c:v>-0.12327332000000001</c:v>
                </c:pt>
                <c:pt idx="89">
                  <c:v>-0.18633443999999999</c:v>
                </c:pt>
                <c:pt idx="90">
                  <c:v>-0.12129876000000001</c:v>
                </c:pt>
                <c:pt idx="91">
                  <c:v>-0.12118036</c:v>
                </c:pt>
                <c:pt idx="92">
                  <c:v>-0.13597664000000001</c:v>
                </c:pt>
                <c:pt idx="93">
                  <c:v>-0.13093951000000001</c:v>
                </c:pt>
                <c:pt idx="94">
                  <c:v>-0.13551656000000001</c:v>
                </c:pt>
                <c:pt idx="95">
                  <c:v>-0.1239775</c:v>
                </c:pt>
                <c:pt idx="96">
                  <c:v>-0.13188032</c:v>
                </c:pt>
                <c:pt idx="97">
                  <c:v>-0.18163961000000001</c:v>
                </c:pt>
                <c:pt idx="98">
                  <c:v>-0.18163990999999999</c:v>
                </c:pt>
                <c:pt idx="99">
                  <c:v>-0.23967759999999999</c:v>
                </c:pt>
                <c:pt idx="100">
                  <c:v>-0.16862247</c:v>
                </c:pt>
                <c:pt idx="101">
                  <c:v>-0.18309932000000001</c:v>
                </c:pt>
                <c:pt idx="102">
                  <c:v>-0.17674857999999999</c:v>
                </c:pt>
                <c:pt idx="103">
                  <c:v>-0.15983151000000001</c:v>
                </c:pt>
                <c:pt idx="104">
                  <c:v>-0.12737572999999999</c:v>
                </c:pt>
                <c:pt idx="105">
                  <c:v>-0.14669054000000001</c:v>
                </c:pt>
                <c:pt idx="106">
                  <c:v>-0.15576409999999999</c:v>
                </c:pt>
                <c:pt idx="107">
                  <c:v>-0.15479622000000001</c:v>
                </c:pt>
                <c:pt idx="108">
                  <c:v>-0.16007979</c:v>
                </c:pt>
                <c:pt idx="109">
                  <c:v>-0.14170383</c:v>
                </c:pt>
                <c:pt idx="110">
                  <c:v>-0.15376227000000001</c:v>
                </c:pt>
                <c:pt idx="111">
                  <c:v>-0.16624135000000001</c:v>
                </c:pt>
                <c:pt idx="112">
                  <c:v>-0.14616766</c:v>
                </c:pt>
                <c:pt idx="113">
                  <c:v>-0.15620634999999999</c:v>
                </c:pt>
                <c:pt idx="114">
                  <c:v>-0.15846774999999999</c:v>
                </c:pt>
                <c:pt idx="115">
                  <c:v>-0.15908209000000001</c:v>
                </c:pt>
                <c:pt idx="116">
                  <c:v>-0.16579004</c:v>
                </c:pt>
                <c:pt idx="117">
                  <c:v>-0.17421228999999999</c:v>
                </c:pt>
                <c:pt idx="118">
                  <c:v>-0.16171698000000001</c:v>
                </c:pt>
                <c:pt idx="119">
                  <c:v>-0.15191234000000001</c:v>
                </c:pt>
                <c:pt idx="120">
                  <c:v>-0.14354779000000001</c:v>
                </c:pt>
                <c:pt idx="121">
                  <c:v>-0.17639825000000001</c:v>
                </c:pt>
                <c:pt idx="122">
                  <c:v>-0.17303698000000001</c:v>
                </c:pt>
                <c:pt idx="123">
                  <c:v>-0.13701255000000001</c:v>
                </c:pt>
                <c:pt idx="124">
                  <c:v>-0.13200833000000001</c:v>
                </c:pt>
                <c:pt idx="125">
                  <c:v>-0.12451273</c:v>
                </c:pt>
                <c:pt idx="126">
                  <c:v>-0.14370928999999999</c:v>
                </c:pt>
                <c:pt idx="127">
                  <c:v>-0.14007924999999999</c:v>
                </c:pt>
                <c:pt idx="128">
                  <c:v>-0.12016196</c:v>
                </c:pt>
                <c:pt idx="129">
                  <c:v>-0.15546204999999999</c:v>
                </c:pt>
                <c:pt idx="130">
                  <c:v>-0.15793715</c:v>
                </c:pt>
                <c:pt idx="131">
                  <c:v>-0.16063237999999999</c:v>
                </c:pt>
                <c:pt idx="132">
                  <c:v>-0.16108821000000001</c:v>
                </c:pt>
                <c:pt idx="133">
                  <c:v>-0.15566207000000001</c:v>
                </c:pt>
                <c:pt idx="134">
                  <c:v>-0.12040148000000001</c:v>
                </c:pt>
                <c:pt idx="135">
                  <c:v>-0.11888984</c:v>
                </c:pt>
              </c:numCache>
            </c:numRef>
          </c:xVal>
          <c:yVal>
            <c:numRef>
              <c:f>'xTB vs DFT q3'!$C$2:$C$137</c:f>
              <c:numCache>
                <c:formatCode>General</c:formatCode>
                <c:ptCount val="136"/>
                <c:pt idx="0">
                  <c:v>-0.18531800000000001</c:v>
                </c:pt>
                <c:pt idx="1">
                  <c:v>-0.183805</c:v>
                </c:pt>
                <c:pt idx="2">
                  <c:v>-0.17771000000000001</c:v>
                </c:pt>
                <c:pt idx="3">
                  <c:v>-0.15562999999999999</c:v>
                </c:pt>
                <c:pt idx="4">
                  <c:v>-0.22187599999999999</c:v>
                </c:pt>
                <c:pt idx="5">
                  <c:v>-0.16592899999999999</c:v>
                </c:pt>
                <c:pt idx="6">
                  <c:v>-0.17599100000000001</c:v>
                </c:pt>
                <c:pt idx="7">
                  <c:v>-0.17554400000000001</c:v>
                </c:pt>
                <c:pt idx="8">
                  <c:v>-0.17871100000000001</c:v>
                </c:pt>
                <c:pt idx="9">
                  <c:v>-0.16537199999999999</c:v>
                </c:pt>
                <c:pt idx="10">
                  <c:v>-0.17411399999999999</c:v>
                </c:pt>
                <c:pt idx="11">
                  <c:v>-0.21834899999999999</c:v>
                </c:pt>
                <c:pt idx="12">
                  <c:v>-0.17852000000000001</c:v>
                </c:pt>
                <c:pt idx="13">
                  <c:v>-0.14804600000000001</c:v>
                </c:pt>
                <c:pt idx="14">
                  <c:v>-0.16492100000000001</c:v>
                </c:pt>
                <c:pt idx="15">
                  <c:v>-0.24820700000000001</c:v>
                </c:pt>
                <c:pt idx="16">
                  <c:v>-0.170263</c:v>
                </c:pt>
                <c:pt idx="17">
                  <c:v>-9.2097999999999999E-2</c:v>
                </c:pt>
                <c:pt idx="18">
                  <c:v>-0.185195</c:v>
                </c:pt>
                <c:pt idx="19">
                  <c:v>-0.16744100000000001</c:v>
                </c:pt>
                <c:pt idx="20">
                  <c:v>-0.13786000000000001</c:v>
                </c:pt>
                <c:pt idx="21">
                  <c:v>-0.14512800000000001</c:v>
                </c:pt>
                <c:pt idx="22">
                  <c:v>-0.172954</c:v>
                </c:pt>
                <c:pt idx="23">
                  <c:v>-0.17739199999999999</c:v>
                </c:pt>
                <c:pt idx="24">
                  <c:v>-0.30143399999999998</c:v>
                </c:pt>
                <c:pt idx="25">
                  <c:v>-0.184421</c:v>
                </c:pt>
                <c:pt idx="26">
                  <c:v>-0.165265</c:v>
                </c:pt>
                <c:pt idx="27">
                  <c:v>-0.166961</c:v>
                </c:pt>
                <c:pt idx="28">
                  <c:v>-0.17422499999999999</c:v>
                </c:pt>
                <c:pt idx="29">
                  <c:v>-0.297288</c:v>
                </c:pt>
                <c:pt idx="30">
                  <c:v>-0.15326100000000001</c:v>
                </c:pt>
                <c:pt idx="31">
                  <c:v>-0.217805</c:v>
                </c:pt>
                <c:pt idx="32">
                  <c:v>-0.15968199999999999</c:v>
                </c:pt>
                <c:pt idx="33">
                  <c:v>-0.152501</c:v>
                </c:pt>
                <c:pt idx="34">
                  <c:v>-0.12820200000000001</c:v>
                </c:pt>
                <c:pt idx="35">
                  <c:v>-0.240924</c:v>
                </c:pt>
                <c:pt idx="36">
                  <c:v>-0.156191</c:v>
                </c:pt>
                <c:pt idx="37">
                  <c:v>-0.14679</c:v>
                </c:pt>
                <c:pt idx="38">
                  <c:v>-0.152782</c:v>
                </c:pt>
                <c:pt idx="39">
                  <c:v>-0.176013</c:v>
                </c:pt>
                <c:pt idx="40">
                  <c:v>-0.195801</c:v>
                </c:pt>
                <c:pt idx="41">
                  <c:v>-0.17526800000000001</c:v>
                </c:pt>
                <c:pt idx="42">
                  <c:v>-0.147978</c:v>
                </c:pt>
                <c:pt idx="43">
                  <c:v>-0.17261099999999999</c:v>
                </c:pt>
                <c:pt idx="44">
                  <c:v>-0.167265</c:v>
                </c:pt>
                <c:pt idx="45">
                  <c:v>-0.14937800000000001</c:v>
                </c:pt>
                <c:pt idx="46">
                  <c:v>-0.16173999999999999</c:v>
                </c:pt>
                <c:pt idx="47">
                  <c:v>-0.16203500000000001</c:v>
                </c:pt>
                <c:pt idx="48">
                  <c:v>-0.15684899999999999</c:v>
                </c:pt>
                <c:pt idx="49">
                  <c:v>-0.15784100000000001</c:v>
                </c:pt>
                <c:pt idx="50">
                  <c:v>-0.15773100000000001</c:v>
                </c:pt>
                <c:pt idx="51">
                  <c:v>-0.15125</c:v>
                </c:pt>
                <c:pt idx="52">
                  <c:v>-0.15328</c:v>
                </c:pt>
                <c:pt idx="53">
                  <c:v>-0.16215199999999999</c:v>
                </c:pt>
                <c:pt idx="54">
                  <c:v>-0.144845</c:v>
                </c:pt>
                <c:pt idx="55">
                  <c:v>-0.147813</c:v>
                </c:pt>
                <c:pt idx="56">
                  <c:v>-0.15312999999999999</c:v>
                </c:pt>
                <c:pt idx="57">
                  <c:v>-0.18984300000000001</c:v>
                </c:pt>
                <c:pt idx="58">
                  <c:v>-0.13172</c:v>
                </c:pt>
                <c:pt idx="59">
                  <c:v>-0.12614600000000001</c:v>
                </c:pt>
                <c:pt idx="60">
                  <c:v>-0.16064100000000001</c:v>
                </c:pt>
                <c:pt idx="61">
                  <c:v>-0.17082900000000001</c:v>
                </c:pt>
                <c:pt idx="62">
                  <c:v>-0.17504600000000001</c:v>
                </c:pt>
                <c:pt idx="63">
                  <c:v>-0.17357</c:v>
                </c:pt>
                <c:pt idx="64">
                  <c:v>-0.22222900000000001</c:v>
                </c:pt>
                <c:pt idx="65">
                  <c:v>-0.14987700000000001</c:v>
                </c:pt>
                <c:pt idx="66">
                  <c:v>-0.15750400000000001</c:v>
                </c:pt>
                <c:pt idx="67">
                  <c:v>-0.18154999999999999</c:v>
                </c:pt>
                <c:pt idx="68">
                  <c:v>-0.15154999999999999</c:v>
                </c:pt>
                <c:pt idx="69">
                  <c:v>-0.18896199999999999</c:v>
                </c:pt>
                <c:pt idx="70">
                  <c:v>-0.189999</c:v>
                </c:pt>
                <c:pt idx="71">
                  <c:v>-0.174484</c:v>
                </c:pt>
                <c:pt idx="72">
                  <c:v>-0.20539499999999999</c:v>
                </c:pt>
                <c:pt idx="73">
                  <c:v>-0.217004</c:v>
                </c:pt>
                <c:pt idx="74">
                  <c:v>-0.183175</c:v>
                </c:pt>
                <c:pt idx="75">
                  <c:v>-0.16911599999999999</c:v>
                </c:pt>
                <c:pt idx="76">
                  <c:v>-0.18251200000000001</c:v>
                </c:pt>
                <c:pt idx="77">
                  <c:v>-0.18665100000000001</c:v>
                </c:pt>
                <c:pt idx="78">
                  <c:v>-0.16644</c:v>
                </c:pt>
                <c:pt idx="79">
                  <c:v>-0.14946599999999999</c:v>
                </c:pt>
                <c:pt idx="80">
                  <c:v>-0.15485599999999999</c:v>
                </c:pt>
                <c:pt idx="81">
                  <c:v>-0.163191</c:v>
                </c:pt>
                <c:pt idx="82">
                  <c:v>-0.15735299999999999</c:v>
                </c:pt>
                <c:pt idx="83">
                  <c:v>-0.15489800000000001</c:v>
                </c:pt>
                <c:pt idx="84">
                  <c:v>-0.18086099999999999</c:v>
                </c:pt>
                <c:pt idx="85">
                  <c:v>-0.17457400000000001</c:v>
                </c:pt>
                <c:pt idx="86">
                  <c:v>-0.14916099999999999</c:v>
                </c:pt>
                <c:pt idx="87">
                  <c:v>-0.23592399999999999</c:v>
                </c:pt>
                <c:pt idx="88">
                  <c:v>-0.18146100000000001</c:v>
                </c:pt>
                <c:pt idx="89">
                  <c:v>-0.30344399999999999</c:v>
                </c:pt>
                <c:pt idx="90">
                  <c:v>-0.17746300000000001</c:v>
                </c:pt>
                <c:pt idx="91">
                  <c:v>-0.18488299999999999</c:v>
                </c:pt>
                <c:pt idx="92">
                  <c:v>-0.164793</c:v>
                </c:pt>
                <c:pt idx="93">
                  <c:v>-0.165687</c:v>
                </c:pt>
                <c:pt idx="94">
                  <c:v>-0.17222899999999999</c:v>
                </c:pt>
                <c:pt idx="95">
                  <c:v>-0.16456999999999999</c:v>
                </c:pt>
                <c:pt idx="96">
                  <c:v>-0.17019000000000001</c:v>
                </c:pt>
                <c:pt idx="97">
                  <c:v>-0.16578100000000001</c:v>
                </c:pt>
                <c:pt idx="98">
                  <c:v>-0.16839000000000001</c:v>
                </c:pt>
                <c:pt idx="99">
                  <c:v>-0.294769</c:v>
                </c:pt>
                <c:pt idx="100">
                  <c:v>-0.208208</c:v>
                </c:pt>
                <c:pt idx="101">
                  <c:v>-0.14344799999999999</c:v>
                </c:pt>
                <c:pt idx="102">
                  <c:v>-0.14042399999999999</c:v>
                </c:pt>
                <c:pt idx="103">
                  <c:v>-0.14657000000000001</c:v>
                </c:pt>
                <c:pt idx="104">
                  <c:v>-0.182085</c:v>
                </c:pt>
                <c:pt idx="105">
                  <c:v>-0.20182900000000001</c:v>
                </c:pt>
                <c:pt idx="106">
                  <c:v>-0.13063</c:v>
                </c:pt>
                <c:pt idx="107">
                  <c:v>-0.13953699999999999</c:v>
                </c:pt>
                <c:pt idx="108">
                  <c:v>-0.14912400000000001</c:v>
                </c:pt>
                <c:pt idx="109">
                  <c:v>-0.151306</c:v>
                </c:pt>
                <c:pt idx="110">
                  <c:v>-0.15364800000000001</c:v>
                </c:pt>
                <c:pt idx="111">
                  <c:v>-0.17630399999999999</c:v>
                </c:pt>
                <c:pt idx="112">
                  <c:v>-0.151171</c:v>
                </c:pt>
                <c:pt idx="113">
                  <c:v>-0.14630299999999999</c:v>
                </c:pt>
                <c:pt idx="114">
                  <c:v>-0.14526900000000001</c:v>
                </c:pt>
                <c:pt idx="115">
                  <c:v>-0.14948600000000001</c:v>
                </c:pt>
                <c:pt idx="116">
                  <c:v>-0.17424200000000001</c:v>
                </c:pt>
                <c:pt idx="117">
                  <c:v>-0.16208900000000001</c:v>
                </c:pt>
                <c:pt idx="118">
                  <c:v>-0.12674099999999999</c:v>
                </c:pt>
                <c:pt idx="119">
                  <c:v>-0.163635</c:v>
                </c:pt>
                <c:pt idx="120">
                  <c:v>-0.154895</c:v>
                </c:pt>
                <c:pt idx="121">
                  <c:v>-0.157225</c:v>
                </c:pt>
                <c:pt idx="122">
                  <c:v>-0.16975699999999999</c:v>
                </c:pt>
                <c:pt idx="123">
                  <c:v>-0.161657</c:v>
                </c:pt>
                <c:pt idx="124">
                  <c:v>-0.13847400000000001</c:v>
                </c:pt>
                <c:pt idx="125">
                  <c:v>-0.161278</c:v>
                </c:pt>
                <c:pt idx="126">
                  <c:v>-0.15357399999999999</c:v>
                </c:pt>
                <c:pt idx="127">
                  <c:v>-0.14562800000000001</c:v>
                </c:pt>
                <c:pt idx="128">
                  <c:v>-0.17704600000000001</c:v>
                </c:pt>
                <c:pt idx="129">
                  <c:v>-0.19427700000000001</c:v>
                </c:pt>
                <c:pt idx="130">
                  <c:v>-0.18546699999999999</c:v>
                </c:pt>
                <c:pt idx="131">
                  <c:v>-0.16697999999999999</c:v>
                </c:pt>
                <c:pt idx="132">
                  <c:v>-0.13892699999999999</c:v>
                </c:pt>
                <c:pt idx="133">
                  <c:v>-0.154804</c:v>
                </c:pt>
                <c:pt idx="134">
                  <c:v>-0.18511900000000001</c:v>
                </c:pt>
                <c:pt idx="135">
                  <c:v>-0.183277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76-44F9-B0BA-73F949D899C9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q3'!$B$2:$B$137</c:f>
              <c:numCache>
                <c:formatCode>General</c:formatCode>
                <c:ptCount val="136"/>
                <c:pt idx="0">
                  <c:v>-0.15303277000000001</c:v>
                </c:pt>
                <c:pt idx="1">
                  <c:v>-0.14925516</c:v>
                </c:pt>
                <c:pt idx="2">
                  <c:v>-0.14392535000000001</c:v>
                </c:pt>
                <c:pt idx="3">
                  <c:v>-0.12817132000000001</c:v>
                </c:pt>
                <c:pt idx="4">
                  <c:v>-0.15144479</c:v>
                </c:pt>
                <c:pt idx="5">
                  <c:v>-0.13177477000000001</c:v>
                </c:pt>
                <c:pt idx="6">
                  <c:v>-0.13805779000000001</c:v>
                </c:pt>
                <c:pt idx="7">
                  <c:v>-0.14269243000000001</c:v>
                </c:pt>
                <c:pt idx="8">
                  <c:v>-0.15374003999999999</c:v>
                </c:pt>
                <c:pt idx="9">
                  <c:v>-0.14456770999999999</c:v>
                </c:pt>
                <c:pt idx="10">
                  <c:v>-0.14926846999999999</c:v>
                </c:pt>
                <c:pt idx="11">
                  <c:v>-0.21330774</c:v>
                </c:pt>
                <c:pt idx="12">
                  <c:v>-0.14728252</c:v>
                </c:pt>
                <c:pt idx="13">
                  <c:v>-0.16032761000000001</c:v>
                </c:pt>
                <c:pt idx="14">
                  <c:v>-0.14293558000000001</c:v>
                </c:pt>
                <c:pt idx="15">
                  <c:v>-0.17261439000000001</c:v>
                </c:pt>
                <c:pt idx="16">
                  <c:v>-0.15498766</c:v>
                </c:pt>
                <c:pt idx="17">
                  <c:v>-0.16466030000000001</c:v>
                </c:pt>
                <c:pt idx="18">
                  <c:v>-0.15439517999999999</c:v>
                </c:pt>
                <c:pt idx="19">
                  <c:v>-0.15605088</c:v>
                </c:pt>
                <c:pt idx="20">
                  <c:v>-0.16401477</c:v>
                </c:pt>
                <c:pt idx="21">
                  <c:v>-0.15879712000000001</c:v>
                </c:pt>
                <c:pt idx="22">
                  <c:v>-0.12392942999999999</c:v>
                </c:pt>
                <c:pt idx="23">
                  <c:v>-0.12356404999999999</c:v>
                </c:pt>
                <c:pt idx="24">
                  <c:v>-0.18881603</c:v>
                </c:pt>
                <c:pt idx="25">
                  <c:v>-0.12329612</c:v>
                </c:pt>
                <c:pt idx="26">
                  <c:v>-0.13311614999999999</c:v>
                </c:pt>
                <c:pt idx="27">
                  <c:v>-0.12777031</c:v>
                </c:pt>
                <c:pt idx="28">
                  <c:v>-0.13329539000000001</c:v>
                </c:pt>
                <c:pt idx="29">
                  <c:v>-0.19214654</c:v>
                </c:pt>
                <c:pt idx="30">
                  <c:v>-0.13326159000000001</c:v>
                </c:pt>
                <c:pt idx="31">
                  <c:v>-0.17105235999999999</c:v>
                </c:pt>
                <c:pt idx="32">
                  <c:v>-0.17519143000000001</c:v>
                </c:pt>
                <c:pt idx="33">
                  <c:v>-0.18128342</c:v>
                </c:pt>
                <c:pt idx="34">
                  <c:v>-0.15985796999999999</c:v>
                </c:pt>
                <c:pt idx="35">
                  <c:v>-0.24185387999999999</c:v>
                </c:pt>
                <c:pt idx="36">
                  <c:v>-0.1739018</c:v>
                </c:pt>
                <c:pt idx="37">
                  <c:v>-0.18487050999999999</c:v>
                </c:pt>
                <c:pt idx="38">
                  <c:v>-0.15422063999999999</c:v>
                </c:pt>
                <c:pt idx="39">
                  <c:v>-0.12812129</c:v>
                </c:pt>
                <c:pt idx="40">
                  <c:v>-0.14687086999999999</c:v>
                </c:pt>
                <c:pt idx="41">
                  <c:v>-0.15856142000000001</c:v>
                </c:pt>
                <c:pt idx="42">
                  <c:v>-0.15832213000000001</c:v>
                </c:pt>
                <c:pt idx="43">
                  <c:v>-0.14582795000000001</c:v>
                </c:pt>
                <c:pt idx="44">
                  <c:v>-0.14748305</c:v>
                </c:pt>
                <c:pt idx="45">
                  <c:v>-0.15160535999999999</c:v>
                </c:pt>
                <c:pt idx="46">
                  <c:v>-0.15255271000000001</c:v>
                </c:pt>
                <c:pt idx="47">
                  <c:v>-0.15573848000000001</c:v>
                </c:pt>
                <c:pt idx="48">
                  <c:v>-0.15205119</c:v>
                </c:pt>
                <c:pt idx="49">
                  <c:v>-0.16041751000000001</c:v>
                </c:pt>
                <c:pt idx="50">
                  <c:v>-0.15919437</c:v>
                </c:pt>
                <c:pt idx="51">
                  <c:v>-0.15026112</c:v>
                </c:pt>
                <c:pt idx="52">
                  <c:v>-0.15500257000000001</c:v>
                </c:pt>
                <c:pt idx="53">
                  <c:v>-0.14449666999999999</c:v>
                </c:pt>
                <c:pt idx="54">
                  <c:v>-0.15029200000000001</c:v>
                </c:pt>
                <c:pt idx="55">
                  <c:v>-0.17481989000000001</c:v>
                </c:pt>
                <c:pt idx="56">
                  <c:v>-0.15524326999999999</c:v>
                </c:pt>
                <c:pt idx="57">
                  <c:v>-0.11605687000000001</c:v>
                </c:pt>
                <c:pt idx="58">
                  <c:v>-0.14535184000000001</c:v>
                </c:pt>
                <c:pt idx="59">
                  <c:v>-0.13606132000000001</c:v>
                </c:pt>
                <c:pt idx="60">
                  <c:v>-0.14111573999999999</c:v>
                </c:pt>
                <c:pt idx="61">
                  <c:v>-0.14306229000000001</c:v>
                </c:pt>
                <c:pt idx="62">
                  <c:v>-0.13262663999999999</c:v>
                </c:pt>
                <c:pt idx="63">
                  <c:v>-0.11924177</c:v>
                </c:pt>
                <c:pt idx="64">
                  <c:v>-0.15466885</c:v>
                </c:pt>
                <c:pt idx="65">
                  <c:v>-0.15861992</c:v>
                </c:pt>
                <c:pt idx="66">
                  <c:v>-0.15523558000000001</c:v>
                </c:pt>
                <c:pt idx="67">
                  <c:v>-0.14768882999999999</c:v>
                </c:pt>
                <c:pt idx="68">
                  <c:v>-0.14931525000000001</c:v>
                </c:pt>
                <c:pt idx="69">
                  <c:v>-0.11845226</c:v>
                </c:pt>
                <c:pt idx="70">
                  <c:v>-0.14932044</c:v>
                </c:pt>
                <c:pt idx="71">
                  <c:v>-0.14491651999999999</c:v>
                </c:pt>
                <c:pt idx="72">
                  <c:v>-0.14516744000000001</c:v>
                </c:pt>
                <c:pt idx="73">
                  <c:v>-0.14213307</c:v>
                </c:pt>
                <c:pt idx="74">
                  <c:v>-0.14006605999999999</c:v>
                </c:pt>
                <c:pt idx="75">
                  <c:v>-0.13897618</c:v>
                </c:pt>
                <c:pt idx="76">
                  <c:v>-0.14934581999999999</c:v>
                </c:pt>
                <c:pt idx="77">
                  <c:v>-0.14903705</c:v>
                </c:pt>
                <c:pt idx="78">
                  <c:v>-0.16416728</c:v>
                </c:pt>
                <c:pt idx="79">
                  <c:v>-0.16248982000000001</c:v>
                </c:pt>
                <c:pt idx="80">
                  <c:v>-0.14840693999999999</c:v>
                </c:pt>
                <c:pt idx="81">
                  <c:v>-0.14280075</c:v>
                </c:pt>
                <c:pt idx="82">
                  <c:v>-0.12777888000000001</c:v>
                </c:pt>
                <c:pt idx="83">
                  <c:v>-0.15408595999999999</c:v>
                </c:pt>
                <c:pt idx="84">
                  <c:v>-0.15538594999999999</c:v>
                </c:pt>
                <c:pt idx="85">
                  <c:v>-0.15676989999999999</c:v>
                </c:pt>
                <c:pt idx="86">
                  <c:v>-0.16677012999999999</c:v>
                </c:pt>
                <c:pt idx="87">
                  <c:v>-0.20383916999999999</c:v>
                </c:pt>
                <c:pt idx="88">
                  <c:v>-0.12327332000000001</c:v>
                </c:pt>
                <c:pt idx="89">
                  <c:v>-0.18633443999999999</c:v>
                </c:pt>
                <c:pt idx="90">
                  <c:v>-0.12129876000000001</c:v>
                </c:pt>
                <c:pt idx="91">
                  <c:v>-0.12118036</c:v>
                </c:pt>
                <c:pt idx="92">
                  <c:v>-0.13597664000000001</c:v>
                </c:pt>
                <c:pt idx="93">
                  <c:v>-0.13093951000000001</c:v>
                </c:pt>
                <c:pt idx="94">
                  <c:v>-0.13551656000000001</c:v>
                </c:pt>
                <c:pt idx="95">
                  <c:v>-0.1239775</c:v>
                </c:pt>
                <c:pt idx="96">
                  <c:v>-0.13188032</c:v>
                </c:pt>
                <c:pt idx="97">
                  <c:v>-0.18163961000000001</c:v>
                </c:pt>
                <c:pt idx="98">
                  <c:v>-0.18163990999999999</c:v>
                </c:pt>
                <c:pt idx="99">
                  <c:v>-0.23967759999999999</c:v>
                </c:pt>
                <c:pt idx="100">
                  <c:v>-0.16862247</c:v>
                </c:pt>
                <c:pt idx="101">
                  <c:v>-0.18309932000000001</c:v>
                </c:pt>
                <c:pt idx="102">
                  <c:v>-0.17674857999999999</c:v>
                </c:pt>
                <c:pt idx="103">
                  <c:v>-0.15983151000000001</c:v>
                </c:pt>
                <c:pt idx="104">
                  <c:v>-0.12737572999999999</c:v>
                </c:pt>
                <c:pt idx="105">
                  <c:v>-0.14669054000000001</c:v>
                </c:pt>
                <c:pt idx="106">
                  <c:v>-0.15576409999999999</c:v>
                </c:pt>
                <c:pt idx="107">
                  <c:v>-0.15479622000000001</c:v>
                </c:pt>
                <c:pt idx="108">
                  <c:v>-0.16007979</c:v>
                </c:pt>
                <c:pt idx="109">
                  <c:v>-0.14170383</c:v>
                </c:pt>
                <c:pt idx="110">
                  <c:v>-0.15376227000000001</c:v>
                </c:pt>
                <c:pt idx="111">
                  <c:v>-0.16624135000000001</c:v>
                </c:pt>
                <c:pt idx="112">
                  <c:v>-0.14616766</c:v>
                </c:pt>
                <c:pt idx="113">
                  <c:v>-0.15620634999999999</c:v>
                </c:pt>
                <c:pt idx="114">
                  <c:v>-0.15846774999999999</c:v>
                </c:pt>
                <c:pt idx="115">
                  <c:v>-0.15908209000000001</c:v>
                </c:pt>
                <c:pt idx="116">
                  <c:v>-0.16579004</c:v>
                </c:pt>
                <c:pt idx="117">
                  <c:v>-0.17421228999999999</c:v>
                </c:pt>
                <c:pt idx="118">
                  <c:v>-0.16171698000000001</c:v>
                </c:pt>
                <c:pt idx="119">
                  <c:v>-0.15191234000000001</c:v>
                </c:pt>
                <c:pt idx="120">
                  <c:v>-0.14354779000000001</c:v>
                </c:pt>
                <c:pt idx="121">
                  <c:v>-0.17639825000000001</c:v>
                </c:pt>
                <c:pt idx="122">
                  <c:v>-0.17303698000000001</c:v>
                </c:pt>
                <c:pt idx="123">
                  <c:v>-0.13701255000000001</c:v>
                </c:pt>
                <c:pt idx="124">
                  <c:v>-0.13200833000000001</c:v>
                </c:pt>
                <c:pt idx="125">
                  <c:v>-0.12451273</c:v>
                </c:pt>
                <c:pt idx="126">
                  <c:v>-0.14370928999999999</c:v>
                </c:pt>
                <c:pt idx="127">
                  <c:v>-0.14007924999999999</c:v>
                </c:pt>
                <c:pt idx="128">
                  <c:v>-0.12016196</c:v>
                </c:pt>
                <c:pt idx="129">
                  <c:v>-0.15546204999999999</c:v>
                </c:pt>
                <c:pt idx="130">
                  <c:v>-0.15793715</c:v>
                </c:pt>
                <c:pt idx="131">
                  <c:v>-0.16063237999999999</c:v>
                </c:pt>
                <c:pt idx="132">
                  <c:v>-0.16108821000000001</c:v>
                </c:pt>
                <c:pt idx="133">
                  <c:v>-0.15566207000000001</c:v>
                </c:pt>
                <c:pt idx="134">
                  <c:v>-0.12040148000000001</c:v>
                </c:pt>
                <c:pt idx="135">
                  <c:v>-0.11888984</c:v>
                </c:pt>
              </c:numCache>
            </c:numRef>
          </c:xVal>
          <c:yVal>
            <c:numRef>
              <c:f>'xTB vs DFT q3'!$I$2:$I$137</c:f>
              <c:numCache>
                <c:formatCode>General</c:formatCode>
                <c:ptCount val="136"/>
                <c:pt idx="0">
                  <c:v>-0.15303277000000001</c:v>
                </c:pt>
                <c:pt idx="1">
                  <c:v>-0.14925516</c:v>
                </c:pt>
                <c:pt idx="2">
                  <c:v>-0.14392535000000001</c:v>
                </c:pt>
                <c:pt idx="3">
                  <c:v>-0.12817132000000001</c:v>
                </c:pt>
                <c:pt idx="4">
                  <c:v>-0.15144479</c:v>
                </c:pt>
                <c:pt idx="5">
                  <c:v>-0.13177477000000001</c:v>
                </c:pt>
                <c:pt idx="6">
                  <c:v>-0.13805779000000001</c:v>
                </c:pt>
                <c:pt idx="7">
                  <c:v>-0.14269243000000001</c:v>
                </c:pt>
                <c:pt idx="8">
                  <c:v>-0.15374003999999999</c:v>
                </c:pt>
                <c:pt idx="9">
                  <c:v>-0.14456770999999999</c:v>
                </c:pt>
                <c:pt idx="10">
                  <c:v>-0.14926846999999999</c:v>
                </c:pt>
                <c:pt idx="11">
                  <c:v>-0.21330774</c:v>
                </c:pt>
                <c:pt idx="12">
                  <c:v>-0.14728252</c:v>
                </c:pt>
                <c:pt idx="13">
                  <c:v>-0.16032761000000001</c:v>
                </c:pt>
                <c:pt idx="14">
                  <c:v>-0.14293558000000001</c:v>
                </c:pt>
                <c:pt idx="15">
                  <c:v>-0.17261439000000001</c:v>
                </c:pt>
                <c:pt idx="16">
                  <c:v>-0.15498766</c:v>
                </c:pt>
                <c:pt idx="17">
                  <c:v>-0.16466030000000001</c:v>
                </c:pt>
                <c:pt idx="18">
                  <c:v>-0.15439517999999999</c:v>
                </c:pt>
                <c:pt idx="19">
                  <c:v>-0.15605088</c:v>
                </c:pt>
                <c:pt idx="20">
                  <c:v>-0.16401477</c:v>
                </c:pt>
                <c:pt idx="21">
                  <c:v>-0.15879712000000001</c:v>
                </c:pt>
                <c:pt idx="22">
                  <c:v>-0.12392942999999999</c:v>
                </c:pt>
                <c:pt idx="23">
                  <c:v>-0.12356404999999999</c:v>
                </c:pt>
                <c:pt idx="24">
                  <c:v>-0.18881603</c:v>
                </c:pt>
                <c:pt idx="25">
                  <c:v>-0.12329612</c:v>
                </c:pt>
                <c:pt idx="26">
                  <c:v>-0.13311614999999999</c:v>
                </c:pt>
                <c:pt idx="27">
                  <c:v>-0.12777031</c:v>
                </c:pt>
                <c:pt idx="28">
                  <c:v>-0.13329539000000001</c:v>
                </c:pt>
                <c:pt idx="29">
                  <c:v>-0.19214654</c:v>
                </c:pt>
                <c:pt idx="30">
                  <c:v>-0.13326159000000001</c:v>
                </c:pt>
                <c:pt idx="31">
                  <c:v>-0.17105235999999999</c:v>
                </c:pt>
                <c:pt idx="32">
                  <c:v>-0.17519143000000001</c:v>
                </c:pt>
                <c:pt idx="33">
                  <c:v>-0.18128342</c:v>
                </c:pt>
                <c:pt idx="34">
                  <c:v>-0.15985796999999999</c:v>
                </c:pt>
                <c:pt idx="35">
                  <c:v>-0.24185387999999999</c:v>
                </c:pt>
                <c:pt idx="36">
                  <c:v>-0.1739018</c:v>
                </c:pt>
                <c:pt idx="37">
                  <c:v>-0.18487050999999999</c:v>
                </c:pt>
                <c:pt idx="38">
                  <c:v>-0.15422063999999999</c:v>
                </c:pt>
                <c:pt idx="39">
                  <c:v>-0.12812129</c:v>
                </c:pt>
                <c:pt idx="40">
                  <c:v>-0.14687086999999999</c:v>
                </c:pt>
                <c:pt idx="41">
                  <c:v>-0.15856142000000001</c:v>
                </c:pt>
                <c:pt idx="42">
                  <c:v>-0.15832213000000001</c:v>
                </c:pt>
                <c:pt idx="43">
                  <c:v>-0.14582795000000001</c:v>
                </c:pt>
                <c:pt idx="44">
                  <c:v>-0.14748305</c:v>
                </c:pt>
                <c:pt idx="45">
                  <c:v>-0.15160535999999999</c:v>
                </c:pt>
                <c:pt idx="46">
                  <c:v>-0.15255271000000001</c:v>
                </c:pt>
                <c:pt idx="47">
                  <c:v>-0.15573848000000001</c:v>
                </c:pt>
                <c:pt idx="48">
                  <c:v>-0.15205119</c:v>
                </c:pt>
                <c:pt idx="49">
                  <c:v>-0.16041751000000001</c:v>
                </c:pt>
                <c:pt idx="50">
                  <c:v>-0.15919437</c:v>
                </c:pt>
                <c:pt idx="51">
                  <c:v>-0.15026112</c:v>
                </c:pt>
                <c:pt idx="52">
                  <c:v>-0.15500257000000001</c:v>
                </c:pt>
                <c:pt idx="53">
                  <c:v>-0.14449666999999999</c:v>
                </c:pt>
                <c:pt idx="54">
                  <c:v>-0.15029200000000001</c:v>
                </c:pt>
                <c:pt idx="55">
                  <c:v>-0.17481989000000001</c:v>
                </c:pt>
                <c:pt idx="56">
                  <c:v>-0.15524326999999999</c:v>
                </c:pt>
                <c:pt idx="57">
                  <c:v>-0.11605687000000001</c:v>
                </c:pt>
                <c:pt idx="58">
                  <c:v>-0.14535184000000001</c:v>
                </c:pt>
                <c:pt idx="59">
                  <c:v>-0.13606132000000001</c:v>
                </c:pt>
                <c:pt idx="60">
                  <c:v>-0.14111573999999999</c:v>
                </c:pt>
                <c:pt idx="61">
                  <c:v>-0.14306229000000001</c:v>
                </c:pt>
                <c:pt idx="62">
                  <c:v>-0.13262663999999999</c:v>
                </c:pt>
                <c:pt idx="63">
                  <c:v>-0.11924177</c:v>
                </c:pt>
                <c:pt idx="64">
                  <c:v>-0.15466885</c:v>
                </c:pt>
                <c:pt idx="65">
                  <c:v>-0.15861992</c:v>
                </c:pt>
                <c:pt idx="66">
                  <c:v>-0.15523558000000001</c:v>
                </c:pt>
                <c:pt idx="67">
                  <c:v>-0.14768882999999999</c:v>
                </c:pt>
                <c:pt idx="68">
                  <c:v>-0.14931525000000001</c:v>
                </c:pt>
                <c:pt idx="69">
                  <c:v>-0.11845226</c:v>
                </c:pt>
                <c:pt idx="70">
                  <c:v>-0.14932044</c:v>
                </c:pt>
                <c:pt idx="71">
                  <c:v>-0.14491651999999999</c:v>
                </c:pt>
                <c:pt idx="72">
                  <c:v>-0.14516744000000001</c:v>
                </c:pt>
                <c:pt idx="73">
                  <c:v>-0.14213307</c:v>
                </c:pt>
                <c:pt idx="74">
                  <c:v>-0.14006605999999999</c:v>
                </c:pt>
                <c:pt idx="75">
                  <c:v>-0.13897618</c:v>
                </c:pt>
                <c:pt idx="76">
                  <c:v>-0.14934581999999999</c:v>
                </c:pt>
                <c:pt idx="77">
                  <c:v>-0.14903705</c:v>
                </c:pt>
                <c:pt idx="78">
                  <c:v>-0.16416728</c:v>
                </c:pt>
                <c:pt idx="79">
                  <c:v>-0.16248982000000001</c:v>
                </c:pt>
                <c:pt idx="80">
                  <c:v>-0.14840693999999999</c:v>
                </c:pt>
                <c:pt idx="81">
                  <c:v>-0.14280075</c:v>
                </c:pt>
                <c:pt idx="82">
                  <c:v>-0.12777888000000001</c:v>
                </c:pt>
                <c:pt idx="83">
                  <c:v>-0.15408595999999999</c:v>
                </c:pt>
                <c:pt idx="84">
                  <c:v>-0.15538594999999999</c:v>
                </c:pt>
                <c:pt idx="85">
                  <c:v>-0.15676989999999999</c:v>
                </c:pt>
                <c:pt idx="86">
                  <c:v>-0.16677012999999999</c:v>
                </c:pt>
                <c:pt idx="87">
                  <c:v>-0.20383916999999999</c:v>
                </c:pt>
                <c:pt idx="88">
                  <c:v>-0.12327332000000001</c:v>
                </c:pt>
                <c:pt idx="89">
                  <c:v>-0.18633443999999999</c:v>
                </c:pt>
                <c:pt idx="90">
                  <c:v>-0.12129876000000001</c:v>
                </c:pt>
                <c:pt idx="91">
                  <c:v>-0.12118036</c:v>
                </c:pt>
                <c:pt idx="92">
                  <c:v>-0.13597664000000001</c:v>
                </c:pt>
                <c:pt idx="93">
                  <c:v>-0.13093951000000001</c:v>
                </c:pt>
                <c:pt idx="94">
                  <c:v>-0.13551656000000001</c:v>
                </c:pt>
                <c:pt idx="95">
                  <c:v>-0.1239775</c:v>
                </c:pt>
                <c:pt idx="96">
                  <c:v>-0.13188032</c:v>
                </c:pt>
                <c:pt idx="97">
                  <c:v>-0.18163961000000001</c:v>
                </c:pt>
                <c:pt idx="98">
                  <c:v>-0.18163990999999999</c:v>
                </c:pt>
                <c:pt idx="99">
                  <c:v>-0.23967759999999999</c:v>
                </c:pt>
                <c:pt idx="100">
                  <c:v>-0.16862247</c:v>
                </c:pt>
                <c:pt idx="101">
                  <c:v>-0.18309932000000001</c:v>
                </c:pt>
                <c:pt idx="102">
                  <c:v>-0.17674857999999999</c:v>
                </c:pt>
                <c:pt idx="103">
                  <c:v>-0.15983151000000001</c:v>
                </c:pt>
                <c:pt idx="104">
                  <c:v>-0.12737572999999999</c:v>
                </c:pt>
                <c:pt idx="105">
                  <c:v>-0.14669054000000001</c:v>
                </c:pt>
                <c:pt idx="106">
                  <c:v>-0.15576409999999999</c:v>
                </c:pt>
                <c:pt idx="107">
                  <c:v>-0.15479622000000001</c:v>
                </c:pt>
                <c:pt idx="108">
                  <c:v>-0.16007979</c:v>
                </c:pt>
                <c:pt idx="109">
                  <c:v>-0.14170383</c:v>
                </c:pt>
                <c:pt idx="110">
                  <c:v>-0.15376227000000001</c:v>
                </c:pt>
                <c:pt idx="111">
                  <c:v>-0.16624135000000001</c:v>
                </c:pt>
                <c:pt idx="112">
                  <c:v>-0.14616766</c:v>
                </c:pt>
                <c:pt idx="113">
                  <c:v>-0.15620634999999999</c:v>
                </c:pt>
                <c:pt idx="114">
                  <c:v>-0.15846774999999999</c:v>
                </c:pt>
                <c:pt idx="115">
                  <c:v>-0.15908209000000001</c:v>
                </c:pt>
                <c:pt idx="116">
                  <c:v>-0.16579004</c:v>
                </c:pt>
                <c:pt idx="117">
                  <c:v>-0.17421228999999999</c:v>
                </c:pt>
                <c:pt idx="118">
                  <c:v>-0.16171698000000001</c:v>
                </c:pt>
                <c:pt idx="119">
                  <c:v>-0.15191234000000001</c:v>
                </c:pt>
                <c:pt idx="120">
                  <c:v>-0.14354779000000001</c:v>
                </c:pt>
                <c:pt idx="121">
                  <c:v>-0.17639825000000001</c:v>
                </c:pt>
                <c:pt idx="122">
                  <c:v>-0.17303698000000001</c:v>
                </c:pt>
                <c:pt idx="123">
                  <c:v>-0.13701255000000001</c:v>
                </c:pt>
                <c:pt idx="124">
                  <c:v>-0.13200833000000001</c:v>
                </c:pt>
                <c:pt idx="125">
                  <c:v>-0.12451273</c:v>
                </c:pt>
                <c:pt idx="126">
                  <c:v>-0.14370928999999999</c:v>
                </c:pt>
                <c:pt idx="127">
                  <c:v>-0.14007924999999999</c:v>
                </c:pt>
                <c:pt idx="128">
                  <c:v>-0.12016196</c:v>
                </c:pt>
                <c:pt idx="129">
                  <c:v>-0.15546204999999999</c:v>
                </c:pt>
                <c:pt idx="130">
                  <c:v>-0.15793715</c:v>
                </c:pt>
                <c:pt idx="131">
                  <c:v>-0.16063237999999999</c:v>
                </c:pt>
                <c:pt idx="132">
                  <c:v>-0.16108821000000001</c:v>
                </c:pt>
                <c:pt idx="133">
                  <c:v>-0.15566207000000001</c:v>
                </c:pt>
                <c:pt idx="134">
                  <c:v>-0.12040148000000001</c:v>
                </c:pt>
                <c:pt idx="135">
                  <c:v>-0.11888984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76-44F9-B0BA-73F949D89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-0.1"/>
          <c:min val="-0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9817060655042461"/>
              <c:y val="0.71216267111592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-5.000000000000001E-2"/>
          <c:min val="-0.30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25663784763569242"/>
              <c:y val="0.29419742606523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</a:rPr>
              <a:t>Atomic charge, </a:t>
            </a:r>
            <a:r>
              <a:rPr lang="en-IN" sz="1600" b="1" i="1" u="none" strike="noStrike" kern="1200" spc="0" baseline="0">
                <a:solidFill>
                  <a:sysClr val="windowText" lastClr="000000"/>
                </a:solidFill>
              </a:rPr>
              <a:t>q</a:t>
            </a:r>
            <a:r>
              <a:rPr lang="en-IN" sz="1600" b="1" i="1" u="none" strike="noStrike" kern="1200" spc="0" baseline="-25000">
                <a:solidFill>
                  <a:sysClr val="windowText" lastClr="000000"/>
                </a:solidFill>
              </a:rPr>
              <a:t>1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3401469664657692"/>
          <c:y val="9.91325898389095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78364252208594"/>
                  <c:y val="-0.2946657690093570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IN" sz="1000" b="1" i="1" u="none" strike="noStrike" baseline="0">
                        <a:effectLst/>
                      </a:rPr>
                      <a:t>q</a:t>
                    </a:r>
                    <a:r>
                      <a:rPr lang="en-IN" sz="1000" b="1" i="1" u="none" strike="noStrike" baseline="-25000">
                        <a:effectLst/>
                      </a:rPr>
                      <a:t>1</a:t>
                    </a:r>
                    <a:r>
                      <a:rPr lang="en-IN" sz="1000" b="1" i="0" u="none" strike="noStrike" baseline="-25000">
                        <a:effectLst/>
                      </a:rPr>
                      <a:t>,</a:t>
                    </a:r>
                    <a:r>
                      <a:rPr lang="en-GB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/>
                      <a:t> = 0.90</a:t>
                    </a:r>
                    <a:r>
                      <a:rPr lang="en-IN" sz="1000" b="1" i="1" u="none" strike="noStrike" baseline="0">
                        <a:effectLst/>
                      </a:rPr>
                      <a:t>q</a:t>
                    </a:r>
                    <a:r>
                      <a:rPr lang="en-IN" sz="1000" b="1" i="1" u="none" strike="noStrike" baseline="-25000">
                        <a:effectLst/>
                      </a:rPr>
                      <a:t>1</a:t>
                    </a:r>
                    <a:r>
                      <a:rPr lang="en-IN" sz="1000" b="1" i="0" u="none" strike="noStrike" baseline="-25000">
                        <a:effectLst/>
                      </a:rPr>
                      <a:t>,</a:t>
                    </a:r>
                    <a:r>
                      <a:rPr lang="en-GB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- 0.27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0.17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IN" sz="1000" b="1" i="0" u="none" strike="noStrike" baseline="0">
                        <a:effectLst/>
                      </a:rPr>
                      <a:t>Pearson R = 0.41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0.29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0.31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q1'!$B$2:$B$133</c:f>
              <c:numCache>
                <c:formatCode>General</c:formatCode>
                <c:ptCount val="132"/>
                <c:pt idx="0">
                  <c:v>-0.19400925999999999</c:v>
                </c:pt>
                <c:pt idx="1">
                  <c:v>-0.19151192</c:v>
                </c:pt>
                <c:pt idx="2">
                  <c:v>-0.20539356</c:v>
                </c:pt>
                <c:pt idx="3">
                  <c:v>-0.21584708999999999</c:v>
                </c:pt>
                <c:pt idx="4">
                  <c:v>-9.3271300000000001E-2</c:v>
                </c:pt>
                <c:pt idx="5">
                  <c:v>-0.23906258999999999</c:v>
                </c:pt>
                <c:pt idx="6">
                  <c:v>-0.19958973999999999</c:v>
                </c:pt>
                <c:pt idx="7">
                  <c:v>-0.21279265</c:v>
                </c:pt>
                <c:pt idx="8">
                  <c:v>-0.20663376999999999</c:v>
                </c:pt>
                <c:pt idx="9">
                  <c:v>-0.20539789</c:v>
                </c:pt>
                <c:pt idx="10">
                  <c:v>-0.20485819</c:v>
                </c:pt>
                <c:pt idx="11">
                  <c:v>-0.25380142999999999</c:v>
                </c:pt>
                <c:pt idx="12">
                  <c:v>-0.20409405999999999</c:v>
                </c:pt>
                <c:pt idx="13">
                  <c:v>-0.20171848000000001</c:v>
                </c:pt>
                <c:pt idx="14">
                  <c:v>-0.19739683999999999</c:v>
                </c:pt>
                <c:pt idx="15">
                  <c:v>-0.23587421</c:v>
                </c:pt>
                <c:pt idx="16">
                  <c:v>-0.20042625</c:v>
                </c:pt>
                <c:pt idx="17">
                  <c:v>-5.2914549999999998E-2</c:v>
                </c:pt>
                <c:pt idx="18">
                  <c:v>-0.21310119999999999</c:v>
                </c:pt>
                <c:pt idx="19">
                  <c:v>-0.21572842</c:v>
                </c:pt>
                <c:pt idx="20">
                  <c:v>-0.21997712999999999</c:v>
                </c:pt>
                <c:pt idx="21">
                  <c:v>-0.20657064</c:v>
                </c:pt>
                <c:pt idx="22">
                  <c:v>-0.13224794000000001</c:v>
                </c:pt>
                <c:pt idx="23">
                  <c:v>-0.12208506</c:v>
                </c:pt>
                <c:pt idx="24">
                  <c:v>-0.13168170000000001</c:v>
                </c:pt>
                <c:pt idx="25">
                  <c:v>-0.19427544999999999</c:v>
                </c:pt>
                <c:pt idx="26">
                  <c:v>-0.17792415</c:v>
                </c:pt>
                <c:pt idx="27">
                  <c:v>-0.17384230000000001</c:v>
                </c:pt>
                <c:pt idx="28">
                  <c:v>-0.17761104999999999</c:v>
                </c:pt>
                <c:pt idx="29">
                  <c:v>-0.19316245000000001</c:v>
                </c:pt>
                <c:pt idx="30">
                  <c:v>-0.19272681999999999</c:v>
                </c:pt>
                <c:pt idx="31">
                  <c:v>-0.32280761000000002</c:v>
                </c:pt>
                <c:pt idx="32">
                  <c:v>-0.31786337999999997</c:v>
                </c:pt>
                <c:pt idx="33">
                  <c:v>-0.34191618000000001</c:v>
                </c:pt>
                <c:pt idx="34">
                  <c:v>-0.22997263000000001</c:v>
                </c:pt>
                <c:pt idx="35">
                  <c:v>-0.21756675</c:v>
                </c:pt>
                <c:pt idx="36">
                  <c:v>-0.35383402000000003</c:v>
                </c:pt>
                <c:pt idx="37">
                  <c:v>-0.34537582999999999</c:v>
                </c:pt>
                <c:pt idx="38">
                  <c:v>-0.21343644000000001</c:v>
                </c:pt>
                <c:pt idx="39">
                  <c:v>-0.11374981000000001</c:v>
                </c:pt>
                <c:pt idx="40">
                  <c:v>-0.19622844</c:v>
                </c:pt>
                <c:pt idx="41">
                  <c:v>-0.20336641</c:v>
                </c:pt>
                <c:pt idx="42">
                  <c:v>-0.21495023999999999</c:v>
                </c:pt>
                <c:pt idx="43">
                  <c:v>-0.21154413999999999</c:v>
                </c:pt>
                <c:pt idx="44">
                  <c:v>-0.21022882000000001</c:v>
                </c:pt>
                <c:pt idx="45">
                  <c:v>-0.44306556000000002</c:v>
                </c:pt>
                <c:pt idx="46">
                  <c:v>-0.43483435999999998</c:v>
                </c:pt>
                <c:pt idx="47">
                  <c:v>-0.43138398999999999</c:v>
                </c:pt>
                <c:pt idx="48">
                  <c:v>-0.42203762</c:v>
                </c:pt>
                <c:pt idx="49">
                  <c:v>-0.42282060999999999</c:v>
                </c:pt>
                <c:pt idx="50">
                  <c:v>-0.42927093</c:v>
                </c:pt>
                <c:pt idx="51">
                  <c:v>-0.43049347999999998</c:v>
                </c:pt>
                <c:pt idx="52">
                  <c:v>-0.43817293000000002</c:v>
                </c:pt>
                <c:pt idx="53">
                  <c:v>-0.15071424999999999</c:v>
                </c:pt>
                <c:pt idx="54">
                  <c:v>-0.14433794</c:v>
                </c:pt>
                <c:pt idx="55">
                  <c:v>-0.33981011999999999</c:v>
                </c:pt>
                <c:pt idx="56">
                  <c:v>-0.34796704000000001</c:v>
                </c:pt>
                <c:pt idx="57">
                  <c:v>-0.18523949000000001</c:v>
                </c:pt>
                <c:pt idx="58">
                  <c:v>-0.15531002999999999</c:v>
                </c:pt>
                <c:pt idx="59">
                  <c:v>-0.16771808999999999</c:v>
                </c:pt>
                <c:pt idx="60">
                  <c:v>-0.13454337</c:v>
                </c:pt>
                <c:pt idx="61">
                  <c:v>-0.12238313000000001</c:v>
                </c:pt>
                <c:pt idx="62">
                  <c:v>-0.13314031000000001</c:v>
                </c:pt>
                <c:pt idx="63">
                  <c:v>-0.22769085999999999</c:v>
                </c:pt>
                <c:pt idx="64">
                  <c:v>-0.19271547</c:v>
                </c:pt>
                <c:pt idx="65">
                  <c:v>-0.20116202</c:v>
                </c:pt>
                <c:pt idx="66">
                  <c:v>-0.21273679000000001</c:v>
                </c:pt>
                <c:pt idx="67">
                  <c:v>-0.20470247999999999</c:v>
                </c:pt>
                <c:pt idx="68">
                  <c:v>-0.20531977000000001</c:v>
                </c:pt>
                <c:pt idx="69">
                  <c:v>-0.18525004</c:v>
                </c:pt>
                <c:pt idx="70">
                  <c:v>-0.19306359000000001</c:v>
                </c:pt>
                <c:pt idx="71">
                  <c:v>-0.20027448</c:v>
                </c:pt>
                <c:pt idx="72">
                  <c:v>-0.1008812</c:v>
                </c:pt>
                <c:pt idx="73">
                  <c:v>-0.13570098</c:v>
                </c:pt>
                <c:pt idx="74">
                  <c:v>-0.20545437999999999</c:v>
                </c:pt>
                <c:pt idx="75">
                  <c:v>-0.21632681000000001</c:v>
                </c:pt>
                <c:pt idx="76">
                  <c:v>-0.20462727999999999</c:v>
                </c:pt>
                <c:pt idx="77">
                  <c:v>-0.20702006000000001</c:v>
                </c:pt>
                <c:pt idx="78">
                  <c:v>-0.20333330999999999</c:v>
                </c:pt>
                <c:pt idx="79">
                  <c:v>-0.21784086999999999</c:v>
                </c:pt>
                <c:pt idx="80">
                  <c:v>-0.21532403999999999</c:v>
                </c:pt>
                <c:pt idx="81">
                  <c:v>-0.19788738</c:v>
                </c:pt>
                <c:pt idx="82">
                  <c:v>-0.23803260000000001</c:v>
                </c:pt>
                <c:pt idx="83">
                  <c:v>-1.9719690000000002E-2</c:v>
                </c:pt>
                <c:pt idx="84">
                  <c:v>-0.19529716999999999</c:v>
                </c:pt>
                <c:pt idx="85">
                  <c:v>-0.20500934000000001</c:v>
                </c:pt>
                <c:pt idx="86">
                  <c:v>-0.21026550999999999</c:v>
                </c:pt>
                <c:pt idx="87">
                  <c:v>-0.25701085000000001</c:v>
                </c:pt>
                <c:pt idx="88">
                  <c:v>-0.13312953</c:v>
                </c:pt>
                <c:pt idx="89">
                  <c:v>-0.13926626</c:v>
                </c:pt>
                <c:pt idx="90">
                  <c:v>-0.12205955</c:v>
                </c:pt>
                <c:pt idx="91">
                  <c:v>-0.19630659</c:v>
                </c:pt>
                <c:pt idx="92">
                  <c:v>-0.1722794</c:v>
                </c:pt>
                <c:pt idx="93">
                  <c:v>-0.17747927999999999</c:v>
                </c:pt>
                <c:pt idx="94">
                  <c:v>-0.17304175999999999</c:v>
                </c:pt>
                <c:pt idx="95">
                  <c:v>-0.16717561</c:v>
                </c:pt>
                <c:pt idx="96">
                  <c:v>-0.1734773</c:v>
                </c:pt>
                <c:pt idx="97">
                  <c:v>-0.33746388999999999</c:v>
                </c:pt>
                <c:pt idx="98">
                  <c:v>-0.34365537000000002</c:v>
                </c:pt>
                <c:pt idx="99">
                  <c:v>-0.35896267999999998</c:v>
                </c:pt>
                <c:pt idx="100">
                  <c:v>-0.26321277999999998</c:v>
                </c:pt>
                <c:pt idx="101">
                  <c:v>-0.35174768000000001</c:v>
                </c:pt>
                <c:pt idx="102">
                  <c:v>-0.34621450999999998</c:v>
                </c:pt>
                <c:pt idx="103">
                  <c:v>-0.21994742</c:v>
                </c:pt>
                <c:pt idx="104">
                  <c:v>-0.11420158</c:v>
                </c:pt>
                <c:pt idx="105">
                  <c:v>-0.19068684</c:v>
                </c:pt>
                <c:pt idx="106">
                  <c:v>-0.20999242000000001</c:v>
                </c:pt>
                <c:pt idx="107">
                  <c:v>-0.21067768000000001</c:v>
                </c:pt>
                <c:pt idx="108">
                  <c:v>-0.22502569</c:v>
                </c:pt>
                <c:pt idx="109">
                  <c:v>-0.19965600999999999</c:v>
                </c:pt>
                <c:pt idx="110">
                  <c:v>-0.23817637999999999</c:v>
                </c:pt>
                <c:pt idx="111">
                  <c:v>-0.41307389999999999</c:v>
                </c:pt>
                <c:pt idx="112">
                  <c:v>-0.44803578999999999</c:v>
                </c:pt>
                <c:pt idx="113">
                  <c:v>-0.43684152999999998</c:v>
                </c:pt>
                <c:pt idx="114">
                  <c:v>-0.43229961</c:v>
                </c:pt>
                <c:pt idx="115">
                  <c:v>-0.43413065000000001</c:v>
                </c:pt>
                <c:pt idx="116">
                  <c:v>-0.41907203999999998</c:v>
                </c:pt>
                <c:pt idx="117">
                  <c:v>-0.43115257000000001</c:v>
                </c:pt>
                <c:pt idx="118">
                  <c:v>-0.43641912999999999</c:v>
                </c:pt>
                <c:pt idx="119">
                  <c:v>-0.14410564000000001</c:v>
                </c:pt>
                <c:pt idx="120">
                  <c:v>-0.1729328</c:v>
                </c:pt>
                <c:pt idx="121">
                  <c:v>-0.31227339999999998</c:v>
                </c:pt>
                <c:pt idx="122">
                  <c:v>-0.31877761999999998</c:v>
                </c:pt>
                <c:pt idx="123">
                  <c:v>-0.13686478999999999</c:v>
                </c:pt>
                <c:pt idx="124">
                  <c:v>-0.13112278999999999</c:v>
                </c:pt>
                <c:pt idx="125">
                  <c:v>-0.12212412</c:v>
                </c:pt>
                <c:pt idx="126">
                  <c:v>-0.14232766999999999</c:v>
                </c:pt>
                <c:pt idx="127">
                  <c:v>-0.12712490000000001</c:v>
                </c:pt>
                <c:pt idx="128">
                  <c:v>-0.22515358999999999</c:v>
                </c:pt>
                <c:pt idx="129">
                  <c:v>-0.19518381000000001</c:v>
                </c:pt>
                <c:pt idx="130">
                  <c:v>-0.19818456000000001</c:v>
                </c:pt>
                <c:pt idx="131">
                  <c:v>-0.21703006</c:v>
                </c:pt>
              </c:numCache>
            </c:numRef>
          </c:xVal>
          <c:yVal>
            <c:numRef>
              <c:f>'xTB vs DFT q1'!$C$2:$C$133</c:f>
              <c:numCache>
                <c:formatCode>General</c:formatCode>
                <c:ptCount val="132"/>
                <c:pt idx="0">
                  <c:v>-0.51546000000000003</c:v>
                </c:pt>
                <c:pt idx="1">
                  <c:v>-0.50099800000000005</c:v>
                </c:pt>
                <c:pt idx="2">
                  <c:v>-0.46914299999999998</c:v>
                </c:pt>
                <c:pt idx="3">
                  <c:v>-0.48044300000000001</c:v>
                </c:pt>
                <c:pt idx="4">
                  <c:v>0.49646299999999999</c:v>
                </c:pt>
                <c:pt idx="5">
                  <c:v>-0.39763300000000001</c:v>
                </c:pt>
                <c:pt idx="6">
                  <c:v>-0.48462</c:v>
                </c:pt>
                <c:pt idx="7">
                  <c:v>-0.46715299999999998</c:v>
                </c:pt>
                <c:pt idx="8">
                  <c:v>-0.467804</c:v>
                </c:pt>
                <c:pt idx="9">
                  <c:v>-0.48680699999999999</c:v>
                </c:pt>
                <c:pt idx="10">
                  <c:v>-0.498081</c:v>
                </c:pt>
                <c:pt idx="11">
                  <c:v>-0.48705500000000002</c:v>
                </c:pt>
                <c:pt idx="12">
                  <c:v>-0.47310600000000003</c:v>
                </c:pt>
                <c:pt idx="13">
                  <c:v>-0.497338</c:v>
                </c:pt>
                <c:pt idx="14">
                  <c:v>-0.50607100000000005</c:v>
                </c:pt>
                <c:pt idx="15">
                  <c:v>-0.411692</c:v>
                </c:pt>
                <c:pt idx="16">
                  <c:v>-0.52278899999999995</c:v>
                </c:pt>
                <c:pt idx="17">
                  <c:v>0.65151700000000001</c:v>
                </c:pt>
                <c:pt idx="18">
                  <c:v>-0.49619799999999997</c:v>
                </c:pt>
                <c:pt idx="19">
                  <c:v>-0.51517299999999999</c:v>
                </c:pt>
                <c:pt idx="20">
                  <c:v>-0.50558099999999995</c:v>
                </c:pt>
                <c:pt idx="21">
                  <c:v>-0.47325899999999999</c:v>
                </c:pt>
                <c:pt idx="22">
                  <c:v>-0.50834000000000001</c:v>
                </c:pt>
                <c:pt idx="23">
                  <c:v>-0.52187399999999995</c:v>
                </c:pt>
                <c:pt idx="24">
                  <c:v>-0.523173</c:v>
                </c:pt>
                <c:pt idx="25">
                  <c:v>-0.59531900000000004</c:v>
                </c:pt>
                <c:pt idx="26">
                  <c:v>-0.508189</c:v>
                </c:pt>
                <c:pt idx="27">
                  <c:v>-0.50729299999999999</c:v>
                </c:pt>
                <c:pt idx="28">
                  <c:v>-0.50378999999999996</c:v>
                </c:pt>
                <c:pt idx="29">
                  <c:v>-0.47401100000000002</c:v>
                </c:pt>
                <c:pt idx="30">
                  <c:v>-0.482186</c:v>
                </c:pt>
                <c:pt idx="31">
                  <c:v>-0.62231400000000003</c:v>
                </c:pt>
                <c:pt idx="32">
                  <c:v>-0.59299299999999999</c:v>
                </c:pt>
                <c:pt idx="33">
                  <c:v>-0.62958000000000003</c:v>
                </c:pt>
                <c:pt idx="34">
                  <c:v>-0.61341500000000004</c:v>
                </c:pt>
                <c:pt idx="35">
                  <c:v>-0.53849999999999998</c:v>
                </c:pt>
                <c:pt idx="36">
                  <c:v>-0.64366900000000005</c:v>
                </c:pt>
                <c:pt idx="37">
                  <c:v>-0.633463</c:v>
                </c:pt>
                <c:pt idx="38">
                  <c:v>-0.494085</c:v>
                </c:pt>
                <c:pt idx="39">
                  <c:v>-0.43954500000000002</c:v>
                </c:pt>
                <c:pt idx="40">
                  <c:v>-0.50787000000000004</c:v>
                </c:pt>
                <c:pt idx="41">
                  <c:v>-0.48280699999999999</c:v>
                </c:pt>
                <c:pt idx="42">
                  <c:v>-0.48914400000000002</c:v>
                </c:pt>
                <c:pt idx="43">
                  <c:v>-0.46321099999999998</c:v>
                </c:pt>
                <c:pt idx="44">
                  <c:v>-0.47844199999999998</c:v>
                </c:pt>
                <c:pt idx="45">
                  <c:v>-0.55346600000000001</c:v>
                </c:pt>
                <c:pt idx="46">
                  <c:v>-0.532613</c:v>
                </c:pt>
                <c:pt idx="47">
                  <c:v>-0.54668300000000003</c:v>
                </c:pt>
                <c:pt idx="48">
                  <c:v>-0.55353399999999997</c:v>
                </c:pt>
                <c:pt idx="49">
                  <c:v>-0.55286100000000005</c:v>
                </c:pt>
                <c:pt idx="50">
                  <c:v>-0.53984200000000004</c:v>
                </c:pt>
                <c:pt idx="51">
                  <c:v>-0.55517000000000005</c:v>
                </c:pt>
                <c:pt idx="52">
                  <c:v>-0.54905300000000001</c:v>
                </c:pt>
                <c:pt idx="53">
                  <c:v>-0.56582299999999996</c:v>
                </c:pt>
                <c:pt idx="54">
                  <c:v>-0.59638199999999997</c:v>
                </c:pt>
                <c:pt idx="55">
                  <c:v>-0.58316599999999996</c:v>
                </c:pt>
                <c:pt idx="56">
                  <c:v>-0.67084299999999997</c:v>
                </c:pt>
                <c:pt idx="57">
                  <c:v>-0.60300500000000001</c:v>
                </c:pt>
                <c:pt idx="58">
                  <c:v>-0.46066699999999999</c:v>
                </c:pt>
                <c:pt idx="59">
                  <c:v>-0.40044099999999999</c:v>
                </c:pt>
                <c:pt idx="60">
                  <c:v>-0.47406199999999998</c:v>
                </c:pt>
                <c:pt idx="61">
                  <c:v>-0.51604899999999998</c:v>
                </c:pt>
                <c:pt idx="62">
                  <c:v>-0.51748000000000005</c:v>
                </c:pt>
                <c:pt idx="63">
                  <c:v>-0.469642</c:v>
                </c:pt>
                <c:pt idx="64">
                  <c:v>-0.50677700000000003</c:v>
                </c:pt>
                <c:pt idx="65">
                  <c:v>-0.48278100000000002</c:v>
                </c:pt>
                <c:pt idx="66">
                  <c:v>-0.48558299999999999</c:v>
                </c:pt>
                <c:pt idx="67">
                  <c:v>-0.49150700000000003</c:v>
                </c:pt>
                <c:pt idx="68">
                  <c:v>-0.49499700000000002</c:v>
                </c:pt>
                <c:pt idx="69">
                  <c:v>-0.60120899999999999</c:v>
                </c:pt>
                <c:pt idx="70">
                  <c:v>-0.49299100000000001</c:v>
                </c:pt>
                <c:pt idx="71">
                  <c:v>-0.49116399999999999</c:v>
                </c:pt>
                <c:pt idx="72">
                  <c:v>0.51960600000000001</c:v>
                </c:pt>
                <c:pt idx="73">
                  <c:v>0.50461699999999998</c:v>
                </c:pt>
                <c:pt idx="74">
                  <c:v>-0.47521099999999999</c:v>
                </c:pt>
                <c:pt idx="75">
                  <c:v>-0.46771499999999999</c:v>
                </c:pt>
                <c:pt idx="76">
                  <c:v>-0.473549</c:v>
                </c:pt>
                <c:pt idx="77">
                  <c:v>-0.49499700000000002</c:v>
                </c:pt>
                <c:pt idx="78">
                  <c:v>-0.48072399999999998</c:v>
                </c:pt>
                <c:pt idx="79">
                  <c:v>-0.46309699999999998</c:v>
                </c:pt>
                <c:pt idx="80">
                  <c:v>-0.48893599999999998</c:v>
                </c:pt>
                <c:pt idx="81">
                  <c:v>-0.50606600000000002</c:v>
                </c:pt>
                <c:pt idx="82">
                  <c:v>-0.40453699999999998</c:v>
                </c:pt>
                <c:pt idx="83">
                  <c:v>0.53888000000000003</c:v>
                </c:pt>
                <c:pt idx="84">
                  <c:v>-0.49047299999999999</c:v>
                </c:pt>
                <c:pt idx="85">
                  <c:v>-0.50442600000000004</c:v>
                </c:pt>
                <c:pt idx="86">
                  <c:v>-0.48766199999999998</c:v>
                </c:pt>
                <c:pt idx="87">
                  <c:v>-0.45693800000000001</c:v>
                </c:pt>
                <c:pt idx="88">
                  <c:v>-0.54102700000000004</c:v>
                </c:pt>
                <c:pt idx="89">
                  <c:v>-0.51290199999999997</c:v>
                </c:pt>
                <c:pt idx="90">
                  <c:v>-0.53401299999999996</c:v>
                </c:pt>
                <c:pt idx="91">
                  <c:v>-0.600769</c:v>
                </c:pt>
                <c:pt idx="92">
                  <c:v>-0.52664999999999995</c:v>
                </c:pt>
                <c:pt idx="93">
                  <c:v>-0.511602</c:v>
                </c:pt>
                <c:pt idx="94">
                  <c:v>-0.52855099999999999</c:v>
                </c:pt>
                <c:pt idx="95">
                  <c:v>-0.50868199999999997</c:v>
                </c:pt>
                <c:pt idx="96">
                  <c:v>-0.50785100000000005</c:v>
                </c:pt>
                <c:pt idx="97">
                  <c:v>-0.55025299999999999</c:v>
                </c:pt>
                <c:pt idx="98">
                  <c:v>-0.58030400000000004</c:v>
                </c:pt>
                <c:pt idx="99">
                  <c:v>-0.55626900000000001</c:v>
                </c:pt>
                <c:pt idx="100">
                  <c:v>-0.59123000000000003</c:v>
                </c:pt>
                <c:pt idx="101">
                  <c:v>-0.589445</c:v>
                </c:pt>
                <c:pt idx="102">
                  <c:v>-0.56525800000000004</c:v>
                </c:pt>
                <c:pt idx="103">
                  <c:v>-0.48782199999999998</c:v>
                </c:pt>
                <c:pt idx="104">
                  <c:v>-0.43741600000000003</c:v>
                </c:pt>
                <c:pt idx="105">
                  <c:v>-0.50872099999999998</c:v>
                </c:pt>
                <c:pt idx="106">
                  <c:v>-0.48811300000000002</c:v>
                </c:pt>
                <c:pt idx="107">
                  <c:v>-0.478883</c:v>
                </c:pt>
                <c:pt idx="108">
                  <c:v>-0.49068099999999998</c:v>
                </c:pt>
                <c:pt idx="109">
                  <c:v>-0.47098899999999999</c:v>
                </c:pt>
                <c:pt idx="110">
                  <c:v>-0.47480099999999997</c:v>
                </c:pt>
                <c:pt idx="111">
                  <c:v>-0.54049000000000003</c:v>
                </c:pt>
                <c:pt idx="112">
                  <c:v>-0.53799300000000005</c:v>
                </c:pt>
                <c:pt idx="113">
                  <c:v>-0.54566499999999996</c:v>
                </c:pt>
                <c:pt idx="114">
                  <c:v>-0.54105199999999998</c:v>
                </c:pt>
                <c:pt idx="115">
                  <c:v>-0.54796699999999998</c:v>
                </c:pt>
                <c:pt idx="116">
                  <c:v>-0.54389799999999999</c:v>
                </c:pt>
                <c:pt idx="117">
                  <c:v>-0.55642899999999995</c:v>
                </c:pt>
                <c:pt idx="118">
                  <c:v>-0.55017099999999997</c:v>
                </c:pt>
                <c:pt idx="119">
                  <c:v>-0.56792699999999996</c:v>
                </c:pt>
                <c:pt idx="120">
                  <c:v>-0.58398700000000003</c:v>
                </c:pt>
                <c:pt idx="121">
                  <c:v>-0.57484299999999999</c:v>
                </c:pt>
                <c:pt idx="122">
                  <c:v>-0.675535</c:v>
                </c:pt>
                <c:pt idx="123">
                  <c:v>-0.40859499999999999</c:v>
                </c:pt>
                <c:pt idx="124">
                  <c:v>-0.491313</c:v>
                </c:pt>
                <c:pt idx="125">
                  <c:v>-0.491226</c:v>
                </c:pt>
                <c:pt idx="126">
                  <c:v>-0.494168</c:v>
                </c:pt>
                <c:pt idx="127">
                  <c:v>-0.46635399999999999</c:v>
                </c:pt>
                <c:pt idx="128">
                  <c:v>-0.46896500000000002</c:v>
                </c:pt>
                <c:pt idx="129">
                  <c:v>-0.51566299999999998</c:v>
                </c:pt>
                <c:pt idx="130">
                  <c:v>-0.48048099999999999</c:v>
                </c:pt>
                <c:pt idx="131">
                  <c:v>-0.47456500000000001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34-47A0-8704-A0A739AC7EE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q1'!$B$2:$B$133</c:f>
              <c:numCache>
                <c:formatCode>General</c:formatCode>
                <c:ptCount val="132"/>
                <c:pt idx="0">
                  <c:v>-0.19400925999999999</c:v>
                </c:pt>
                <c:pt idx="1">
                  <c:v>-0.19151192</c:v>
                </c:pt>
                <c:pt idx="2">
                  <c:v>-0.20539356</c:v>
                </c:pt>
                <c:pt idx="3">
                  <c:v>-0.21584708999999999</c:v>
                </c:pt>
                <c:pt idx="4">
                  <c:v>-9.3271300000000001E-2</c:v>
                </c:pt>
                <c:pt idx="5">
                  <c:v>-0.23906258999999999</c:v>
                </c:pt>
                <c:pt idx="6">
                  <c:v>-0.19958973999999999</c:v>
                </c:pt>
                <c:pt idx="7">
                  <c:v>-0.21279265</c:v>
                </c:pt>
                <c:pt idx="8">
                  <c:v>-0.20663376999999999</c:v>
                </c:pt>
                <c:pt idx="9">
                  <c:v>-0.20539789</c:v>
                </c:pt>
                <c:pt idx="10">
                  <c:v>-0.20485819</c:v>
                </c:pt>
                <c:pt idx="11">
                  <c:v>-0.25380142999999999</c:v>
                </c:pt>
                <c:pt idx="12">
                  <c:v>-0.20409405999999999</c:v>
                </c:pt>
                <c:pt idx="13">
                  <c:v>-0.20171848000000001</c:v>
                </c:pt>
                <c:pt idx="14">
                  <c:v>-0.19739683999999999</c:v>
                </c:pt>
                <c:pt idx="15">
                  <c:v>-0.23587421</c:v>
                </c:pt>
                <c:pt idx="16">
                  <c:v>-0.20042625</c:v>
                </c:pt>
                <c:pt idx="17">
                  <c:v>-5.2914549999999998E-2</c:v>
                </c:pt>
                <c:pt idx="18">
                  <c:v>-0.21310119999999999</c:v>
                </c:pt>
                <c:pt idx="19">
                  <c:v>-0.21572842</c:v>
                </c:pt>
                <c:pt idx="20">
                  <c:v>-0.21997712999999999</c:v>
                </c:pt>
                <c:pt idx="21">
                  <c:v>-0.20657064</c:v>
                </c:pt>
                <c:pt idx="22">
                  <c:v>-0.13224794000000001</c:v>
                </c:pt>
                <c:pt idx="23">
                  <c:v>-0.12208506</c:v>
                </c:pt>
                <c:pt idx="24">
                  <c:v>-0.13168170000000001</c:v>
                </c:pt>
                <c:pt idx="25">
                  <c:v>-0.19427544999999999</c:v>
                </c:pt>
                <c:pt idx="26">
                  <c:v>-0.17792415</c:v>
                </c:pt>
                <c:pt idx="27">
                  <c:v>-0.17384230000000001</c:v>
                </c:pt>
                <c:pt idx="28">
                  <c:v>-0.17761104999999999</c:v>
                </c:pt>
                <c:pt idx="29">
                  <c:v>-0.19316245000000001</c:v>
                </c:pt>
                <c:pt idx="30">
                  <c:v>-0.19272681999999999</c:v>
                </c:pt>
                <c:pt idx="31">
                  <c:v>-0.32280761000000002</c:v>
                </c:pt>
                <c:pt idx="32">
                  <c:v>-0.31786337999999997</c:v>
                </c:pt>
                <c:pt idx="33">
                  <c:v>-0.34191618000000001</c:v>
                </c:pt>
                <c:pt idx="34">
                  <c:v>-0.22997263000000001</c:v>
                </c:pt>
                <c:pt idx="35">
                  <c:v>-0.21756675</c:v>
                </c:pt>
                <c:pt idx="36">
                  <c:v>-0.35383402000000003</c:v>
                </c:pt>
                <c:pt idx="37">
                  <c:v>-0.34537582999999999</c:v>
                </c:pt>
                <c:pt idx="38">
                  <c:v>-0.21343644000000001</c:v>
                </c:pt>
                <c:pt idx="39">
                  <c:v>-0.11374981000000001</c:v>
                </c:pt>
                <c:pt idx="40">
                  <c:v>-0.19622844</c:v>
                </c:pt>
                <c:pt idx="41">
                  <c:v>-0.20336641</c:v>
                </c:pt>
                <c:pt idx="42">
                  <c:v>-0.21495023999999999</c:v>
                </c:pt>
                <c:pt idx="43">
                  <c:v>-0.21154413999999999</c:v>
                </c:pt>
                <c:pt idx="44">
                  <c:v>-0.21022882000000001</c:v>
                </c:pt>
                <c:pt idx="45">
                  <c:v>-0.44306556000000002</c:v>
                </c:pt>
                <c:pt idx="46">
                  <c:v>-0.43483435999999998</c:v>
                </c:pt>
                <c:pt idx="47">
                  <c:v>-0.43138398999999999</c:v>
                </c:pt>
                <c:pt idx="48">
                  <c:v>-0.42203762</c:v>
                </c:pt>
                <c:pt idx="49">
                  <c:v>-0.42282060999999999</c:v>
                </c:pt>
                <c:pt idx="50">
                  <c:v>-0.42927093</c:v>
                </c:pt>
                <c:pt idx="51">
                  <c:v>-0.43049347999999998</c:v>
                </c:pt>
                <c:pt idx="52">
                  <c:v>-0.43817293000000002</c:v>
                </c:pt>
                <c:pt idx="53">
                  <c:v>-0.15071424999999999</c:v>
                </c:pt>
                <c:pt idx="54">
                  <c:v>-0.14433794</c:v>
                </c:pt>
                <c:pt idx="55">
                  <c:v>-0.33981011999999999</c:v>
                </c:pt>
                <c:pt idx="56">
                  <c:v>-0.34796704000000001</c:v>
                </c:pt>
                <c:pt idx="57">
                  <c:v>-0.18523949000000001</c:v>
                </c:pt>
                <c:pt idx="58">
                  <c:v>-0.15531002999999999</c:v>
                </c:pt>
                <c:pt idx="59">
                  <c:v>-0.16771808999999999</c:v>
                </c:pt>
                <c:pt idx="60">
                  <c:v>-0.13454337</c:v>
                </c:pt>
                <c:pt idx="61">
                  <c:v>-0.12238313000000001</c:v>
                </c:pt>
                <c:pt idx="62">
                  <c:v>-0.13314031000000001</c:v>
                </c:pt>
                <c:pt idx="63">
                  <c:v>-0.22769085999999999</c:v>
                </c:pt>
                <c:pt idx="64">
                  <c:v>-0.19271547</c:v>
                </c:pt>
                <c:pt idx="65">
                  <c:v>-0.20116202</c:v>
                </c:pt>
                <c:pt idx="66">
                  <c:v>-0.21273679000000001</c:v>
                </c:pt>
                <c:pt idx="67">
                  <c:v>-0.20470247999999999</c:v>
                </c:pt>
                <c:pt idx="68">
                  <c:v>-0.20531977000000001</c:v>
                </c:pt>
                <c:pt idx="69">
                  <c:v>-0.18525004</c:v>
                </c:pt>
                <c:pt idx="70">
                  <c:v>-0.19306359000000001</c:v>
                </c:pt>
                <c:pt idx="71">
                  <c:v>-0.20027448</c:v>
                </c:pt>
                <c:pt idx="72">
                  <c:v>-0.1008812</c:v>
                </c:pt>
                <c:pt idx="73">
                  <c:v>-0.13570098</c:v>
                </c:pt>
                <c:pt idx="74">
                  <c:v>-0.20545437999999999</c:v>
                </c:pt>
                <c:pt idx="75">
                  <c:v>-0.21632681000000001</c:v>
                </c:pt>
                <c:pt idx="76">
                  <c:v>-0.20462727999999999</c:v>
                </c:pt>
                <c:pt idx="77">
                  <c:v>-0.20702006000000001</c:v>
                </c:pt>
                <c:pt idx="78">
                  <c:v>-0.20333330999999999</c:v>
                </c:pt>
                <c:pt idx="79">
                  <c:v>-0.21784086999999999</c:v>
                </c:pt>
                <c:pt idx="80">
                  <c:v>-0.21532403999999999</c:v>
                </c:pt>
                <c:pt idx="81">
                  <c:v>-0.19788738</c:v>
                </c:pt>
                <c:pt idx="82">
                  <c:v>-0.23803260000000001</c:v>
                </c:pt>
                <c:pt idx="83">
                  <c:v>-1.9719690000000002E-2</c:v>
                </c:pt>
                <c:pt idx="84">
                  <c:v>-0.19529716999999999</c:v>
                </c:pt>
                <c:pt idx="85">
                  <c:v>-0.20500934000000001</c:v>
                </c:pt>
                <c:pt idx="86">
                  <c:v>-0.21026550999999999</c:v>
                </c:pt>
                <c:pt idx="87">
                  <c:v>-0.25701085000000001</c:v>
                </c:pt>
                <c:pt idx="88">
                  <c:v>-0.13312953</c:v>
                </c:pt>
                <c:pt idx="89">
                  <c:v>-0.13926626</c:v>
                </c:pt>
                <c:pt idx="90">
                  <c:v>-0.12205955</c:v>
                </c:pt>
                <c:pt idx="91">
                  <c:v>-0.19630659</c:v>
                </c:pt>
                <c:pt idx="92">
                  <c:v>-0.1722794</c:v>
                </c:pt>
                <c:pt idx="93">
                  <c:v>-0.17747927999999999</c:v>
                </c:pt>
                <c:pt idx="94">
                  <c:v>-0.17304175999999999</c:v>
                </c:pt>
                <c:pt idx="95">
                  <c:v>-0.16717561</c:v>
                </c:pt>
                <c:pt idx="96">
                  <c:v>-0.1734773</c:v>
                </c:pt>
                <c:pt idx="97">
                  <c:v>-0.33746388999999999</c:v>
                </c:pt>
                <c:pt idx="98">
                  <c:v>-0.34365537000000002</c:v>
                </c:pt>
                <c:pt idx="99">
                  <c:v>-0.35896267999999998</c:v>
                </c:pt>
                <c:pt idx="100">
                  <c:v>-0.26321277999999998</c:v>
                </c:pt>
                <c:pt idx="101">
                  <c:v>-0.35174768000000001</c:v>
                </c:pt>
                <c:pt idx="102">
                  <c:v>-0.34621450999999998</c:v>
                </c:pt>
                <c:pt idx="103">
                  <c:v>-0.21994742</c:v>
                </c:pt>
                <c:pt idx="104">
                  <c:v>-0.11420158</c:v>
                </c:pt>
                <c:pt idx="105">
                  <c:v>-0.19068684</c:v>
                </c:pt>
                <c:pt idx="106">
                  <c:v>-0.20999242000000001</c:v>
                </c:pt>
                <c:pt idx="107">
                  <c:v>-0.21067768000000001</c:v>
                </c:pt>
                <c:pt idx="108">
                  <c:v>-0.22502569</c:v>
                </c:pt>
                <c:pt idx="109">
                  <c:v>-0.19965600999999999</c:v>
                </c:pt>
                <c:pt idx="110">
                  <c:v>-0.23817637999999999</c:v>
                </c:pt>
                <c:pt idx="111">
                  <c:v>-0.41307389999999999</c:v>
                </c:pt>
                <c:pt idx="112">
                  <c:v>-0.44803578999999999</c:v>
                </c:pt>
                <c:pt idx="113">
                  <c:v>-0.43684152999999998</c:v>
                </c:pt>
                <c:pt idx="114">
                  <c:v>-0.43229961</c:v>
                </c:pt>
                <c:pt idx="115">
                  <c:v>-0.43413065000000001</c:v>
                </c:pt>
                <c:pt idx="116">
                  <c:v>-0.41907203999999998</c:v>
                </c:pt>
                <c:pt idx="117">
                  <c:v>-0.43115257000000001</c:v>
                </c:pt>
                <c:pt idx="118">
                  <c:v>-0.43641912999999999</c:v>
                </c:pt>
                <c:pt idx="119">
                  <c:v>-0.14410564000000001</c:v>
                </c:pt>
                <c:pt idx="120">
                  <c:v>-0.1729328</c:v>
                </c:pt>
                <c:pt idx="121">
                  <c:v>-0.31227339999999998</c:v>
                </c:pt>
                <c:pt idx="122">
                  <c:v>-0.31877761999999998</c:v>
                </c:pt>
                <c:pt idx="123">
                  <c:v>-0.13686478999999999</c:v>
                </c:pt>
                <c:pt idx="124">
                  <c:v>-0.13112278999999999</c:v>
                </c:pt>
                <c:pt idx="125">
                  <c:v>-0.12212412</c:v>
                </c:pt>
                <c:pt idx="126">
                  <c:v>-0.14232766999999999</c:v>
                </c:pt>
                <c:pt idx="127">
                  <c:v>-0.12712490000000001</c:v>
                </c:pt>
                <c:pt idx="128">
                  <c:v>-0.22515358999999999</c:v>
                </c:pt>
                <c:pt idx="129">
                  <c:v>-0.19518381000000001</c:v>
                </c:pt>
                <c:pt idx="130">
                  <c:v>-0.19818456000000001</c:v>
                </c:pt>
                <c:pt idx="131">
                  <c:v>-0.21703006</c:v>
                </c:pt>
              </c:numCache>
            </c:numRef>
          </c:xVal>
          <c:yVal>
            <c:numRef>
              <c:f>'xTB vs DFT q1'!$I$2:$I$133</c:f>
              <c:numCache>
                <c:formatCode>General</c:formatCode>
                <c:ptCount val="132"/>
                <c:pt idx="0">
                  <c:v>-0.19400925999999999</c:v>
                </c:pt>
                <c:pt idx="1">
                  <c:v>-0.19151192</c:v>
                </c:pt>
                <c:pt idx="2">
                  <c:v>-0.20539356</c:v>
                </c:pt>
                <c:pt idx="3">
                  <c:v>-0.21584708999999999</c:v>
                </c:pt>
                <c:pt idx="4">
                  <c:v>-9.3271300000000001E-2</c:v>
                </c:pt>
                <c:pt idx="5">
                  <c:v>-0.23906258999999999</c:v>
                </c:pt>
                <c:pt idx="6">
                  <c:v>-0.19958973999999999</c:v>
                </c:pt>
                <c:pt idx="7">
                  <c:v>-0.21279265</c:v>
                </c:pt>
                <c:pt idx="8">
                  <c:v>-0.20663376999999999</c:v>
                </c:pt>
                <c:pt idx="9">
                  <c:v>-0.20539789</c:v>
                </c:pt>
                <c:pt idx="10">
                  <c:v>-0.20485819</c:v>
                </c:pt>
                <c:pt idx="11">
                  <c:v>-0.25380142999999999</c:v>
                </c:pt>
                <c:pt idx="12">
                  <c:v>-0.20409405999999999</c:v>
                </c:pt>
                <c:pt idx="13">
                  <c:v>-0.20171848000000001</c:v>
                </c:pt>
                <c:pt idx="14">
                  <c:v>-0.19739683999999999</c:v>
                </c:pt>
                <c:pt idx="15">
                  <c:v>-0.23587421</c:v>
                </c:pt>
                <c:pt idx="16">
                  <c:v>-0.20042625</c:v>
                </c:pt>
                <c:pt idx="17">
                  <c:v>-5.2914549999999998E-2</c:v>
                </c:pt>
                <c:pt idx="18">
                  <c:v>-0.21310119999999999</c:v>
                </c:pt>
                <c:pt idx="19">
                  <c:v>-0.21572842</c:v>
                </c:pt>
                <c:pt idx="20">
                  <c:v>-0.21997712999999999</c:v>
                </c:pt>
                <c:pt idx="21">
                  <c:v>-0.20657064</c:v>
                </c:pt>
                <c:pt idx="22">
                  <c:v>-0.13224794000000001</c:v>
                </c:pt>
                <c:pt idx="23">
                  <c:v>-0.12208506</c:v>
                </c:pt>
                <c:pt idx="24">
                  <c:v>-0.13168170000000001</c:v>
                </c:pt>
                <c:pt idx="25">
                  <c:v>-0.19427544999999999</c:v>
                </c:pt>
                <c:pt idx="26">
                  <c:v>-0.17792415</c:v>
                </c:pt>
                <c:pt idx="27">
                  <c:v>-0.17384230000000001</c:v>
                </c:pt>
                <c:pt idx="28">
                  <c:v>-0.17761104999999999</c:v>
                </c:pt>
                <c:pt idx="29">
                  <c:v>-0.19316245000000001</c:v>
                </c:pt>
                <c:pt idx="30">
                  <c:v>-0.19272681999999999</c:v>
                </c:pt>
                <c:pt idx="31">
                  <c:v>-0.32280761000000002</c:v>
                </c:pt>
                <c:pt idx="32">
                  <c:v>-0.31786337999999997</c:v>
                </c:pt>
                <c:pt idx="33">
                  <c:v>-0.34191618000000001</c:v>
                </c:pt>
                <c:pt idx="34">
                  <c:v>-0.22997263000000001</c:v>
                </c:pt>
                <c:pt idx="35">
                  <c:v>-0.21756675</c:v>
                </c:pt>
                <c:pt idx="36">
                  <c:v>-0.35383402000000003</c:v>
                </c:pt>
                <c:pt idx="37">
                  <c:v>-0.34537582999999999</c:v>
                </c:pt>
                <c:pt idx="38">
                  <c:v>-0.21343644000000001</c:v>
                </c:pt>
                <c:pt idx="39">
                  <c:v>-0.11374981000000001</c:v>
                </c:pt>
                <c:pt idx="40">
                  <c:v>-0.19622844</c:v>
                </c:pt>
                <c:pt idx="41">
                  <c:v>-0.20336641</c:v>
                </c:pt>
                <c:pt idx="42">
                  <c:v>-0.21495023999999999</c:v>
                </c:pt>
                <c:pt idx="43">
                  <c:v>-0.21154413999999999</c:v>
                </c:pt>
                <c:pt idx="44">
                  <c:v>-0.21022882000000001</c:v>
                </c:pt>
                <c:pt idx="45">
                  <c:v>-0.44306556000000002</c:v>
                </c:pt>
                <c:pt idx="46">
                  <c:v>-0.43483435999999998</c:v>
                </c:pt>
                <c:pt idx="47">
                  <c:v>-0.43138398999999999</c:v>
                </c:pt>
                <c:pt idx="48">
                  <c:v>-0.42203762</c:v>
                </c:pt>
                <c:pt idx="49">
                  <c:v>-0.42282060999999999</c:v>
                </c:pt>
                <c:pt idx="50">
                  <c:v>-0.42927093</c:v>
                </c:pt>
                <c:pt idx="51">
                  <c:v>-0.43049347999999998</c:v>
                </c:pt>
                <c:pt idx="52">
                  <c:v>-0.43817293000000002</c:v>
                </c:pt>
                <c:pt idx="53">
                  <c:v>-0.15071424999999999</c:v>
                </c:pt>
                <c:pt idx="54">
                  <c:v>-0.14433794</c:v>
                </c:pt>
                <c:pt idx="55">
                  <c:v>-0.33981011999999999</c:v>
                </c:pt>
                <c:pt idx="56">
                  <c:v>-0.34796704000000001</c:v>
                </c:pt>
                <c:pt idx="57">
                  <c:v>-0.18523949000000001</c:v>
                </c:pt>
                <c:pt idx="58">
                  <c:v>-0.15531002999999999</c:v>
                </c:pt>
                <c:pt idx="59">
                  <c:v>-0.16771808999999999</c:v>
                </c:pt>
                <c:pt idx="60">
                  <c:v>-0.13454337</c:v>
                </c:pt>
                <c:pt idx="61">
                  <c:v>-0.12238313000000001</c:v>
                </c:pt>
                <c:pt idx="62">
                  <c:v>-0.13314031000000001</c:v>
                </c:pt>
                <c:pt idx="63">
                  <c:v>-0.22769085999999999</c:v>
                </c:pt>
                <c:pt idx="64">
                  <c:v>-0.19271547</c:v>
                </c:pt>
                <c:pt idx="65">
                  <c:v>-0.20116202</c:v>
                </c:pt>
                <c:pt idx="66">
                  <c:v>-0.21273679000000001</c:v>
                </c:pt>
                <c:pt idx="67">
                  <c:v>-0.20470247999999999</c:v>
                </c:pt>
                <c:pt idx="68">
                  <c:v>-0.20531977000000001</c:v>
                </c:pt>
                <c:pt idx="69">
                  <c:v>-0.18525004</c:v>
                </c:pt>
                <c:pt idx="70">
                  <c:v>-0.19306359000000001</c:v>
                </c:pt>
                <c:pt idx="71">
                  <c:v>-0.20027448</c:v>
                </c:pt>
                <c:pt idx="72">
                  <c:v>-0.1008812</c:v>
                </c:pt>
                <c:pt idx="73">
                  <c:v>-0.13570098</c:v>
                </c:pt>
                <c:pt idx="74">
                  <c:v>-0.20545437999999999</c:v>
                </c:pt>
                <c:pt idx="75">
                  <c:v>-0.21632681000000001</c:v>
                </c:pt>
                <c:pt idx="76">
                  <c:v>-0.20462727999999999</c:v>
                </c:pt>
                <c:pt idx="77">
                  <c:v>-0.20702006000000001</c:v>
                </c:pt>
                <c:pt idx="78">
                  <c:v>-0.20333330999999999</c:v>
                </c:pt>
                <c:pt idx="79">
                  <c:v>-0.21784086999999999</c:v>
                </c:pt>
                <c:pt idx="80">
                  <c:v>-0.21532403999999999</c:v>
                </c:pt>
                <c:pt idx="81">
                  <c:v>-0.19788738</c:v>
                </c:pt>
                <c:pt idx="82">
                  <c:v>-0.23803260000000001</c:v>
                </c:pt>
                <c:pt idx="83">
                  <c:v>-1.9719690000000002E-2</c:v>
                </c:pt>
                <c:pt idx="84">
                  <c:v>-0.19529716999999999</c:v>
                </c:pt>
                <c:pt idx="85">
                  <c:v>-0.20500934000000001</c:v>
                </c:pt>
                <c:pt idx="86">
                  <c:v>-0.21026550999999999</c:v>
                </c:pt>
                <c:pt idx="87">
                  <c:v>-0.25701085000000001</c:v>
                </c:pt>
                <c:pt idx="88">
                  <c:v>-0.13312953</c:v>
                </c:pt>
                <c:pt idx="89">
                  <c:v>-0.13926626</c:v>
                </c:pt>
                <c:pt idx="90">
                  <c:v>-0.12205955</c:v>
                </c:pt>
                <c:pt idx="91">
                  <c:v>-0.19630659</c:v>
                </c:pt>
                <c:pt idx="92">
                  <c:v>-0.1722794</c:v>
                </c:pt>
                <c:pt idx="93">
                  <c:v>-0.17747927999999999</c:v>
                </c:pt>
                <c:pt idx="94">
                  <c:v>-0.17304175999999999</c:v>
                </c:pt>
                <c:pt idx="95">
                  <c:v>-0.16717561</c:v>
                </c:pt>
                <c:pt idx="96">
                  <c:v>-0.1734773</c:v>
                </c:pt>
                <c:pt idx="97">
                  <c:v>-0.33746388999999999</c:v>
                </c:pt>
                <c:pt idx="98">
                  <c:v>-0.34365537000000002</c:v>
                </c:pt>
                <c:pt idx="99">
                  <c:v>-0.35896267999999998</c:v>
                </c:pt>
                <c:pt idx="100">
                  <c:v>-0.26321277999999998</c:v>
                </c:pt>
                <c:pt idx="101">
                  <c:v>-0.35174768000000001</c:v>
                </c:pt>
                <c:pt idx="102">
                  <c:v>-0.34621450999999998</c:v>
                </c:pt>
                <c:pt idx="103">
                  <c:v>-0.21994742</c:v>
                </c:pt>
                <c:pt idx="104">
                  <c:v>-0.11420158</c:v>
                </c:pt>
                <c:pt idx="105">
                  <c:v>-0.19068684</c:v>
                </c:pt>
                <c:pt idx="106">
                  <c:v>-0.20999242000000001</c:v>
                </c:pt>
                <c:pt idx="107">
                  <c:v>-0.21067768000000001</c:v>
                </c:pt>
                <c:pt idx="108">
                  <c:v>-0.22502569</c:v>
                </c:pt>
                <c:pt idx="109">
                  <c:v>-0.19965600999999999</c:v>
                </c:pt>
                <c:pt idx="110">
                  <c:v>-0.23817637999999999</c:v>
                </c:pt>
                <c:pt idx="111">
                  <c:v>-0.41307389999999999</c:v>
                </c:pt>
                <c:pt idx="112">
                  <c:v>-0.44803578999999999</c:v>
                </c:pt>
                <c:pt idx="113">
                  <c:v>-0.43684152999999998</c:v>
                </c:pt>
                <c:pt idx="114">
                  <c:v>-0.43229961</c:v>
                </c:pt>
                <c:pt idx="115">
                  <c:v>-0.43413065000000001</c:v>
                </c:pt>
                <c:pt idx="116">
                  <c:v>-0.41907203999999998</c:v>
                </c:pt>
                <c:pt idx="117">
                  <c:v>-0.43115257000000001</c:v>
                </c:pt>
                <c:pt idx="118">
                  <c:v>-0.43641912999999999</c:v>
                </c:pt>
                <c:pt idx="119">
                  <c:v>-0.14410564000000001</c:v>
                </c:pt>
                <c:pt idx="120">
                  <c:v>-0.1729328</c:v>
                </c:pt>
                <c:pt idx="121">
                  <c:v>-0.31227339999999998</c:v>
                </c:pt>
                <c:pt idx="122">
                  <c:v>-0.31877761999999998</c:v>
                </c:pt>
                <c:pt idx="123">
                  <c:v>-0.13686478999999999</c:v>
                </c:pt>
                <c:pt idx="124">
                  <c:v>-0.13112278999999999</c:v>
                </c:pt>
                <c:pt idx="125">
                  <c:v>-0.12212412</c:v>
                </c:pt>
                <c:pt idx="126">
                  <c:v>-0.14232766999999999</c:v>
                </c:pt>
                <c:pt idx="127">
                  <c:v>-0.12712490000000001</c:v>
                </c:pt>
                <c:pt idx="128">
                  <c:v>-0.22515358999999999</c:v>
                </c:pt>
                <c:pt idx="129">
                  <c:v>-0.19518381000000001</c:v>
                </c:pt>
                <c:pt idx="130">
                  <c:v>-0.19818456000000001</c:v>
                </c:pt>
                <c:pt idx="131">
                  <c:v>-0.21703006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34-47A0-8704-A0A739AC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-1.9720000000000001E-2"/>
          <c:min val="-0.4480400000000000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0.65151700000000001"/>
          <c:min val="-0.6755400000000001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79660726350297E-4"/>
              <c:y val="0.274370908097454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</a:rPr>
              <a:t>Atomic charge, </a:t>
            </a:r>
            <a:r>
              <a:rPr lang="en-IN" sz="1600" b="1" i="1" u="none" strike="noStrike" kern="1200" spc="0" baseline="0">
                <a:solidFill>
                  <a:sysClr val="windowText" lastClr="000000"/>
                </a:solidFill>
              </a:rPr>
              <a:t>q</a:t>
            </a:r>
            <a:r>
              <a:rPr lang="en-IN" sz="1600" b="1" i="1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GB" sz="1600" b="1" i="0" u="none" strike="noStrike" kern="1200" spc="0" baseline="-25000">
                <a:solidFill>
                  <a:sysClr val="windowText" lastClr="000000"/>
                </a:solidFill>
              </a:rPr>
              <a:t> 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401469664657692"/>
          <c:y val="9.91325898389095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4033541406166506"/>
          <c:y val="0.17374999999999999"/>
          <c:w val="0.61191275820436253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542831041813083"/>
                  <c:y val="-2.826918635170603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IN" sz="1000" b="0" i="1" u="none" strike="noStrike" baseline="0">
                        <a:effectLst/>
                      </a:rPr>
                      <a:t>q</a:t>
                    </a:r>
                    <a:r>
                      <a:rPr lang="en-IN" sz="1000" b="0" i="1" u="none" strike="noStrike" baseline="-25000">
                        <a:effectLst/>
                      </a:rPr>
                      <a:t>2</a:t>
                    </a:r>
                    <a:r>
                      <a:rPr lang="en-IN" sz="1000" b="0" i="0" u="none" strike="noStrike" baseline="-25000">
                        <a:effectLst/>
                      </a:rPr>
                      <a:t>,</a:t>
                    </a:r>
                    <a:r>
                      <a:rPr lang="en-GB" sz="1000" b="0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0.59</a:t>
                    </a:r>
                    <a:r>
                      <a:rPr lang="en-IN" sz="1000" b="0" i="1" u="none" strike="noStrike" baseline="0">
                        <a:effectLst/>
                      </a:rPr>
                      <a:t>q</a:t>
                    </a:r>
                    <a:r>
                      <a:rPr lang="en-IN" sz="1000" b="0" i="1" u="none" strike="noStrike" baseline="-25000">
                        <a:effectLst/>
                      </a:rPr>
                      <a:t>2</a:t>
                    </a:r>
                    <a:r>
                      <a:rPr lang="en-IN" sz="1000" b="0" i="0" u="none" strike="noStrike" baseline="-25000">
                        <a:effectLst/>
                      </a:rPr>
                      <a:t>,</a:t>
                    </a:r>
                    <a:r>
                      <a:rPr lang="en-GB" sz="1000" b="0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- 0.36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0.13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0.35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0.29a.u.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0.31a.u.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q2'!$B$2:$B$131</c:f>
              <c:numCache>
                <c:formatCode>General</c:formatCode>
                <c:ptCount val="130"/>
                <c:pt idx="0">
                  <c:v>-0.19611919999999999</c:v>
                </c:pt>
                <c:pt idx="1">
                  <c:v>-0.19313621</c:v>
                </c:pt>
                <c:pt idx="2">
                  <c:v>-0.20642392000000001</c:v>
                </c:pt>
                <c:pt idx="3">
                  <c:v>-0.16065057999999999</c:v>
                </c:pt>
                <c:pt idx="4">
                  <c:v>-0.10334967</c:v>
                </c:pt>
                <c:pt idx="5">
                  <c:v>-0.16365012000000001</c:v>
                </c:pt>
                <c:pt idx="6">
                  <c:v>-0.20872014999999999</c:v>
                </c:pt>
                <c:pt idx="7">
                  <c:v>-0.20674939000000001</c:v>
                </c:pt>
                <c:pt idx="8">
                  <c:v>-0.19941571</c:v>
                </c:pt>
                <c:pt idx="9">
                  <c:v>-0.20927240999999999</c:v>
                </c:pt>
                <c:pt idx="10">
                  <c:v>-0.20737170999999999</c:v>
                </c:pt>
                <c:pt idx="11">
                  <c:v>-0.23109350000000001</c:v>
                </c:pt>
                <c:pt idx="12">
                  <c:v>-0.20722120999999999</c:v>
                </c:pt>
                <c:pt idx="13">
                  <c:v>-0.20356895999999999</c:v>
                </c:pt>
                <c:pt idx="14">
                  <c:v>-0.20035869000000001</c:v>
                </c:pt>
                <c:pt idx="15">
                  <c:v>-0.1889989</c:v>
                </c:pt>
                <c:pt idx="16">
                  <c:v>-0.19770392000000001</c:v>
                </c:pt>
                <c:pt idx="17">
                  <c:v>-0.19566813999999999</c:v>
                </c:pt>
                <c:pt idx="18">
                  <c:v>-0.19879793000000001</c:v>
                </c:pt>
                <c:pt idx="19">
                  <c:v>-0.20385766</c:v>
                </c:pt>
                <c:pt idx="20">
                  <c:v>-0.21048708999999999</c:v>
                </c:pt>
                <c:pt idx="21">
                  <c:v>-0.13075603999999999</c:v>
                </c:pt>
                <c:pt idx="22">
                  <c:v>-0.1232562</c:v>
                </c:pt>
                <c:pt idx="23">
                  <c:v>-0.18396693</c:v>
                </c:pt>
                <c:pt idx="24">
                  <c:v>-0.19893559</c:v>
                </c:pt>
                <c:pt idx="25">
                  <c:v>-0.17300489999999999</c:v>
                </c:pt>
                <c:pt idx="26">
                  <c:v>-0.17400662</c:v>
                </c:pt>
                <c:pt idx="27">
                  <c:v>-0.17815464</c:v>
                </c:pt>
                <c:pt idx="28">
                  <c:v>-0.23261862999999999</c:v>
                </c:pt>
                <c:pt idx="29">
                  <c:v>-0.17155222000000001</c:v>
                </c:pt>
                <c:pt idx="30">
                  <c:v>-0.34138048999999998</c:v>
                </c:pt>
                <c:pt idx="31">
                  <c:v>-0.34797551999999998</c:v>
                </c:pt>
                <c:pt idx="32">
                  <c:v>-0.34379694999999999</c:v>
                </c:pt>
                <c:pt idx="33">
                  <c:v>-0.22159532000000001</c:v>
                </c:pt>
                <c:pt idx="34">
                  <c:v>-0.22501979</c:v>
                </c:pt>
                <c:pt idx="35">
                  <c:v>-0.34665947000000003</c:v>
                </c:pt>
                <c:pt idx="36">
                  <c:v>-0.35251865999999998</c:v>
                </c:pt>
                <c:pt idx="37">
                  <c:v>-0.22682601999999999</c:v>
                </c:pt>
                <c:pt idx="38">
                  <c:v>-0.12140561</c:v>
                </c:pt>
                <c:pt idx="39">
                  <c:v>-0.19259239</c:v>
                </c:pt>
                <c:pt idx="40">
                  <c:v>-0.20007607999999999</c:v>
                </c:pt>
                <c:pt idx="41">
                  <c:v>-0.19769184000000001</c:v>
                </c:pt>
                <c:pt idx="42">
                  <c:v>-0.20929669000000001</c:v>
                </c:pt>
                <c:pt idx="43">
                  <c:v>-0.21430328000000001</c:v>
                </c:pt>
                <c:pt idx="44">
                  <c:v>-0.41855596</c:v>
                </c:pt>
                <c:pt idx="45">
                  <c:v>-0.43491110999999999</c:v>
                </c:pt>
                <c:pt idx="46">
                  <c:v>-0.42584751999999998</c:v>
                </c:pt>
                <c:pt idx="47">
                  <c:v>-0.44027927</c:v>
                </c:pt>
                <c:pt idx="48">
                  <c:v>-0.44960679999999997</c:v>
                </c:pt>
                <c:pt idx="49">
                  <c:v>-0.42964733999999999</c:v>
                </c:pt>
                <c:pt idx="50">
                  <c:v>-0.43673851000000002</c:v>
                </c:pt>
                <c:pt idx="51">
                  <c:v>-0.43448256000000002</c:v>
                </c:pt>
                <c:pt idx="52">
                  <c:v>-0.15855664999999999</c:v>
                </c:pt>
                <c:pt idx="53">
                  <c:v>-0.17854285</c:v>
                </c:pt>
                <c:pt idx="54">
                  <c:v>-0.30874850999999998</c:v>
                </c:pt>
                <c:pt idx="55">
                  <c:v>-0.34069829000000001</c:v>
                </c:pt>
                <c:pt idx="56">
                  <c:v>-0.18547762000000001</c:v>
                </c:pt>
                <c:pt idx="57">
                  <c:v>-0.13905171</c:v>
                </c:pt>
                <c:pt idx="58">
                  <c:v>-0.11599449000000001</c:v>
                </c:pt>
                <c:pt idx="59">
                  <c:v>-0.10821840000000001</c:v>
                </c:pt>
                <c:pt idx="60">
                  <c:v>-0.13989064000000001</c:v>
                </c:pt>
                <c:pt idx="61">
                  <c:v>-0.12421607</c:v>
                </c:pt>
                <c:pt idx="62">
                  <c:v>-0.22549242</c:v>
                </c:pt>
                <c:pt idx="63">
                  <c:v>-0.19724116999999999</c:v>
                </c:pt>
                <c:pt idx="64">
                  <c:v>-0.21813895999999999</c:v>
                </c:pt>
                <c:pt idx="65">
                  <c:v>-0.21677384</c:v>
                </c:pt>
                <c:pt idx="66">
                  <c:v>-0.22357336</c:v>
                </c:pt>
                <c:pt idx="67">
                  <c:v>-0.22189296</c:v>
                </c:pt>
                <c:pt idx="68">
                  <c:v>-0.18829319</c:v>
                </c:pt>
                <c:pt idx="69">
                  <c:v>-0.19443115</c:v>
                </c:pt>
                <c:pt idx="70">
                  <c:v>-0.19868448</c:v>
                </c:pt>
                <c:pt idx="71">
                  <c:v>-9.7219659999999999E-2</c:v>
                </c:pt>
                <c:pt idx="72">
                  <c:v>-0.10372078999999999</c:v>
                </c:pt>
                <c:pt idx="73">
                  <c:v>-0.19331593</c:v>
                </c:pt>
                <c:pt idx="74">
                  <c:v>-0.20141555999999999</c:v>
                </c:pt>
                <c:pt idx="75">
                  <c:v>-0.19525345999999999</c:v>
                </c:pt>
                <c:pt idx="76">
                  <c:v>-0.20637021999999999</c:v>
                </c:pt>
                <c:pt idx="77">
                  <c:v>-0.19764831999999999</c:v>
                </c:pt>
                <c:pt idx="78">
                  <c:v>-0.19869843000000001</c:v>
                </c:pt>
                <c:pt idx="79">
                  <c:v>-0.19925951</c:v>
                </c:pt>
                <c:pt idx="80">
                  <c:v>-0.20030154999999999</c:v>
                </c:pt>
                <c:pt idx="81">
                  <c:v>-0.16330285999999999</c:v>
                </c:pt>
                <c:pt idx="82">
                  <c:v>-0.21821387</c:v>
                </c:pt>
                <c:pt idx="83">
                  <c:v>-0.20467262999999999</c:v>
                </c:pt>
                <c:pt idx="84">
                  <c:v>-0.20959812999999999</c:v>
                </c:pt>
                <c:pt idx="85">
                  <c:v>-0.25376178999999999</c:v>
                </c:pt>
                <c:pt idx="86">
                  <c:v>-0.13067688999999999</c:v>
                </c:pt>
                <c:pt idx="87">
                  <c:v>-0.18114126999999999</c:v>
                </c:pt>
                <c:pt idx="88">
                  <c:v>-0.12442678</c:v>
                </c:pt>
                <c:pt idx="89">
                  <c:v>-0.19649672000000001</c:v>
                </c:pt>
                <c:pt idx="90">
                  <c:v>-0.17578641</c:v>
                </c:pt>
                <c:pt idx="91">
                  <c:v>-0.17189946</c:v>
                </c:pt>
                <c:pt idx="92">
                  <c:v>-0.18284323</c:v>
                </c:pt>
                <c:pt idx="93">
                  <c:v>-0.17952525999999999</c:v>
                </c:pt>
                <c:pt idx="94">
                  <c:v>-0.17485431000000001</c:v>
                </c:pt>
                <c:pt idx="95">
                  <c:v>-0.33926170999999999</c:v>
                </c:pt>
                <c:pt idx="96">
                  <c:v>-0.34390489000000002</c:v>
                </c:pt>
                <c:pt idx="97">
                  <c:v>-0.36027194000000001</c:v>
                </c:pt>
                <c:pt idx="98">
                  <c:v>-0.27927296000000001</c:v>
                </c:pt>
                <c:pt idx="99">
                  <c:v>-0.32339963999999999</c:v>
                </c:pt>
                <c:pt idx="100">
                  <c:v>-0.34205952000000001</c:v>
                </c:pt>
                <c:pt idx="101">
                  <c:v>-0.20321966</c:v>
                </c:pt>
                <c:pt idx="102">
                  <c:v>-0.12043595999999999</c:v>
                </c:pt>
                <c:pt idx="103">
                  <c:v>-0.19789372</c:v>
                </c:pt>
                <c:pt idx="104">
                  <c:v>-0.20276373</c:v>
                </c:pt>
                <c:pt idx="105">
                  <c:v>-0.19734918000000001</c:v>
                </c:pt>
                <c:pt idx="106">
                  <c:v>-0.20068862000000001</c:v>
                </c:pt>
                <c:pt idx="107">
                  <c:v>-0.20686556</c:v>
                </c:pt>
                <c:pt idx="108">
                  <c:v>-0.20606548999999999</c:v>
                </c:pt>
                <c:pt idx="109">
                  <c:v>-0.45360471000000002</c:v>
                </c:pt>
                <c:pt idx="110">
                  <c:v>-0.41991961999999999</c:v>
                </c:pt>
                <c:pt idx="111">
                  <c:v>-0.43084201</c:v>
                </c:pt>
                <c:pt idx="112">
                  <c:v>-0.43527481000000001</c:v>
                </c:pt>
                <c:pt idx="113">
                  <c:v>-0.43693019999999999</c:v>
                </c:pt>
                <c:pt idx="114">
                  <c:v>-0.42150989999999999</c:v>
                </c:pt>
                <c:pt idx="115">
                  <c:v>-0.40806625000000002</c:v>
                </c:pt>
                <c:pt idx="116">
                  <c:v>-0.45122140999999999</c:v>
                </c:pt>
                <c:pt idx="117">
                  <c:v>-0.16496019000000001</c:v>
                </c:pt>
                <c:pt idx="118">
                  <c:v>-0.15048887999999999</c:v>
                </c:pt>
                <c:pt idx="119">
                  <c:v>-0.34099123999999997</c:v>
                </c:pt>
                <c:pt idx="120">
                  <c:v>-0.34630585000000003</c:v>
                </c:pt>
                <c:pt idx="121">
                  <c:v>-0.11007399</c:v>
                </c:pt>
                <c:pt idx="122">
                  <c:v>-0.13879389</c:v>
                </c:pt>
                <c:pt idx="123">
                  <c:v>-0.12708282000000001</c:v>
                </c:pt>
                <c:pt idx="124">
                  <c:v>-0.13400591000000001</c:v>
                </c:pt>
                <c:pt idx="125">
                  <c:v>-0.13033942000000001</c:v>
                </c:pt>
                <c:pt idx="126">
                  <c:v>-0.22438796</c:v>
                </c:pt>
                <c:pt idx="127">
                  <c:v>-0.19245222000000001</c:v>
                </c:pt>
                <c:pt idx="128">
                  <c:v>-0.20041545999999999</c:v>
                </c:pt>
                <c:pt idx="129">
                  <c:v>-0.20361804</c:v>
                </c:pt>
              </c:numCache>
            </c:numRef>
          </c:xVal>
          <c:yVal>
            <c:numRef>
              <c:f>'xTB vs DFT q2'!$C$2:$C$131</c:f>
              <c:numCache>
                <c:formatCode>General</c:formatCode>
                <c:ptCount val="130"/>
                <c:pt idx="0">
                  <c:v>-0.52226700000000004</c:v>
                </c:pt>
                <c:pt idx="1">
                  <c:v>-0.49792700000000001</c:v>
                </c:pt>
                <c:pt idx="2">
                  <c:v>-0.46945300000000001</c:v>
                </c:pt>
                <c:pt idx="3">
                  <c:v>-0.54535800000000001</c:v>
                </c:pt>
                <c:pt idx="4">
                  <c:v>0.50151400000000002</c:v>
                </c:pt>
                <c:pt idx="5">
                  <c:v>-0.542188</c:v>
                </c:pt>
                <c:pt idx="6">
                  <c:v>-0.47303800000000001</c:v>
                </c:pt>
                <c:pt idx="7">
                  <c:v>-0.472354</c:v>
                </c:pt>
                <c:pt idx="8">
                  <c:v>-0.46499000000000001</c:v>
                </c:pt>
                <c:pt idx="9">
                  <c:v>-0.479294</c:v>
                </c:pt>
                <c:pt idx="10">
                  <c:v>-0.48513899999999999</c:v>
                </c:pt>
                <c:pt idx="11">
                  <c:v>-0.44108999999999998</c:v>
                </c:pt>
                <c:pt idx="12">
                  <c:v>-0.48500500000000002</c:v>
                </c:pt>
                <c:pt idx="13">
                  <c:v>-0.50834999999999997</c:v>
                </c:pt>
                <c:pt idx="14">
                  <c:v>-0.49335200000000001</c:v>
                </c:pt>
                <c:pt idx="15">
                  <c:v>-0.54543799999999998</c:v>
                </c:pt>
                <c:pt idx="16">
                  <c:v>-0.52129499999999995</c:v>
                </c:pt>
                <c:pt idx="17">
                  <c:v>-0.49011399999999999</c:v>
                </c:pt>
                <c:pt idx="18">
                  <c:v>-0.51865899999999998</c:v>
                </c:pt>
                <c:pt idx="19">
                  <c:v>-0.49992999999999999</c:v>
                </c:pt>
                <c:pt idx="20">
                  <c:v>-0.47004699999999999</c:v>
                </c:pt>
                <c:pt idx="21">
                  <c:v>-0.51812400000000003</c:v>
                </c:pt>
                <c:pt idx="22">
                  <c:v>-0.51717599999999997</c:v>
                </c:pt>
                <c:pt idx="23">
                  <c:v>-0.54117099999999996</c:v>
                </c:pt>
                <c:pt idx="24">
                  <c:v>-0.590364</c:v>
                </c:pt>
                <c:pt idx="25">
                  <c:v>-0.52918699999999996</c:v>
                </c:pt>
                <c:pt idx="26">
                  <c:v>-0.52348099999999997</c:v>
                </c:pt>
                <c:pt idx="27">
                  <c:v>-0.52610900000000005</c:v>
                </c:pt>
                <c:pt idx="28">
                  <c:v>-0.53124700000000002</c:v>
                </c:pt>
                <c:pt idx="29">
                  <c:v>-0.51482099999999997</c:v>
                </c:pt>
                <c:pt idx="30">
                  <c:v>-0.56865900000000003</c:v>
                </c:pt>
                <c:pt idx="31">
                  <c:v>-0.62880100000000005</c:v>
                </c:pt>
                <c:pt idx="32">
                  <c:v>-0.62762200000000001</c:v>
                </c:pt>
                <c:pt idx="33">
                  <c:v>-0.60420799999999997</c:v>
                </c:pt>
                <c:pt idx="34">
                  <c:v>-0.55620000000000003</c:v>
                </c:pt>
                <c:pt idx="35">
                  <c:v>-0.64222699999999999</c:v>
                </c:pt>
                <c:pt idx="36">
                  <c:v>-0.61476799999999998</c:v>
                </c:pt>
                <c:pt idx="37">
                  <c:v>-0.480236</c:v>
                </c:pt>
                <c:pt idx="38">
                  <c:v>-0.43779600000000002</c:v>
                </c:pt>
                <c:pt idx="39">
                  <c:v>-0.50934199999999996</c:v>
                </c:pt>
                <c:pt idx="40">
                  <c:v>-0.49674099999999999</c:v>
                </c:pt>
                <c:pt idx="41">
                  <c:v>-0.491087</c:v>
                </c:pt>
                <c:pt idx="42">
                  <c:v>-0.483711</c:v>
                </c:pt>
                <c:pt idx="43">
                  <c:v>-0.49758799999999997</c:v>
                </c:pt>
                <c:pt idx="44">
                  <c:v>-0.55200400000000005</c:v>
                </c:pt>
                <c:pt idx="45">
                  <c:v>-0.52700100000000005</c:v>
                </c:pt>
                <c:pt idx="46">
                  <c:v>-0.55632599999999999</c:v>
                </c:pt>
                <c:pt idx="47">
                  <c:v>-0.55669400000000002</c:v>
                </c:pt>
                <c:pt idx="48">
                  <c:v>-0.54124399999999995</c:v>
                </c:pt>
                <c:pt idx="49">
                  <c:v>-0.52801500000000001</c:v>
                </c:pt>
                <c:pt idx="50">
                  <c:v>-0.55021100000000001</c:v>
                </c:pt>
                <c:pt idx="51">
                  <c:v>-0.55469599999999997</c:v>
                </c:pt>
                <c:pt idx="52">
                  <c:v>-0.56295799999999996</c:v>
                </c:pt>
                <c:pt idx="53">
                  <c:v>-0.56954000000000005</c:v>
                </c:pt>
                <c:pt idx="54">
                  <c:v>-0.586696</c:v>
                </c:pt>
                <c:pt idx="55">
                  <c:v>-0.64628200000000002</c:v>
                </c:pt>
                <c:pt idx="56">
                  <c:v>-0.60162400000000005</c:v>
                </c:pt>
                <c:pt idx="57">
                  <c:v>-0.451409</c:v>
                </c:pt>
                <c:pt idx="58">
                  <c:v>-0.46715000000000001</c:v>
                </c:pt>
                <c:pt idx="59">
                  <c:v>-0.440444</c:v>
                </c:pt>
                <c:pt idx="60">
                  <c:v>-0.50615299999999996</c:v>
                </c:pt>
                <c:pt idx="61">
                  <c:v>-0.51057300000000005</c:v>
                </c:pt>
                <c:pt idx="62">
                  <c:v>-0.46556700000000001</c:v>
                </c:pt>
                <c:pt idx="63">
                  <c:v>-0.51439100000000004</c:v>
                </c:pt>
                <c:pt idx="64">
                  <c:v>-0.48460999999999999</c:v>
                </c:pt>
                <c:pt idx="65">
                  <c:v>-0.463945</c:v>
                </c:pt>
                <c:pt idx="66">
                  <c:v>-0.47628900000000002</c:v>
                </c:pt>
                <c:pt idx="67">
                  <c:v>-0.49737599999999998</c:v>
                </c:pt>
                <c:pt idx="68">
                  <c:v>-0.59961699999999996</c:v>
                </c:pt>
                <c:pt idx="69">
                  <c:v>-0.499886</c:v>
                </c:pt>
                <c:pt idx="70">
                  <c:v>-0.48581000000000002</c:v>
                </c:pt>
                <c:pt idx="71">
                  <c:v>0.50170899999999996</c:v>
                </c:pt>
                <c:pt idx="72">
                  <c:v>0.43781700000000001</c:v>
                </c:pt>
                <c:pt idx="73">
                  <c:v>-0.47886200000000001</c:v>
                </c:pt>
                <c:pt idx="74">
                  <c:v>-0.47276200000000002</c:v>
                </c:pt>
                <c:pt idx="75">
                  <c:v>-0.463698</c:v>
                </c:pt>
                <c:pt idx="76">
                  <c:v>-0.48454000000000003</c:v>
                </c:pt>
                <c:pt idx="77">
                  <c:v>-0.46523700000000001</c:v>
                </c:pt>
                <c:pt idx="78">
                  <c:v>-0.452378</c:v>
                </c:pt>
                <c:pt idx="79">
                  <c:v>-0.46203</c:v>
                </c:pt>
                <c:pt idx="80">
                  <c:v>-0.49332599999999999</c:v>
                </c:pt>
                <c:pt idx="81">
                  <c:v>-0.52982300000000004</c:v>
                </c:pt>
                <c:pt idx="82">
                  <c:v>-0.494697</c:v>
                </c:pt>
                <c:pt idx="83">
                  <c:v>-0.524949</c:v>
                </c:pt>
                <c:pt idx="84">
                  <c:v>-0.51310999999999996</c:v>
                </c:pt>
                <c:pt idx="85">
                  <c:v>-0.494778</c:v>
                </c:pt>
                <c:pt idx="86">
                  <c:v>-0.53975799999999996</c:v>
                </c:pt>
                <c:pt idx="87">
                  <c:v>-0.54915499999999995</c:v>
                </c:pt>
                <c:pt idx="88">
                  <c:v>-0.53792300000000004</c:v>
                </c:pt>
                <c:pt idx="89">
                  <c:v>-0.58566600000000002</c:v>
                </c:pt>
                <c:pt idx="90">
                  <c:v>-0.50698600000000005</c:v>
                </c:pt>
                <c:pt idx="91">
                  <c:v>-0.52429800000000004</c:v>
                </c:pt>
                <c:pt idx="92">
                  <c:v>-0.50888500000000003</c:v>
                </c:pt>
                <c:pt idx="93">
                  <c:v>-0.51438799999999996</c:v>
                </c:pt>
                <c:pt idx="94">
                  <c:v>-0.527841</c:v>
                </c:pt>
                <c:pt idx="95">
                  <c:v>-0.59438199999999997</c:v>
                </c:pt>
                <c:pt idx="96">
                  <c:v>-0.59370599999999996</c:v>
                </c:pt>
                <c:pt idx="97">
                  <c:v>-0.61595100000000003</c:v>
                </c:pt>
                <c:pt idx="98">
                  <c:v>-0.497114</c:v>
                </c:pt>
                <c:pt idx="99">
                  <c:v>-0.56945900000000005</c:v>
                </c:pt>
                <c:pt idx="100">
                  <c:v>-0.64469799999999999</c:v>
                </c:pt>
                <c:pt idx="101">
                  <c:v>-0.46623300000000001</c:v>
                </c:pt>
                <c:pt idx="102">
                  <c:v>-0.453322</c:v>
                </c:pt>
                <c:pt idx="103">
                  <c:v>-0.51150499999999999</c:v>
                </c:pt>
                <c:pt idx="104">
                  <c:v>-0.47358800000000001</c:v>
                </c:pt>
                <c:pt idx="105">
                  <c:v>-0.48627999999999999</c:v>
                </c:pt>
                <c:pt idx="106">
                  <c:v>-0.47109499999999999</c:v>
                </c:pt>
                <c:pt idx="107">
                  <c:v>-0.45084299999999999</c:v>
                </c:pt>
                <c:pt idx="108">
                  <c:v>-0.49916500000000003</c:v>
                </c:pt>
                <c:pt idx="109">
                  <c:v>-0.53476000000000001</c:v>
                </c:pt>
                <c:pt idx="110">
                  <c:v>-0.53406900000000002</c:v>
                </c:pt>
                <c:pt idx="111">
                  <c:v>-0.538663</c:v>
                </c:pt>
                <c:pt idx="112">
                  <c:v>-0.54958099999999999</c:v>
                </c:pt>
                <c:pt idx="113">
                  <c:v>-0.55419300000000005</c:v>
                </c:pt>
                <c:pt idx="114">
                  <c:v>-0.52423699999999995</c:v>
                </c:pt>
                <c:pt idx="115">
                  <c:v>-0.54621799999999998</c:v>
                </c:pt>
                <c:pt idx="116">
                  <c:v>-0.54933699999999996</c:v>
                </c:pt>
                <c:pt idx="117">
                  <c:v>-0.56623900000000005</c:v>
                </c:pt>
                <c:pt idx="118">
                  <c:v>-0.59020099999999998</c:v>
                </c:pt>
                <c:pt idx="119">
                  <c:v>-0.59522399999999998</c:v>
                </c:pt>
                <c:pt idx="120">
                  <c:v>-0.72437499999999999</c:v>
                </c:pt>
                <c:pt idx="121">
                  <c:v>-0.493923</c:v>
                </c:pt>
                <c:pt idx="122">
                  <c:v>-0.38900000000000001</c:v>
                </c:pt>
                <c:pt idx="123">
                  <c:v>-0.50897499999999996</c:v>
                </c:pt>
                <c:pt idx="124">
                  <c:v>-0.482099</c:v>
                </c:pt>
                <c:pt idx="125">
                  <c:v>-0.46689000000000003</c:v>
                </c:pt>
                <c:pt idx="126">
                  <c:v>-0.46668900000000002</c:v>
                </c:pt>
                <c:pt idx="127">
                  <c:v>-0.51212299999999999</c:v>
                </c:pt>
                <c:pt idx="128">
                  <c:v>-0.46979799999999999</c:v>
                </c:pt>
                <c:pt idx="129">
                  <c:v>-0.46439000000000002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7-421A-A122-27E2BCF00E5D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q2'!$B$2:$B$131</c:f>
              <c:numCache>
                <c:formatCode>General</c:formatCode>
                <c:ptCount val="130"/>
                <c:pt idx="0">
                  <c:v>-0.19611919999999999</c:v>
                </c:pt>
                <c:pt idx="1">
                  <c:v>-0.19313621</c:v>
                </c:pt>
                <c:pt idx="2">
                  <c:v>-0.20642392000000001</c:v>
                </c:pt>
                <c:pt idx="3">
                  <c:v>-0.16065057999999999</c:v>
                </c:pt>
                <c:pt idx="4">
                  <c:v>-0.10334967</c:v>
                </c:pt>
                <c:pt idx="5">
                  <c:v>-0.16365012000000001</c:v>
                </c:pt>
                <c:pt idx="6">
                  <c:v>-0.20872014999999999</c:v>
                </c:pt>
                <c:pt idx="7">
                  <c:v>-0.20674939000000001</c:v>
                </c:pt>
                <c:pt idx="8">
                  <c:v>-0.19941571</c:v>
                </c:pt>
                <c:pt idx="9">
                  <c:v>-0.20927240999999999</c:v>
                </c:pt>
                <c:pt idx="10">
                  <c:v>-0.20737170999999999</c:v>
                </c:pt>
                <c:pt idx="11">
                  <c:v>-0.23109350000000001</c:v>
                </c:pt>
                <c:pt idx="12">
                  <c:v>-0.20722120999999999</c:v>
                </c:pt>
                <c:pt idx="13">
                  <c:v>-0.20356895999999999</c:v>
                </c:pt>
                <c:pt idx="14">
                  <c:v>-0.20035869000000001</c:v>
                </c:pt>
                <c:pt idx="15">
                  <c:v>-0.1889989</c:v>
                </c:pt>
                <c:pt idx="16">
                  <c:v>-0.19770392000000001</c:v>
                </c:pt>
                <c:pt idx="17">
                  <c:v>-0.19566813999999999</c:v>
                </c:pt>
                <c:pt idx="18">
                  <c:v>-0.19879793000000001</c:v>
                </c:pt>
                <c:pt idx="19">
                  <c:v>-0.20385766</c:v>
                </c:pt>
                <c:pt idx="20">
                  <c:v>-0.21048708999999999</c:v>
                </c:pt>
                <c:pt idx="21">
                  <c:v>-0.13075603999999999</c:v>
                </c:pt>
                <c:pt idx="22">
                  <c:v>-0.1232562</c:v>
                </c:pt>
                <c:pt idx="23">
                  <c:v>-0.18396693</c:v>
                </c:pt>
                <c:pt idx="24">
                  <c:v>-0.19893559</c:v>
                </c:pt>
                <c:pt idx="25">
                  <c:v>-0.17300489999999999</c:v>
                </c:pt>
                <c:pt idx="26">
                  <c:v>-0.17400662</c:v>
                </c:pt>
                <c:pt idx="27">
                  <c:v>-0.17815464</c:v>
                </c:pt>
                <c:pt idx="28">
                  <c:v>-0.23261862999999999</c:v>
                </c:pt>
                <c:pt idx="29">
                  <c:v>-0.17155222000000001</c:v>
                </c:pt>
                <c:pt idx="30">
                  <c:v>-0.34138048999999998</c:v>
                </c:pt>
                <c:pt idx="31">
                  <c:v>-0.34797551999999998</c:v>
                </c:pt>
                <c:pt idx="32">
                  <c:v>-0.34379694999999999</c:v>
                </c:pt>
                <c:pt idx="33">
                  <c:v>-0.22159532000000001</c:v>
                </c:pt>
                <c:pt idx="34">
                  <c:v>-0.22501979</c:v>
                </c:pt>
                <c:pt idx="35">
                  <c:v>-0.34665947000000003</c:v>
                </c:pt>
                <c:pt idx="36">
                  <c:v>-0.35251865999999998</c:v>
                </c:pt>
                <c:pt idx="37">
                  <c:v>-0.22682601999999999</c:v>
                </c:pt>
                <c:pt idx="38">
                  <c:v>-0.12140561</c:v>
                </c:pt>
                <c:pt idx="39">
                  <c:v>-0.19259239</c:v>
                </c:pt>
                <c:pt idx="40">
                  <c:v>-0.20007607999999999</c:v>
                </c:pt>
                <c:pt idx="41">
                  <c:v>-0.19769184000000001</c:v>
                </c:pt>
                <c:pt idx="42">
                  <c:v>-0.20929669000000001</c:v>
                </c:pt>
                <c:pt idx="43">
                  <c:v>-0.21430328000000001</c:v>
                </c:pt>
                <c:pt idx="44">
                  <c:v>-0.41855596</c:v>
                </c:pt>
                <c:pt idx="45">
                  <c:v>-0.43491110999999999</c:v>
                </c:pt>
                <c:pt idx="46">
                  <c:v>-0.42584751999999998</c:v>
                </c:pt>
                <c:pt idx="47">
                  <c:v>-0.44027927</c:v>
                </c:pt>
                <c:pt idx="48">
                  <c:v>-0.44960679999999997</c:v>
                </c:pt>
                <c:pt idx="49">
                  <c:v>-0.42964733999999999</c:v>
                </c:pt>
                <c:pt idx="50">
                  <c:v>-0.43673851000000002</c:v>
                </c:pt>
                <c:pt idx="51">
                  <c:v>-0.43448256000000002</c:v>
                </c:pt>
                <c:pt idx="52">
                  <c:v>-0.15855664999999999</c:v>
                </c:pt>
                <c:pt idx="53">
                  <c:v>-0.17854285</c:v>
                </c:pt>
                <c:pt idx="54">
                  <c:v>-0.30874850999999998</c:v>
                </c:pt>
                <c:pt idx="55">
                  <c:v>-0.34069829000000001</c:v>
                </c:pt>
                <c:pt idx="56">
                  <c:v>-0.18547762000000001</c:v>
                </c:pt>
                <c:pt idx="57">
                  <c:v>-0.13905171</c:v>
                </c:pt>
                <c:pt idx="58">
                  <c:v>-0.11599449000000001</c:v>
                </c:pt>
                <c:pt idx="59">
                  <c:v>-0.10821840000000001</c:v>
                </c:pt>
                <c:pt idx="60">
                  <c:v>-0.13989064000000001</c:v>
                </c:pt>
                <c:pt idx="61">
                  <c:v>-0.12421607</c:v>
                </c:pt>
                <c:pt idx="62">
                  <c:v>-0.22549242</c:v>
                </c:pt>
                <c:pt idx="63">
                  <c:v>-0.19724116999999999</c:v>
                </c:pt>
                <c:pt idx="64">
                  <c:v>-0.21813895999999999</c:v>
                </c:pt>
                <c:pt idx="65">
                  <c:v>-0.21677384</c:v>
                </c:pt>
                <c:pt idx="66">
                  <c:v>-0.22357336</c:v>
                </c:pt>
                <c:pt idx="67">
                  <c:v>-0.22189296</c:v>
                </c:pt>
                <c:pt idx="68">
                  <c:v>-0.18829319</c:v>
                </c:pt>
                <c:pt idx="69">
                  <c:v>-0.19443115</c:v>
                </c:pt>
                <c:pt idx="70">
                  <c:v>-0.19868448</c:v>
                </c:pt>
                <c:pt idx="71">
                  <c:v>-9.7219659999999999E-2</c:v>
                </c:pt>
                <c:pt idx="72">
                  <c:v>-0.10372078999999999</c:v>
                </c:pt>
                <c:pt idx="73">
                  <c:v>-0.19331593</c:v>
                </c:pt>
                <c:pt idx="74">
                  <c:v>-0.20141555999999999</c:v>
                </c:pt>
                <c:pt idx="75">
                  <c:v>-0.19525345999999999</c:v>
                </c:pt>
                <c:pt idx="76">
                  <c:v>-0.20637021999999999</c:v>
                </c:pt>
                <c:pt idx="77">
                  <c:v>-0.19764831999999999</c:v>
                </c:pt>
                <c:pt idx="78">
                  <c:v>-0.19869843000000001</c:v>
                </c:pt>
                <c:pt idx="79">
                  <c:v>-0.19925951</c:v>
                </c:pt>
                <c:pt idx="80">
                  <c:v>-0.20030154999999999</c:v>
                </c:pt>
                <c:pt idx="81">
                  <c:v>-0.16330285999999999</c:v>
                </c:pt>
                <c:pt idx="82">
                  <c:v>-0.21821387</c:v>
                </c:pt>
                <c:pt idx="83">
                  <c:v>-0.20467262999999999</c:v>
                </c:pt>
                <c:pt idx="84">
                  <c:v>-0.20959812999999999</c:v>
                </c:pt>
                <c:pt idx="85">
                  <c:v>-0.25376178999999999</c:v>
                </c:pt>
                <c:pt idx="86">
                  <c:v>-0.13067688999999999</c:v>
                </c:pt>
                <c:pt idx="87">
                  <c:v>-0.18114126999999999</c:v>
                </c:pt>
                <c:pt idx="88">
                  <c:v>-0.12442678</c:v>
                </c:pt>
                <c:pt idx="89">
                  <c:v>-0.19649672000000001</c:v>
                </c:pt>
                <c:pt idx="90">
                  <c:v>-0.17578641</c:v>
                </c:pt>
                <c:pt idx="91">
                  <c:v>-0.17189946</c:v>
                </c:pt>
                <c:pt idx="92">
                  <c:v>-0.18284323</c:v>
                </c:pt>
                <c:pt idx="93">
                  <c:v>-0.17952525999999999</c:v>
                </c:pt>
                <c:pt idx="94">
                  <c:v>-0.17485431000000001</c:v>
                </c:pt>
                <c:pt idx="95">
                  <c:v>-0.33926170999999999</c:v>
                </c:pt>
                <c:pt idx="96">
                  <c:v>-0.34390489000000002</c:v>
                </c:pt>
                <c:pt idx="97">
                  <c:v>-0.36027194000000001</c:v>
                </c:pt>
                <c:pt idx="98">
                  <c:v>-0.27927296000000001</c:v>
                </c:pt>
                <c:pt idx="99">
                  <c:v>-0.32339963999999999</c:v>
                </c:pt>
                <c:pt idx="100">
                  <c:v>-0.34205952000000001</c:v>
                </c:pt>
                <c:pt idx="101">
                  <c:v>-0.20321966</c:v>
                </c:pt>
                <c:pt idx="102">
                  <c:v>-0.12043595999999999</c:v>
                </c:pt>
                <c:pt idx="103">
                  <c:v>-0.19789372</c:v>
                </c:pt>
                <c:pt idx="104">
                  <c:v>-0.20276373</c:v>
                </c:pt>
                <c:pt idx="105">
                  <c:v>-0.19734918000000001</c:v>
                </c:pt>
                <c:pt idx="106">
                  <c:v>-0.20068862000000001</c:v>
                </c:pt>
                <c:pt idx="107">
                  <c:v>-0.20686556</c:v>
                </c:pt>
                <c:pt idx="108">
                  <c:v>-0.20606548999999999</c:v>
                </c:pt>
                <c:pt idx="109">
                  <c:v>-0.45360471000000002</c:v>
                </c:pt>
                <c:pt idx="110">
                  <c:v>-0.41991961999999999</c:v>
                </c:pt>
                <c:pt idx="111">
                  <c:v>-0.43084201</c:v>
                </c:pt>
                <c:pt idx="112">
                  <c:v>-0.43527481000000001</c:v>
                </c:pt>
                <c:pt idx="113">
                  <c:v>-0.43693019999999999</c:v>
                </c:pt>
                <c:pt idx="114">
                  <c:v>-0.42150989999999999</c:v>
                </c:pt>
                <c:pt idx="115">
                  <c:v>-0.40806625000000002</c:v>
                </c:pt>
                <c:pt idx="116">
                  <c:v>-0.45122140999999999</c:v>
                </c:pt>
                <c:pt idx="117">
                  <c:v>-0.16496019000000001</c:v>
                </c:pt>
                <c:pt idx="118">
                  <c:v>-0.15048887999999999</c:v>
                </c:pt>
                <c:pt idx="119">
                  <c:v>-0.34099123999999997</c:v>
                </c:pt>
                <c:pt idx="120">
                  <c:v>-0.34630585000000003</c:v>
                </c:pt>
                <c:pt idx="121">
                  <c:v>-0.11007399</c:v>
                </c:pt>
                <c:pt idx="122">
                  <c:v>-0.13879389</c:v>
                </c:pt>
                <c:pt idx="123">
                  <c:v>-0.12708282000000001</c:v>
                </c:pt>
                <c:pt idx="124">
                  <c:v>-0.13400591000000001</c:v>
                </c:pt>
                <c:pt idx="125">
                  <c:v>-0.13033942000000001</c:v>
                </c:pt>
                <c:pt idx="126">
                  <c:v>-0.22438796</c:v>
                </c:pt>
                <c:pt idx="127">
                  <c:v>-0.19245222000000001</c:v>
                </c:pt>
                <c:pt idx="128">
                  <c:v>-0.20041545999999999</c:v>
                </c:pt>
                <c:pt idx="129">
                  <c:v>-0.20361804</c:v>
                </c:pt>
              </c:numCache>
            </c:numRef>
          </c:xVal>
          <c:yVal>
            <c:numRef>
              <c:f>'xTB vs DFT q2'!$I$2:$I$131</c:f>
              <c:numCache>
                <c:formatCode>General</c:formatCode>
                <c:ptCount val="130"/>
                <c:pt idx="0">
                  <c:v>-0.19611919999999999</c:v>
                </c:pt>
                <c:pt idx="1">
                  <c:v>-0.19313621</c:v>
                </c:pt>
                <c:pt idx="2">
                  <c:v>-0.20642392000000001</c:v>
                </c:pt>
                <c:pt idx="3">
                  <c:v>-0.16065057999999999</c:v>
                </c:pt>
                <c:pt idx="4">
                  <c:v>-0.10334967</c:v>
                </c:pt>
                <c:pt idx="5">
                  <c:v>-0.16365012000000001</c:v>
                </c:pt>
                <c:pt idx="6">
                  <c:v>-0.20872014999999999</c:v>
                </c:pt>
                <c:pt idx="7">
                  <c:v>-0.20674939000000001</c:v>
                </c:pt>
                <c:pt idx="8">
                  <c:v>-0.19941571</c:v>
                </c:pt>
                <c:pt idx="9">
                  <c:v>-0.20927240999999999</c:v>
                </c:pt>
                <c:pt idx="10">
                  <c:v>-0.20737170999999999</c:v>
                </c:pt>
                <c:pt idx="11">
                  <c:v>-0.23109350000000001</c:v>
                </c:pt>
                <c:pt idx="12">
                  <c:v>-0.20722120999999999</c:v>
                </c:pt>
                <c:pt idx="13">
                  <c:v>-0.20356895999999999</c:v>
                </c:pt>
                <c:pt idx="14">
                  <c:v>-0.20035869000000001</c:v>
                </c:pt>
                <c:pt idx="15">
                  <c:v>-0.1889989</c:v>
                </c:pt>
                <c:pt idx="16">
                  <c:v>-0.19770392000000001</c:v>
                </c:pt>
                <c:pt idx="17">
                  <c:v>-0.19566813999999999</c:v>
                </c:pt>
                <c:pt idx="18">
                  <c:v>-0.19879793000000001</c:v>
                </c:pt>
                <c:pt idx="19">
                  <c:v>-0.20385766</c:v>
                </c:pt>
                <c:pt idx="20">
                  <c:v>-0.21048708999999999</c:v>
                </c:pt>
                <c:pt idx="21">
                  <c:v>-0.13075603999999999</c:v>
                </c:pt>
                <c:pt idx="22">
                  <c:v>-0.1232562</c:v>
                </c:pt>
                <c:pt idx="23">
                  <c:v>-0.18396693</c:v>
                </c:pt>
                <c:pt idx="24">
                  <c:v>-0.19893559</c:v>
                </c:pt>
                <c:pt idx="25">
                  <c:v>-0.17300489999999999</c:v>
                </c:pt>
                <c:pt idx="26">
                  <c:v>-0.17400662</c:v>
                </c:pt>
                <c:pt idx="27">
                  <c:v>-0.17815464</c:v>
                </c:pt>
                <c:pt idx="28">
                  <c:v>-0.23261862999999999</c:v>
                </c:pt>
                <c:pt idx="29">
                  <c:v>-0.17155222000000001</c:v>
                </c:pt>
                <c:pt idx="30">
                  <c:v>-0.34138048999999998</c:v>
                </c:pt>
                <c:pt idx="31">
                  <c:v>-0.34797551999999998</c:v>
                </c:pt>
                <c:pt idx="32">
                  <c:v>-0.34379694999999999</c:v>
                </c:pt>
                <c:pt idx="33">
                  <c:v>-0.22159532000000001</c:v>
                </c:pt>
                <c:pt idx="34">
                  <c:v>-0.22501979</c:v>
                </c:pt>
                <c:pt idx="35">
                  <c:v>-0.34665947000000003</c:v>
                </c:pt>
                <c:pt idx="36">
                  <c:v>-0.35251865999999998</c:v>
                </c:pt>
                <c:pt idx="37">
                  <c:v>-0.22682601999999999</c:v>
                </c:pt>
                <c:pt idx="38">
                  <c:v>-0.12140561</c:v>
                </c:pt>
                <c:pt idx="39">
                  <c:v>-0.19259239</c:v>
                </c:pt>
                <c:pt idx="40">
                  <c:v>-0.20007607999999999</c:v>
                </c:pt>
                <c:pt idx="41">
                  <c:v>-0.19769184000000001</c:v>
                </c:pt>
                <c:pt idx="42">
                  <c:v>-0.20929669000000001</c:v>
                </c:pt>
                <c:pt idx="43">
                  <c:v>-0.21430328000000001</c:v>
                </c:pt>
                <c:pt idx="44">
                  <c:v>-0.41855596</c:v>
                </c:pt>
                <c:pt idx="45">
                  <c:v>-0.43491110999999999</c:v>
                </c:pt>
                <c:pt idx="46">
                  <c:v>-0.42584751999999998</c:v>
                </c:pt>
                <c:pt idx="47">
                  <c:v>-0.44027927</c:v>
                </c:pt>
                <c:pt idx="48">
                  <c:v>-0.44960679999999997</c:v>
                </c:pt>
                <c:pt idx="49">
                  <c:v>-0.42964733999999999</c:v>
                </c:pt>
                <c:pt idx="50">
                  <c:v>-0.43673851000000002</c:v>
                </c:pt>
                <c:pt idx="51">
                  <c:v>-0.43448256000000002</c:v>
                </c:pt>
                <c:pt idx="52">
                  <c:v>-0.15855664999999999</c:v>
                </c:pt>
                <c:pt idx="53">
                  <c:v>-0.17854285</c:v>
                </c:pt>
                <c:pt idx="54">
                  <c:v>-0.30874850999999998</c:v>
                </c:pt>
                <c:pt idx="55">
                  <c:v>-0.34069829000000001</c:v>
                </c:pt>
                <c:pt idx="56">
                  <c:v>-0.18547762000000001</c:v>
                </c:pt>
                <c:pt idx="57">
                  <c:v>-0.13905171</c:v>
                </c:pt>
                <c:pt idx="58">
                  <c:v>-0.11599449000000001</c:v>
                </c:pt>
                <c:pt idx="59">
                  <c:v>-0.10821840000000001</c:v>
                </c:pt>
                <c:pt idx="60">
                  <c:v>-0.13989064000000001</c:v>
                </c:pt>
                <c:pt idx="61">
                  <c:v>-0.12421607</c:v>
                </c:pt>
                <c:pt idx="62">
                  <c:v>-0.22549242</c:v>
                </c:pt>
                <c:pt idx="63">
                  <c:v>-0.19724116999999999</c:v>
                </c:pt>
                <c:pt idx="64">
                  <c:v>-0.21813895999999999</c:v>
                </c:pt>
                <c:pt idx="65">
                  <c:v>-0.21677384</c:v>
                </c:pt>
                <c:pt idx="66">
                  <c:v>-0.22357336</c:v>
                </c:pt>
                <c:pt idx="67">
                  <c:v>-0.22189296</c:v>
                </c:pt>
                <c:pt idx="68">
                  <c:v>-0.18829319</c:v>
                </c:pt>
                <c:pt idx="69">
                  <c:v>-0.19443115</c:v>
                </c:pt>
                <c:pt idx="70">
                  <c:v>-0.19868448</c:v>
                </c:pt>
                <c:pt idx="71">
                  <c:v>-9.7219659999999999E-2</c:v>
                </c:pt>
                <c:pt idx="72">
                  <c:v>-0.10372078999999999</c:v>
                </c:pt>
                <c:pt idx="73">
                  <c:v>-0.19331593</c:v>
                </c:pt>
                <c:pt idx="74">
                  <c:v>-0.20141555999999999</c:v>
                </c:pt>
                <c:pt idx="75">
                  <c:v>-0.19525345999999999</c:v>
                </c:pt>
                <c:pt idx="76">
                  <c:v>-0.20637021999999999</c:v>
                </c:pt>
                <c:pt idx="77">
                  <c:v>-0.19764831999999999</c:v>
                </c:pt>
                <c:pt idx="78">
                  <c:v>-0.19869843000000001</c:v>
                </c:pt>
                <c:pt idx="79">
                  <c:v>-0.19925951</c:v>
                </c:pt>
                <c:pt idx="80">
                  <c:v>-0.20030154999999999</c:v>
                </c:pt>
                <c:pt idx="81">
                  <c:v>-0.16330285999999999</c:v>
                </c:pt>
                <c:pt idx="82">
                  <c:v>-0.21821387</c:v>
                </c:pt>
                <c:pt idx="83">
                  <c:v>-0.20467262999999999</c:v>
                </c:pt>
                <c:pt idx="84">
                  <c:v>-0.20959812999999999</c:v>
                </c:pt>
                <c:pt idx="85">
                  <c:v>-0.25376178999999999</c:v>
                </c:pt>
                <c:pt idx="86">
                  <c:v>-0.13067688999999999</c:v>
                </c:pt>
                <c:pt idx="87">
                  <c:v>-0.18114126999999999</c:v>
                </c:pt>
                <c:pt idx="88">
                  <c:v>-0.12442678</c:v>
                </c:pt>
                <c:pt idx="89">
                  <c:v>-0.19649672000000001</c:v>
                </c:pt>
                <c:pt idx="90">
                  <c:v>-0.17578641</c:v>
                </c:pt>
                <c:pt idx="91">
                  <c:v>-0.17189946</c:v>
                </c:pt>
                <c:pt idx="92">
                  <c:v>-0.18284323</c:v>
                </c:pt>
                <c:pt idx="93">
                  <c:v>-0.17952525999999999</c:v>
                </c:pt>
                <c:pt idx="94">
                  <c:v>-0.17485431000000001</c:v>
                </c:pt>
                <c:pt idx="95">
                  <c:v>-0.33926170999999999</c:v>
                </c:pt>
                <c:pt idx="96">
                  <c:v>-0.34390489000000002</c:v>
                </c:pt>
                <c:pt idx="97">
                  <c:v>-0.36027194000000001</c:v>
                </c:pt>
                <c:pt idx="98">
                  <c:v>-0.27927296000000001</c:v>
                </c:pt>
                <c:pt idx="99">
                  <c:v>-0.32339963999999999</c:v>
                </c:pt>
                <c:pt idx="100">
                  <c:v>-0.34205952000000001</c:v>
                </c:pt>
                <c:pt idx="101">
                  <c:v>-0.20321966</c:v>
                </c:pt>
                <c:pt idx="102">
                  <c:v>-0.12043595999999999</c:v>
                </c:pt>
                <c:pt idx="103">
                  <c:v>-0.19789372</c:v>
                </c:pt>
                <c:pt idx="104">
                  <c:v>-0.20276373</c:v>
                </c:pt>
                <c:pt idx="105">
                  <c:v>-0.19734918000000001</c:v>
                </c:pt>
                <c:pt idx="106">
                  <c:v>-0.20068862000000001</c:v>
                </c:pt>
                <c:pt idx="107">
                  <c:v>-0.20686556</c:v>
                </c:pt>
                <c:pt idx="108">
                  <c:v>-0.20606548999999999</c:v>
                </c:pt>
                <c:pt idx="109">
                  <c:v>-0.45360471000000002</c:v>
                </c:pt>
                <c:pt idx="110">
                  <c:v>-0.41991961999999999</c:v>
                </c:pt>
                <c:pt idx="111">
                  <c:v>-0.43084201</c:v>
                </c:pt>
                <c:pt idx="112">
                  <c:v>-0.43527481000000001</c:v>
                </c:pt>
                <c:pt idx="113">
                  <c:v>-0.43693019999999999</c:v>
                </c:pt>
                <c:pt idx="114">
                  <c:v>-0.42150989999999999</c:v>
                </c:pt>
                <c:pt idx="115">
                  <c:v>-0.40806625000000002</c:v>
                </c:pt>
                <c:pt idx="116">
                  <c:v>-0.45122140999999999</c:v>
                </c:pt>
                <c:pt idx="117">
                  <c:v>-0.16496019000000001</c:v>
                </c:pt>
                <c:pt idx="118">
                  <c:v>-0.15048887999999999</c:v>
                </c:pt>
                <c:pt idx="119">
                  <c:v>-0.34099123999999997</c:v>
                </c:pt>
                <c:pt idx="120">
                  <c:v>-0.34630585000000003</c:v>
                </c:pt>
                <c:pt idx="121">
                  <c:v>-0.11007399</c:v>
                </c:pt>
                <c:pt idx="122">
                  <c:v>-0.13879389</c:v>
                </c:pt>
                <c:pt idx="123">
                  <c:v>-0.12708282000000001</c:v>
                </c:pt>
                <c:pt idx="124">
                  <c:v>-0.13400591000000001</c:v>
                </c:pt>
                <c:pt idx="125">
                  <c:v>-0.13033942000000001</c:v>
                </c:pt>
                <c:pt idx="126">
                  <c:v>-0.22438796</c:v>
                </c:pt>
                <c:pt idx="127">
                  <c:v>-0.19245222000000001</c:v>
                </c:pt>
                <c:pt idx="128">
                  <c:v>-0.20041545999999999</c:v>
                </c:pt>
                <c:pt idx="129">
                  <c:v>-0.20361804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17-421A-A122-27E2BCF0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-7.2200000000000014E-2"/>
          <c:min val="-0.453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7192130821151901"/>
              <c:y val="0.74145595800524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0.50170900000000007"/>
          <c:min val="-0.72438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0" i="1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IN" sz="1400" b="0" i="1" u="none" strike="noStrike" kern="1200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,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(a.u.)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79660726350297E-4"/>
              <c:y val="0.274370908097454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280988</xdr:colOff>
      <xdr:row>6</xdr:row>
      <xdr:rowOff>47625</xdr:rowOff>
    </xdr:from>
    <xdr:to>
      <xdr:col>17</xdr:col>
      <xdr:colOff>238125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94EA4-2CB2-41C3-A9FA-CA8A172F3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0</xdr:rowOff>
    </xdr:from>
    <xdr:to>
      <xdr:col>13</xdr:col>
      <xdr:colOff>0</xdr:colOff>
      <xdr:row>3</xdr:row>
      <xdr:rowOff>4763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19E066-85DF-1EA9-456F-D2ECA6EE3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80975"/>
          <a:ext cx="1300163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23213-134C-425D-BDBA-3C60A4F2E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BA36F-DAB2-486A-87C0-9EECC5D8F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B12D8-41C6-4AF2-B6B9-9FCF69120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DFD8-2B6C-4C7F-A291-3ACA87C0A88C}">
  <dimension ref="A1:AU140"/>
  <sheetViews>
    <sheetView workbookViewId="0">
      <selection activeCell="C1" sqref="C1"/>
    </sheetView>
  </sheetViews>
  <sheetFormatPr defaultRowHeight="14.25" x14ac:dyDescent="0.45"/>
  <cols>
    <col min="12" max="12" width="9.1328125" customWidth="1"/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143</v>
      </c>
      <c r="C1" s="2" t="s">
        <v>144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-1.150294E-2</v>
      </c>
      <c r="C2">
        <v>0.33921400000000002</v>
      </c>
      <c r="D2">
        <f>(C2-B2)</f>
        <v>0.35071694000000003</v>
      </c>
      <c r="E2">
        <f>ABS(D2)</f>
        <v>0.35071694000000003</v>
      </c>
      <c r="F2">
        <f>E2^2</f>
        <v>0.12300237200296363</v>
      </c>
      <c r="G2">
        <f>CORREL(B2:B133,C2:C133)</f>
        <v>0.11693674205116245</v>
      </c>
      <c r="H2">
        <f>G2^2</f>
        <v>1.3674201641540103E-2</v>
      </c>
      <c r="I2">
        <v>-1.150294E-2</v>
      </c>
    </row>
    <row r="3" spans="1:47" x14ac:dyDescent="0.45">
      <c r="A3" t="s">
        <v>114</v>
      </c>
      <c r="B3">
        <v>-1.3593500000000001E-3</v>
      </c>
      <c r="C3">
        <v>0.36558499999999999</v>
      </c>
      <c r="D3">
        <f t="shared" ref="D3:D66" si="0">(C3-B3)</f>
        <v>0.36694434999999997</v>
      </c>
      <c r="E3">
        <f t="shared" ref="E3:E66" si="1">ABS(D3)</f>
        <v>0.36694434999999997</v>
      </c>
      <c r="F3">
        <f t="shared" ref="F3:F66" si="2">E3^2</f>
        <v>0.13464815599692248</v>
      </c>
      <c r="I3">
        <v>-1.3593500000000001E-3</v>
      </c>
    </row>
    <row r="4" spans="1:47" x14ac:dyDescent="0.45">
      <c r="A4" t="s">
        <v>115</v>
      </c>
      <c r="B4">
        <v>1.4155360000000001E-2</v>
      </c>
      <c r="C4">
        <v>0.29139900000000002</v>
      </c>
      <c r="D4">
        <f t="shared" si="0"/>
        <v>0.27724364000000001</v>
      </c>
      <c r="E4">
        <f t="shared" si="1"/>
        <v>0.27724364000000001</v>
      </c>
      <c r="F4">
        <f t="shared" si="2"/>
        <v>7.6864035920449603E-2</v>
      </c>
      <c r="I4">
        <v>1.4155360000000001E-2</v>
      </c>
    </row>
    <row r="5" spans="1:47" x14ac:dyDescent="0.45">
      <c r="A5" t="s">
        <v>116</v>
      </c>
      <c r="B5">
        <v>0.10154593000000001</v>
      </c>
      <c r="C5">
        <v>0.33804099999999998</v>
      </c>
      <c r="D5">
        <f t="shared" si="0"/>
        <v>0.23649506999999997</v>
      </c>
      <c r="E5">
        <f t="shared" si="1"/>
        <v>0.23649506999999997</v>
      </c>
      <c r="F5">
        <f t="shared" si="2"/>
        <v>5.5929918134304889E-2</v>
      </c>
      <c r="I5">
        <v>0.10154593000000001</v>
      </c>
    </row>
    <row r="6" spans="1:47" x14ac:dyDescent="0.45">
      <c r="A6" t="s">
        <v>117</v>
      </c>
      <c r="B6">
        <v>2.4377280000000001E-2</v>
      </c>
      <c r="C6">
        <v>-3.9910000000000001E-2</v>
      </c>
      <c r="D6">
        <f t="shared" si="0"/>
        <v>-6.4287280000000002E-2</v>
      </c>
      <c r="E6">
        <f t="shared" si="1"/>
        <v>6.4287280000000002E-2</v>
      </c>
      <c r="F6">
        <f t="shared" si="2"/>
        <v>4.1328543697984003E-3</v>
      </c>
      <c r="I6">
        <v>2.4377280000000001E-2</v>
      </c>
    </row>
    <row r="7" spans="1:47" x14ac:dyDescent="0.45">
      <c r="A7" t="s">
        <v>118</v>
      </c>
      <c r="B7">
        <v>0.10825348999999999</v>
      </c>
      <c r="C7">
        <v>0.33742299999999997</v>
      </c>
      <c r="D7">
        <f t="shared" si="0"/>
        <v>0.22916950999999997</v>
      </c>
      <c r="E7">
        <f t="shared" si="1"/>
        <v>0.22916950999999997</v>
      </c>
      <c r="F7">
        <f t="shared" si="2"/>
        <v>5.2518664313640086E-2</v>
      </c>
      <c r="I7">
        <v>0.10825348999999999</v>
      </c>
    </row>
    <row r="8" spans="1:47" x14ac:dyDescent="0.45">
      <c r="A8" t="s">
        <v>7</v>
      </c>
      <c r="B8">
        <v>2.4038489999999999E-2</v>
      </c>
      <c r="C8">
        <v>0.38570700000000002</v>
      </c>
      <c r="D8">
        <f t="shared" si="0"/>
        <v>0.36166851</v>
      </c>
      <c r="E8">
        <f t="shared" si="1"/>
        <v>0.36166851</v>
      </c>
      <c r="F8">
        <f t="shared" si="2"/>
        <v>0.1308041111256201</v>
      </c>
      <c r="I8">
        <v>2.4038489999999999E-2</v>
      </c>
    </row>
    <row r="9" spans="1:47" x14ac:dyDescent="0.45">
      <c r="A9" t="s">
        <v>8</v>
      </c>
      <c r="B9">
        <v>3.8652190000000003E-2</v>
      </c>
      <c r="C9">
        <v>0.33491300000000002</v>
      </c>
      <c r="D9">
        <f t="shared" si="0"/>
        <v>0.29626081000000004</v>
      </c>
      <c r="E9">
        <f t="shared" si="1"/>
        <v>0.29626081000000004</v>
      </c>
      <c r="F9">
        <f t="shared" si="2"/>
        <v>8.777046754185612E-2</v>
      </c>
      <c r="I9">
        <v>3.8652190000000003E-2</v>
      </c>
    </row>
    <row r="10" spans="1:47" x14ac:dyDescent="0.45">
      <c r="A10" t="s">
        <v>9</v>
      </c>
      <c r="B10">
        <v>1.5093469999999999E-2</v>
      </c>
      <c r="C10">
        <v>0.36177500000000001</v>
      </c>
      <c r="D10">
        <f t="shared" si="0"/>
        <v>0.34668153000000002</v>
      </c>
      <c r="E10">
        <f t="shared" si="1"/>
        <v>0.34668153000000002</v>
      </c>
      <c r="F10">
        <f t="shared" si="2"/>
        <v>0.12018808324314091</v>
      </c>
      <c r="I10">
        <v>1.5093469999999999E-2</v>
      </c>
    </row>
    <row r="11" spans="1:47" x14ac:dyDescent="0.45">
      <c r="A11" t="s">
        <v>10</v>
      </c>
      <c r="B11">
        <v>1.5895610000000001E-2</v>
      </c>
      <c r="C11">
        <v>0.33310400000000001</v>
      </c>
      <c r="D11">
        <f t="shared" si="0"/>
        <v>0.31720839000000001</v>
      </c>
      <c r="E11">
        <f t="shared" si="1"/>
        <v>0.31720839000000001</v>
      </c>
      <c r="F11">
        <f t="shared" si="2"/>
        <v>0.10062116268639211</v>
      </c>
      <c r="I11">
        <v>1.5895610000000001E-2</v>
      </c>
    </row>
    <row r="12" spans="1:47" x14ac:dyDescent="0.45">
      <c r="A12" t="s">
        <v>11</v>
      </c>
      <c r="B12">
        <v>8.1982500000000007E-3</v>
      </c>
      <c r="C12">
        <v>0.35520000000000002</v>
      </c>
      <c r="D12">
        <f t="shared" si="0"/>
        <v>0.34700175</v>
      </c>
      <c r="E12">
        <f t="shared" si="1"/>
        <v>0.34700175</v>
      </c>
      <c r="F12">
        <f t="shared" si="2"/>
        <v>0.1204102145030625</v>
      </c>
      <c r="I12">
        <v>8.1982500000000007E-3</v>
      </c>
    </row>
    <row r="13" spans="1:47" x14ac:dyDescent="0.45">
      <c r="A13" t="s">
        <v>12</v>
      </c>
      <c r="B13">
        <v>0.29326703999999998</v>
      </c>
      <c r="C13">
        <v>0.276229</v>
      </c>
      <c r="D13">
        <f t="shared" si="0"/>
        <v>-1.7038039999999977E-2</v>
      </c>
      <c r="E13">
        <f t="shared" si="1"/>
        <v>1.7038039999999977E-2</v>
      </c>
      <c r="F13">
        <f t="shared" si="2"/>
        <v>2.9029480704159921E-4</v>
      </c>
      <c r="I13">
        <v>0.29326703999999998</v>
      </c>
    </row>
    <row r="14" spans="1:47" x14ac:dyDescent="0.45">
      <c r="A14" t="s">
        <v>13</v>
      </c>
      <c r="B14">
        <v>2.145509E-2</v>
      </c>
      <c r="C14">
        <v>0.37186399999999997</v>
      </c>
      <c r="D14">
        <f t="shared" si="0"/>
        <v>0.35040890999999996</v>
      </c>
      <c r="E14">
        <f t="shared" si="1"/>
        <v>0.35040890999999996</v>
      </c>
      <c r="F14">
        <f t="shared" si="2"/>
        <v>0.12278640420738807</v>
      </c>
      <c r="I14">
        <v>2.145509E-2</v>
      </c>
    </row>
    <row r="15" spans="1:47" x14ac:dyDescent="0.45">
      <c r="A15" t="s">
        <v>119</v>
      </c>
      <c r="B15">
        <v>2.0732879999999999E-2</v>
      </c>
      <c r="C15">
        <v>0.25424099999999999</v>
      </c>
      <c r="D15">
        <f t="shared" si="0"/>
        <v>0.23350811999999999</v>
      </c>
      <c r="E15">
        <f t="shared" si="1"/>
        <v>0.23350811999999999</v>
      </c>
      <c r="F15">
        <f t="shared" si="2"/>
        <v>5.452604210593439E-2</v>
      </c>
      <c r="I15">
        <v>2.0732879999999999E-2</v>
      </c>
      <c r="AU15" s="1"/>
    </row>
    <row r="16" spans="1:47" x14ac:dyDescent="0.45">
      <c r="A16" t="s">
        <v>14</v>
      </c>
      <c r="B16">
        <v>5.61504E-3</v>
      </c>
      <c r="C16">
        <v>0.38261200000000001</v>
      </c>
      <c r="D16">
        <f t="shared" si="0"/>
        <v>0.37699695999999999</v>
      </c>
      <c r="E16">
        <f t="shared" si="1"/>
        <v>0.37699695999999999</v>
      </c>
      <c r="F16">
        <f t="shared" si="2"/>
        <v>0.14212670784924158</v>
      </c>
      <c r="I16">
        <v>5.61504E-3</v>
      </c>
      <c r="AU16" s="1"/>
    </row>
    <row r="17" spans="1:47" x14ac:dyDescent="0.45">
      <c r="A17" t="s">
        <v>120</v>
      </c>
      <c r="B17">
        <v>0.27994216999999999</v>
      </c>
      <c r="C17">
        <v>0.38793899999999998</v>
      </c>
      <c r="D17">
        <f t="shared" si="0"/>
        <v>0.10799682999999999</v>
      </c>
      <c r="E17">
        <f t="shared" si="1"/>
        <v>0.10799682999999999</v>
      </c>
      <c r="F17">
        <f t="shared" si="2"/>
        <v>1.1663315290048897E-2</v>
      </c>
      <c r="I17">
        <v>0.27994216999999999</v>
      </c>
      <c r="AU17" s="1"/>
    </row>
    <row r="18" spans="1:47" x14ac:dyDescent="0.45">
      <c r="A18" t="s">
        <v>121</v>
      </c>
      <c r="B18">
        <v>1.398694E-2</v>
      </c>
      <c r="C18">
        <v>0.274316</v>
      </c>
      <c r="D18">
        <f t="shared" si="0"/>
        <v>0.26032906</v>
      </c>
      <c r="E18">
        <f t="shared" si="1"/>
        <v>0.26032906</v>
      </c>
      <c r="F18">
        <f t="shared" si="2"/>
        <v>6.7771219480483605E-2</v>
      </c>
      <c r="I18">
        <v>1.398694E-2</v>
      </c>
      <c r="AU18" s="1"/>
    </row>
    <row r="19" spans="1:47" x14ac:dyDescent="0.45">
      <c r="A19" t="s">
        <v>122</v>
      </c>
      <c r="B19">
        <v>7.6775209999999997E-2</v>
      </c>
      <c r="C19">
        <v>-0.223132</v>
      </c>
      <c r="D19">
        <f t="shared" si="0"/>
        <v>-0.29990720999999998</v>
      </c>
      <c r="E19">
        <f t="shared" si="1"/>
        <v>0.29990720999999998</v>
      </c>
      <c r="F19">
        <f t="shared" si="2"/>
        <v>8.9944334609984092E-2</v>
      </c>
      <c r="I19">
        <v>7.6775209999999997E-2</v>
      </c>
      <c r="AU19" s="1"/>
    </row>
    <row r="20" spans="1:47" x14ac:dyDescent="0.45">
      <c r="A20" t="s">
        <v>123</v>
      </c>
      <c r="B20">
        <v>1.0272099999999999E-2</v>
      </c>
      <c r="C20">
        <v>0.31834499999999999</v>
      </c>
      <c r="D20">
        <f t="shared" si="0"/>
        <v>0.30807289999999998</v>
      </c>
      <c r="E20">
        <f t="shared" si="1"/>
        <v>0.30807289999999998</v>
      </c>
      <c r="F20">
        <f t="shared" si="2"/>
        <v>9.4908911714409988E-2</v>
      </c>
      <c r="I20">
        <v>1.0272099999999999E-2</v>
      </c>
    </row>
    <row r="21" spans="1:47" x14ac:dyDescent="0.45">
      <c r="A21" t="s">
        <v>124</v>
      </c>
      <c r="B21">
        <v>3.4867600000000002E-3</v>
      </c>
      <c r="C21">
        <v>0.28022200000000003</v>
      </c>
      <c r="D21">
        <f t="shared" si="0"/>
        <v>0.27673524000000005</v>
      </c>
      <c r="E21">
        <f t="shared" si="1"/>
        <v>0.27673524000000005</v>
      </c>
      <c r="F21">
        <f t="shared" si="2"/>
        <v>7.6582393057857634E-2</v>
      </c>
      <c r="I21">
        <v>3.4867600000000002E-3</v>
      </c>
    </row>
    <row r="22" spans="1:47" x14ac:dyDescent="0.45">
      <c r="A22" t="s">
        <v>125</v>
      </c>
      <c r="B22">
        <v>2.3083889999999999E-2</v>
      </c>
      <c r="C22">
        <v>0.20635800000000001</v>
      </c>
      <c r="D22">
        <f t="shared" si="0"/>
        <v>0.18327411000000002</v>
      </c>
      <c r="E22">
        <f t="shared" si="1"/>
        <v>0.18327411000000002</v>
      </c>
      <c r="F22">
        <f t="shared" si="2"/>
        <v>3.3589399396292109E-2</v>
      </c>
      <c r="I22">
        <v>2.3083889999999999E-2</v>
      </c>
    </row>
    <row r="23" spans="1:47" x14ac:dyDescent="0.45">
      <c r="A23" t="s">
        <v>15</v>
      </c>
      <c r="B23">
        <v>1.6649130000000002E-2</v>
      </c>
      <c r="C23">
        <v>0.30047000000000001</v>
      </c>
      <c r="D23">
        <f t="shared" si="0"/>
        <v>0.28382087</v>
      </c>
      <c r="E23">
        <f t="shared" si="1"/>
        <v>0.28382087</v>
      </c>
      <c r="F23">
        <f t="shared" si="2"/>
        <v>8.0554286247556908E-2</v>
      </c>
      <c r="I23">
        <v>1.6649130000000002E-2</v>
      </c>
    </row>
    <row r="24" spans="1:47" x14ac:dyDescent="0.45">
      <c r="A24" t="s">
        <v>16</v>
      </c>
      <c r="B24">
        <v>4.6568350000000001E-2</v>
      </c>
      <c r="C24">
        <v>0.33325300000000002</v>
      </c>
      <c r="D24">
        <f t="shared" si="0"/>
        <v>0.28668465000000004</v>
      </c>
      <c r="E24">
        <f t="shared" si="1"/>
        <v>0.28668465000000004</v>
      </c>
      <c r="F24">
        <f t="shared" si="2"/>
        <v>8.2188088545622526E-2</v>
      </c>
      <c r="I24">
        <v>4.6568350000000001E-2</v>
      </c>
    </row>
    <row r="25" spans="1:47" x14ac:dyDescent="0.45">
      <c r="A25" t="s">
        <v>17</v>
      </c>
      <c r="B25">
        <v>4.4910600000000002E-2</v>
      </c>
      <c r="C25">
        <v>0.35627599999999998</v>
      </c>
      <c r="D25">
        <f t="shared" si="0"/>
        <v>0.31136539999999996</v>
      </c>
      <c r="E25">
        <f t="shared" si="1"/>
        <v>0.31136539999999996</v>
      </c>
      <c r="F25">
        <f t="shared" si="2"/>
        <v>9.6948412317159977E-2</v>
      </c>
      <c r="I25">
        <v>4.4910600000000002E-2</v>
      </c>
    </row>
    <row r="26" spans="1:47" x14ac:dyDescent="0.45">
      <c r="A26" t="s">
        <v>18</v>
      </c>
      <c r="B26">
        <v>0.34233660999999999</v>
      </c>
      <c r="C26">
        <v>0.551759</v>
      </c>
      <c r="D26">
        <f t="shared" si="0"/>
        <v>0.20942239000000001</v>
      </c>
      <c r="E26">
        <f t="shared" si="1"/>
        <v>0.20942239000000001</v>
      </c>
      <c r="F26">
        <f t="shared" si="2"/>
        <v>4.3857737433312109E-2</v>
      </c>
      <c r="I26">
        <v>0.34233660999999999</v>
      </c>
    </row>
    <row r="27" spans="1:47" x14ac:dyDescent="0.45">
      <c r="A27" t="s">
        <v>19</v>
      </c>
      <c r="B27">
        <v>6.4772990000000003E-2</v>
      </c>
      <c r="C27">
        <v>0.40231299999999998</v>
      </c>
      <c r="D27">
        <f t="shared" si="0"/>
        <v>0.33754001</v>
      </c>
      <c r="E27">
        <f t="shared" si="1"/>
        <v>0.33754001</v>
      </c>
      <c r="F27">
        <f t="shared" si="2"/>
        <v>0.11393325835080011</v>
      </c>
      <c r="I27">
        <v>6.4772990000000003E-2</v>
      </c>
    </row>
    <row r="28" spans="1:47" x14ac:dyDescent="0.45">
      <c r="A28" t="s">
        <v>20</v>
      </c>
      <c r="B28">
        <v>6.0425230000000003E-2</v>
      </c>
      <c r="C28">
        <v>0.378666</v>
      </c>
      <c r="D28">
        <f t="shared" si="0"/>
        <v>0.31824077000000001</v>
      </c>
      <c r="E28">
        <f t="shared" si="1"/>
        <v>0.31824077000000001</v>
      </c>
      <c r="F28">
        <f t="shared" si="2"/>
        <v>0.10127718769019291</v>
      </c>
      <c r="I28">
        <v>6.0425230000000003E-2</v>
      </c>
    </row>
    <row r="29" spans="1:47" x14ac:dyDescent="0.45">
      <c r="A29" t="s">
        <v>21</v>
      </c>
      <c r="B29">
        <v>5.7101180000000001E-2</v>
      </c>
      <c r="C29">
        <v>0.36666799999999999</v>
      </c>
      <c r="D29">
        <f t="shared" si="0"/>
        <v>0.30956682000000002</v>
      </c>
      <c r="E29">
        <f t="shared" si="1"/>
        <v>0.30956682000000002</v>
      </c>
      <c r="F29">
        <f t="shared" si="2"/>
        <v>9.5831616044912415E-2</v>
      </c>
      <c r="I29">
        <v>5.7101180000000001E-2</v>
      </c>
    </row>
    <row r="30" spans="1:47" x14ac:dyDescent="0.45">
      <c r="A30" t="s">
        <v>22</v>
      </c>
      <c r="B30">
        <v>6.0936499999999998E-2</v>
      </c>
      <c r="C30">
        <v>0.35703699999999999</v>
      </c>
      <c r="D30">
        <f t="shared" si="0"/>
        <v>0.29610049999999999</v>
      </c>
      <c r="E30">
        <f t="shared" si="1"/>
        <v>0.29610049999999999</v>
      </c>
      <c r="F30">
        <f t="shared" si="2"/>
        <v>8.7675506100249989E-2</v>
      </c>
      <c r="I30">
        <v>6.0936499999999998E-2</v>
      </c>
    </row>
    <row r="31" spans="1:47" x14ac:dyDescent="0.45">
      <c r="A31" t="s">
        <v>23</v>
      </c>
      <c r="B31">
        <v>0.35958246999999999</v>
      </c>
      <c r="C31">
        <v>0.47830299999999998</v>
      </c>
      <c r="D31">
        <f t="shared" si="0"/>
        <v>0.11872052999999999</v>
      </c>
      <c r="E31">
        <f t="shared" si="1"/>
        <v>0.11872052999999999</v>
      </c>
      <c r="F31">
        <f t="shared" si="2"/>
        <v>1.4094564243480897E-2</v>
      </c>
      <c r="I31">
        <v>0.35958246999999999</v>
      </c>
    </row>
    <row r="32" spans="1:47" x14ac:dyDescent="0.45">
      <c r="A32" t="s">
        <v>24</v>
      </c>
      <c r="B32">
        <v>6.1658329999999997E-2</v>
      </c>
      <c r="C32">
        <v>0.32239800000000002</v>
      </c>
      <c r="D32">
        <f t="shared" si="0"/>
        <v>0.26073967000000003</v>
      </c>
      <c r="E32">
        <f t="shared" si="1"/>
        <v>0.26073967000000003</v>
      </c>
      <c r="F32">
        <f t="shared" si="2"/>
        <v>6.798517551170892E-2</v>
      </c>
      <c r="I32">
        <v>6.1658329999999997E-2</v>
      </c>
    </row>
    <row r="33" spans="1:9" x14ac:dyDescent="0.45">
      <c r="A33" t="s">
        <v>25</v>
      </c>
      <c r="B33">
        <v>0.13251197000000001</v>
      </c>
      <c r="C33">
        <v>0.21837000000000001</v>
      </c>
      <c r="D33">
        <f t="shared" si="0"/>
        <v>8.5858030000000002E-2</v>
      </c>
      <c r="E33">
        <f t="shared" si="1"/>
        <v>8.5858030000000002E-2</v>
      </c>
      <c r="F33">
        <f t="shared" si="2"/>
        <v>7.3716013154809003E-3</v>
      </c>
      <c r="I33">
        <v>0.13251197000000001</v>
      </c>
    </row>
    <row r="34" spans="1:9" x14ac:dyDescent="0.45">
      <c r="A34" t="s">
        <v>26</v>
      </c>
      <c r="B34">
        <v>0.14370769999999999</v>
      </c>
      <c r="C34">
        <v>0.27738699999999999</v>
      </c>
      <c r="D34">
        <f t="shared" si="0"/>
        <v>0.1336793</v>
      </c>
      <c r="E34">
        <f t="shared" si="1"/>
        <v>0.1336793</v>
      </c>
      <c r="F34">
        <f t="shared" si="2"/>
        <v>1.7870155248490002E-2</v>
      </c>
      <c r="I34">
        <v>0.14370769999999999</v>
      </c>
    </row>
    <row r="35" spans="1:9" x14ac:dyDescent="0.45">
      <c r="A35" t="s">
        <v>27</v>
      </c>
      <c r="B35">
        <v>0.10995041</v>
      </c>
      <c r="C35">
        <v>0.26675100000000002</v>
      </c>
      <c r="D35">
        <f t="shared" si="0"/>
        <v>0.15680059000000002</v>
      </c>
      <c r="E35">
        <f t="shared" si="1"/>
        <v>0.15680059000000002</v>
      </c>
      <c r="F35">
        <f t="shared" si="2"/>
        <v>2.4586425024348105E-2</v>
      </c>
      <c r="I35">
        <v>0.10995041</v>
      </c>
    </row>
    <row r="36" spans="1:9" x14ac:dyDescent="0.45">
      <c r="A36" t="s">
        <v>28</v>
      </c>
      <c r="B36">
        <v>0.12216784999999999</v>
      </c>
      <c r="C36">
        <v>0.27779300000000001</v>
      </c>
      <c r="D36">
        <f t="shared" si="0"/>
        <v>0.15562515000000002</v>
      </c>
      <c r="E36">
        <f t="shared" si="1"/>
        <v>0.15562515000000002</v>
      </c>
      <c r="F36">
        <f t="shared" si="2"/>
        <v>2.4219187312522504E-2</v>
      </c>
      <c r="I36">
        <v>0.12216784999999999</v>
      </c>
    </row>
    <row r="37" spans="1:9" x14ac:dyDescent="0.45">
      <c r="A37" t="s">
        <v>126</v>
      </c>
      <c r="B37">
        <v>0.29046775000000002</v>
      </c>
      <c r="C37">
        <v>0.15194099999999999</v>
      </c>
      <c r="D37">
        <f t="shared" si="0"/>
        <v>-0.13852675000000003</v>
      </c>
      <c r="E37">
        <f t="shared" si="1"/>
        <v>0.13852675000000003</v>
      </c>
      <c r="F37">
        <f t="shared" si="2"/>
        <v>1.9189660465562509E-2</v>
      </c>
      <c r="I37">
        <v>0.29046775000000002</v>
      </c>
    </row>
    <row r="38" spans="1:9" x14ac:dyDescent="0.45">
      <c r="A38" t="s">
        <v>29</v>
      </c>
      <c r="B38">
        <v>0.13650425999999999</v>
      </c>
      <c r="C38">
        <v>0.29823499999999997</v>
      </c>
      <c r="D38">
        <f t="shared" si="0"/>
        <v>0.16173073999999998</v>
      </c>
      <c r="E38">
        <f t="shared" si="1"/>
        <v>0.16173073999999998</v>
      </c>
      <c r="F38">
        <f t="shared" si="2"/>
        <v>2.6156832260947595E-2</v>
      </c>
      <c r="I38">
        <v>0.13650425999999999</v>
      </c>
    </row>
    <row r="39" spans="1:9" x14ac:dyDescent="0.45">
      <c r="A39" t="s">
        <v>30</v>
      </c>
      <c r="B39">
        <v>0.14420454999999999</v>
      </c>
      <c r="C39">
        <v>0.22955200000000001</v>
      </c>
      <c r="D39">
        <f t="shared" si="0"/>
        <v>8.5347450000000019E-2</v>
      </c>
      <c r="E39">
        <f t="shared" si="1"/>
        <v>8.5347450000000019E-2</v>
      </c>
      <c r="F39">
        <f t="shared" si="2"/>
        <v>7.2841872215025031E-3</v>
      </c>
      <c r="I39">
        <v>0.14420454999999999</v>
      </c>
    </row>
    <row r="40" spans="1:9" x14ac:dyDescent="0.45">
      <c r="A40" t="s">
        <v>31</v>
      </c>
      <c r="B40">
        <v>3.0991850000000001E-2</v>
      </c>
      <c r="C40">
        <v>0.24873999999999999</v>
      </c>
      <c r="D40">
        <f t="shared" si="0"/>
        <v>0.21774814999999997</v>
      </c>
      <c r="E40">
        <f t="shared" si="1"/>
        <v>0.21774814999999997</v>
      </c>
      <c r="F40">
        <f t="shared" si="2"/>
        <v>4.7414256828422485E-2</v>
      </c>
      <c r="I40">
        <v>3.0991850000000001E-2</v>
      </c>
    </row>
    <row r="41" spans="1:9" x14ac:dyDescent="0.45">
      <c r="A41" t="s">
        <v>127</v>
      </c>
      <c r="B41">
        <v>3.5533490000000001E-2</v>
      </c>
      <c r="C41">
        <v>0.32189400000000001</v>
      </c>
      <c r="D41">
        <f t="shared" si="0"/>
        <v>0.28636051000000001</v>
      </c>
      <c r="E41">
        <f t="shared" si="1"/>
        <v>0.28636051000000001</v>
      </c>
      <c r="F41">
        <f t="shared" si="2"/>
        <v>8.2002341687460109E-2</v>
      </c>
      <c r="I41">
        <v>3.5533490000000001E-2</v>
      </c>
    </row>
    <row r="42" spans="1:9" x14ac:dyDescent="0.45">
      <c r="A42" t="s">
        <v>128</v>
      </c>
      <c r="B42">
        <v>-8.7768999999999998E-4</v>
      </c>
      <c r="C42">
        <v>0.36521399999999998</v>
      </c>
      <c r="D42">
        <f t="shared" si="0"/>
        <v>0.36609168999999997</v>
      </c>
      <c r="E42">
        <f t="shared" si="1"/>
        <v>0.36609168999999997</v>
      </c>
      <c r="F42">
        <f t="shared" si="2"/>
        <v>0.13402312548705608</v>
      </c>
      <c r="I42">
        <v>-8.7768999999999998E-4</v>
      </c>
    </row>
    <row r="43" spans="1:9" x14ac:dyDescent="0.45">
      <c r="A43" t="s">
        <v>32</v>
      </c>
      <c r="B43">
        <v>8.5333400000000004E-3</v>
      </c>
      <c r="C43">
        <v>0.31712600000000002</v>
      </c>
      <c r="D43">
        <f t="shared" si="0"/>
        <v>0.30859266000000002</v>
      </c>
      <c r="E43">
        <f t="shared" si="1"/>
        <v>0.30859266000000002</v>
      </c>
      <c r="F43">
        <f t="shared" si="2"/>
        <v>9.5229429805875607E-2</v>
      </c>
      <c r="I43">
        <v>8.5333400000000004E-3</v>
      </c>
    </row>
    <row r="44" spans="1:9" x14ac:dyDescent="0.45">
      <c r="A44" t="s">
        <v>33</v>
      </c>
      <c r="B44">
        <v>2.852681E-2</v>
      </c>
      <c r="C44">
        <v>0.28550900000000001</v>
      </c>
      <c r="D44">
        <f t="shared" si="0"/>
        <v>0.25698219</v>
      </c>
      <c r="E44">
        <f t="shared" si="1"/>
        <v>0.25698219</v>
      </c>
      <c r="F44">
        <f t="shared" si="2"/>
        <v>6.6039845977196102E-2</v>
      </c>
      <c r="I44">
        <v>2.852681E-2</v>
      </c>
    </row>
    <row r="45" spans="1:9" x14ac:dyDescent="0.45">
      <c r="A45" t="s">
        <v>34</v>
      </c>
      <c r="B45">
        <v>2.2681139999999999E-2</v>
      </c>
      <c r="C45">
        <v>0.34746899999999997</v>
      </c>
      <c r="D45">
        <f t="shared" si="0"/>
        <v>0.32478785999999998</v>
      </c>
      <c r="E45">
        <f t="shared" si="1"/>
        <v>0.32478785999999998</v>
      </c>
      <c r="F45">
        <f t="shared" si="2"/>
        <v>0.10548715400337959</v>
      </c>
      <c r="I45">
        <v>2.2681139999999999E-2</v>
      </c>
    </row>
    <row r="46" spans="1:9" x14ac:dyDescent="0.45">
      <c r="A46" t="s">
        <v>35</v>
      </c>
      <c r="B46">
        <v>4.7848019999999998E-2</v>
      </c>
      <c r="C46">
        <v>0.33686300000000002</v>
      </c>
      <c r="D46">
        <f t="shared" si="0"/>
        <v>0.28901498000000003</v>
      </c>
      <c r="E46">
        <f t="shared" si="1"/>
        <v>0.28901498000000003</v>
      </c>
      <c r="F46">
        <f t="shared" si="2"/>
        <v>8.3529658664400416E-2</v>
      </c>
      <c r="I46">
        <v>4.7848019999999998E-2</v>
      </c>
    </row>
    <row r="47" spans="1:9" x14ac:dyDescent="0.45">
      <c r="A47" t="s">
        <v>36</v>
      </c>
      <c r="B47">
        <v>0.22704608000000001</v>
      </c>
      <c r="C47">
        <v>0.35214600000000001</v>
      </c>
      <c r="D47">
        <f t="shared" si="0"/>
        <v>0.12509992</v>
      </c>
      <c r="E47">
        <f t="shared" si="1"/>
        <v>0.12509992</v>
      </c>
      <c r="F47">
        <f t="shared" si="2"/>
        <v>1.56499899840064E-2</v>
      </c>
      <c r="I47">
        <v>0.22704608000000001</v>
      </c>
    </row>
    <row r="48" spans="1:9" x14ac:dyDescent="0.45">
      <c r="A48" t="s">
        <v>37</v>
      </c>
      <c r="B48">
        <v>0.22541435000000001</v>
      </c>
      <c r="C48">
        <v>0.26948899999999998</v>
      </c>
      <c r="D48">
        <f t="shared" si="0"/>
        <v>4.4074649999999965E-2</v>
      </c>
      <c r="E48">
        <f t="shared" si="1"/>
        <v>4.4074649999999965E-2</v>
      </c>
      <c r="F48">
        <f t="shared" si="2"/>
        <v>1.9425747726224969E-3</v>
      </c>
      <c r="I48">
        <v>0.22541435000000001</v>
      </c>
    </row>
    <row r="49" spans="1:9" x14ac:dyDescent="0.45">
      <c r="A49" t="s">
        <v>38</v>
      </c>
      <c r="B49">
        <v>0.22218146999999999</v>
      </c>
      <c r="C49">
        <v>0.33789799999999998</v>
      </c>
      <c r="D49">
        <f t="shared" si="0"/>
        <v>0.11571652999999998</v>
      </c>
      <c r="E49">
        <f t="shared" si="1"/>
        <v>0.11571652999999998</v>
      </c>
      <c r="F49">
        <f t="shared" si="2"/>
        <v>1.3390315315240896E-2</v>
      </c>
      <c r="I49">
        <v>0.22218146999999999</v>
      </c>
    </row>
    <row r="50" spans="1:9" x14ac:dyDescent="0.45">
      <c r="A50" t="s">
        <v>39</v>
      </c>
      <c r="B50">
        <v>0.22230481999999999</v>
      </c>
      <c r="C50">
        <v>0.35338000000000003</v>
      </c>
      <c r="D50">
        <f t="shared" si="0"/>
        <v>0.13107518000000004</v>
      </c>
      <c r="E50">
        <f t="shared" si="1"/>
        <v>0.13107518000000004</v>
      </c>
      <c r="F50">
        <f t="shared" si="2"/>
        <v>1.7180702812032409E-2</v>
      </c>
      <c r="I50">
        <v>0.22230481999999999</v>
      </c>
    </row>
    <row r="51" spans="1:9" x14ac:dyDescent="0.45">
      <c r="A51" t="s">
        <v>40</v>
      </c>
      <c r="B51">
        <v>0.21794693000000001</v>
      </c>
      <c r="C51">
        <v>0.28307900000000003</v>
      </c>
      <c r="D51">
        <f t="shared" si="0"/>
        <v>6.5132070000000014E-2</v>
      </c>
      <c r="E51">
        <f t="shared" si="1"/>
        <v>6.5132070000000014E-2</v>
      </c>
      <c r="F51">
        <f t="shared" si="2"/>
        <v>4.2421865424849018E-3</v>
      </c>
      <c r="I51">
        <v>0.21794693000000001</v>
      </c>
    </row>
    <row r="52" spans="1:9" x14ac:dyDescent="0.45">
      <c r="A52" t="s">
        <v>41</v>
      </c>
      <c r="B52">
        <v>0.25696140000000001</v>
      </c>
      <c r="C52">
        <v>0.34527099999999999</v>
      </c>
      <c r="D52">
        <f t="shared" si="0"/>
        <v>8.8309599999999988E-2</v>
      </c>
      <c r="E52">
        <f t="shared" si="1"/>
        <v>8.8309599999999988E-2</v>
      </c>
      <c r="F52">
        <f t="shared" si="2"/>
        <v>7.7985854521599981E-3</v>
      </c>
      <c r="I52">
        <v>0.25696140000000001</v>
      </c>
    </row>
    <row r="53" spans="1:9" x14ac:dyDescent="0.45">
      <c r="A53" t="s">
        <v>42</v>
      </c>
      <c r="B53">
        <v>0.21544094999999999</v>
      </c>
      <c r="C53">
        <v>0.32719500000000001</v>
      </c>
      <c r="D53">
        <f t="shared" si="0"/>
        <v>0.11175405000000002</v>
      </c>
      <c r="E53">
        <f t="shared" si="1"/>
        <v>0.11175405000000002</v>
      </c>
      <c r="F53">
        <f t="shared" si="2"/>
        <v>1.2488967691402505E-2</v>
      </c>
      <c r="I53">
        <v>0.21544094999999999</v>
      </c>
    </row>
    <row r="54" spans="1:9" x14ac:dyDescent="0.45">
      <c r="A54" t="s">
        <v>43</v>
      </c>
      <c r="B54">
        <v>0.21908206</v>
      </c>
      <c r="C54">
        <v>0.33816299999999999</v>
      </c>
      <c r="D54">
        <f t="shared" si="0"/>
        <v>0.11908094</v>
      </c>
      <c r="E54">
        <f t="shared" si="1"/>
        <v>0.11908094</v>
      </c>
      <c r="F54">
        <f t="shared" si="2"/>
        <v>1.41802702712836E-2</v>
      </c>
      <c r="I54">
        <v>0.21908206</v>
      </c>
    </row>
    <row r="55" spans="1:9" x14ac:dyDescent="0.45">
      <c r="A55" t="s">
        <v>44</v>
      </c>
      <c r="B55">
        <v>7.2860030000000006E-2</v>
      </c>
      <c r="C55">
        <v>0.34799400000000003</v>
      </c>
      <c r="D55">
        <f t="shared" si="0"/>
        <v>0.27513397000000001</v>
      </c>
      <c r="E55">
        <f t="shared" si="1"/>
        <v>0.27513397000000001</v>
      </c>
      <c r="F55">
        <f t="shared" si="2"/>
        <v>7.5698701447960898E-2</v>
      </c>
      <c r="I55">
        <v>7.2860030000000006E-2</v>
      </c>
    </row>
    <row r="56" spans="1:9" x14ac:dyDescent="0.45">
      <c r="A56" t="s">
        <v>45</v>
      </c>
      <c r="B56">
        <v>0.10776987</v>
      </c>
      <c r="C56">
        <v>0.29542499999999999</v>
      </c>
      <c r="D56">
        <f t="shared" si="0"/>
        <v>0.18765513</v>
      </c>
      <c r="E56">
        <f t="shared" si="1"/>
        <v>0.18765513</v>
      </c>
      <c r="F56">
        <f t="shared" si="2"/>
        <v>3.52144478153169E-2</v>
      </c>
      <c r="I56">
        <v>0.10776987</v>
      </c>
    </row>
    <row r="57" spans="1:9" x14ac:dyDescent="0.45">
      <c r="A57" t="s">
        <v>46</v>
      </c>
      <c r="B57">
        <v>0.13327066000000001</v>
      </c>
      <c r="C57">
        <v>0.3029</v>
      </c>
      <c r="D57">
        <f t="shared" si="0"/>
        <v>0.16962933999999999</v>
      </c>
      <c r="E57">
        <f t="shared" si="1"/>
        <v>0.16962933999999999</v>
      </c>
      <c r="F57">
        <f t="shared" si="2"/>
        <v>2.8774112988835598E-2</v>
      </c>
      <c r="I57">
        <v>0.13327066000000001</v>
      </c>
    </row>
    <row r="58" spans="1:9" x14ac:dyDescent="0.45">
      <c r="A58" t="s">
        <v>47</v>
      </c>
      <c r="B58">
        <v>0.22477694000000001</v>
      </c>
      <c r="C58">
        <v>0.25068099999999999</v>
      </c>
      <c r="D58">
        <f t="shared" si="0"/>
        <v>2.5904059999999979E-2</v>
      </c>
      <c r="E58">
        <f t="shared" si="1"/>
        <v>2.5904059999999979E-2</v>
      </c>
      <c r="F58">
        <f t="shared" si="2"/>
        <v>6.7102032448359888E-4</v>
      </c>
      <c r="I58">
        <v>0.22477694000000001</v>
      </c>
    </row>
    <row r="59" spans="1:9" x14ac:dyDescent="0.45">
      <c r="A59" t="s">
        <v>48</v>
      </c>
      <c r="B59">
        <v>4.135776E-2</v>
      </c>
      <c r="C59">
        <v>0.42422199999999999</v>
      </c>
      <c r="D59">
        <f t="shared" si="0"/>
        <v>0.38286423999999997</v>
      </c>
      <c r="E59">
        <f t="shared" si="1"/>
        <v>0.38286423999999997</v>
      </c>
      <c r="F59">
        <f t="shared" si="2"/>
        <v>0.14658502627077757</v>
      </c>
      <c r="I59">
        <v>4.135776E-2</v>
      </c>
    </row>
    <row r="60" spans="1:9" x14ac:dyDescent="0.45">
      <c r="A60" t="s">
        <v>49</v>
      </c>
      <c r="B60">
        <v>0.1346493</v>
      </c>
      <c r="C60">
        <v>0.21953300000000001</v>
      </c>
      <c r="D60">
        <f t="shared" si="0"/>
        <v>8.4883700000000006E-2</v>
      </c>
      <c r="E60">
        <f t="shared" si="1"/>
        <v>8.4883700000000006E-2</v>
      </c>
      <c r="F60">
        <f t="shared" si="2"/>
        <v>7.2052425256900008E-3</v>
      </c>
      <c r="I60">
        <v>0.1346493</v>
      </c>
    </row>
    <row r="61" spans="1:9" x14ac:dyDescent="0.45">
      <c r="A61" t="s">
        <v>50</v>
      </c>
      <c r="B61">
        <v>0.15503492999999999</v>
      </c>
      <c r="C61">
        <v>0.27467000000000003</v>
      </c>
      <c r="D61">
        <f t="shared" si="0"/>
        <v>0.11963507000000004</v>
      </c>
      <c r="E61">
        <f t="shared" si="1"/>
        <v>0.11963507000000004</v>
      </c>
      <c r="F61">
        <f t="shared" si="2"/>
        <v>1.4312549973904909E-2</v>
      </c>
      <c r="I61">
        <v>0.15503492999999999</v>
      </c>
    </row>
    <row r="62" spans="1:9" x14ac:dyDescent="0.45">
      <c r="A62" t="s">
        <v>51</v>
      </c>
      <c r="B62">
        <v>9.1609040000000003E-2</v>
      </c>
      <c r="C62">
        <v>0.32089600000000001</v>
      </c>
      <c r="D62">
        <f t="shared" si="0"/>
        <v>0.22928696000000001</v>
      </c>
      <c r="E62">
        <f t="shared" si="1"/>
        <v>0.22928696000000001</v>
      </c>
      <c r="F62">
        <f t="shared" si="2"/>
        <v>5.2572510026041602E-2</v>
      </c>
      <c r="I62">
        <v>9.1609040000000003E-2</v>
      </c>
    </row>
    <row r="63" spans="1:9" x14ac:dyDescent="0.45">
      <c r="A63" t="s">
        <v>52</v>
      </c>
      <c r="B63">
        <v>8.5051370000000001E-2</v>
      </c>
      <c r="C63">
        <v>0.32677600000000001</v>
      </c>
      <c r="D63">
        <f t="shared" si="0"/>
        <v>0.24172463</v>
      </c>
      <c r="E63">
        <f t="shared" si="1"/>
        <v>0.24172463</v>
      </c>
      <c r="F63">
        <f t="shared" si="2"/>
        <v>5.8430796748636896E-2</v>
      </c>
      <c r="I63">
        <v>8.5051370000000001E-2</v>
      </c>
    </row>
    <row r="64" spans="1:9" x14ac:dyDescent="0.45">
      <c r="A64" t="s">
        <v>53</v>
      </c>
      <c r="B64">
        <v>8.8239860000000003E-2</v>
      </c>
      <c r="C64">
        <v>0.34637499999999999</v>
      </c>
      <c r="D64">
        <f t="shared" si="0"/>
        <v>0.25813513999999999</v>
      </c>
      <c r="E64">
        <f t="shared" si="1"/>
        <v>0.25813513999999999</v>
      </c>
      <c r="F64">
        <f t="shared" si="2"/>
        <v>6.6633750502819597E-2</v>
      </c>
      <c r="I64">
        <v>8.8239860000000003E-2</v>
      </c>
    </row>
    <row r="65" spans="1:9" x14ac:dyDescent="0.45">
      <c r="A65" t="s">
        <v>129</v>
      </c>
      <c r="B65">
        <v>7.0177920000000005E-2</v>
      </c>
      <c r="C65">
        <v>0.367309</v>
      </c>
      <c r="D65">
        <f t="shared" si="0"/>
        <v>0.29713107999999999</v>
      </c>
      <c r="E65">
        <f t="shared" si="1"/>
        <v>0.29713107999999999</v>
      </c>
      <c r="F65">
        <f t="shared" si="2"/>
        <v>8.8286878701966401E-2</v>
      </c>
      <c r="I65">
        <v>7.0177920000000005E-2</v>
      </c>
    </row>
    <row r="66" spans="1:9" x14ac:dyDescent="0.45">
      <c r="A66" t="s">
        <v>130</v>
      </c>
      <c r="B66">
        <v>-1.5006900000000001E-3</v>
      </c>
      <c r="C66">
        <v>0.29716700000000001</v>
      </c>
      <c r="D66">
        <f t="shared" si="0"/>
        <v>0.29866769000000004</v>
      </c>
      <c r="E66">
        <f t="shared" si="1"/>
        <v>0.29866769000000004</v>
      </c>
      <c r="F66">
        <f t="shared" si="2"/>
        <v>8.9202389049936118E-2</v>
      </c>
      <c r="I66">
        <v>-1.5006900000000001E-3</v>
      </c>
    </row>
    <row r="67" spans="1:9" x14ac:dyDescent="0.45">
      <c r="A67" t="s">
        <v>54</v>
      </c>
      <c r="B67">
        <v>1.6537090000000001E-2</v>
      </c>
      <c r="C67">
        <v>0.26822099999999999</v>
      </c>
      <c r="D67">
        <f t="shared" ref="D67:D130" si="3">(C67-B67)</f>
        <v>0.25168391000000001</v>
      </c>
      <c r="E67">
        <f t="shared" ref="E67:E130" si="4">ABS(D67)</f>
        <v>0.25168391000000001</v>
      </c>
      <c r="F67">
        <f t="shared" ref="F67:F130" si="5">E67^2</f>
        <v>6.3344790552888108E-2</v>
      </c>
      <c r="I67">
        <v>1.6537090000000001E-2</v>
      </c>
    </row>
    <row r="68" spans="1:9" x14ac:dyDescent="0.45">
      <c r="A68" t="s">
        <v>55</v>
      </c>
      <c r="B68">
        <v>4.5981880000000003E-2</v>
      </c>
      <c r="C68">
        <v>0.25370399999999999</v>
      </c>
      <c r="D68">
        <f t="shared" si="3"/>
        <v>0.20772211999999998</v>
      </c>
      <c r="E68">
        <f t="shared" si="4"/>
        <v>0.20772211999999998</v>
      </c>
      <c r="F68">
        <f t="shared" si="5"/>
        <v>4.3148479137294395E-2</v>
      </c>
      <c r="I68">
        <v>4.5981880000000003E-2</v>
      </c>
    </row>
    <row r="69" spans="1:9" x14ac:dyDescent="0.45">
      <c r="A69" t="s">
        <v>56</v>
      </c>
      <c r="B69">
        <v>4.0826210000000002E-2</v>
      </c>
      <c r="C69">
        <v>0.300037</v>
      </c>
      <c r="D69">
        <f t="shared" si="3"/>
        <v>0.25921079000000002</v>
      </c>
      <c r="E69">
        <f t="shared" si="4"/>
        <v>0.25921079000000002</v>
      </c>
      <c r="F69">
        <f t="shared" si="5"/>
        <v>6.7190233652424117E-2</v>
      </c>
      <c r="I69">
        <v>4.0826210000000002E-2</v>
      </c>
    </row>
    <row r="70" spans="1:9" x14ac:dyDescent="0.45">
      <c r="A70" t="s">
        <v>57</v>
      </c>
      <c r="B70">
        <v>4.9472780000000001E-2</v>
      </c>
      <c r="C70">
        <v>0.27404000000000001</v>
      </c>
      <c r="D70">
        <f t="shared" si="3"/>
        <v>0.22456722000000001</v>
      </c>
      <c r="E70">
        <f t="shared" si="4"/>
        <v>0.22456722000000001</v>
      </c>
      <c r="F70">
        <f t="shared" si="5"/>
        <v>5.0430436298528405E-2</v>
      </c>
      <c r="I70">
        <v>4.9472780000000001E-2</v>
      </c>
    </row>
    <row r="71" spans="1:9" x14ac:dyDescent="0.45">
      <c r="A71" t="s">
        <v>58</v>
      </c>
      <c r="B71">
        <v>4.9311399999999998E-2</v>
      </c>
      <c r="C71">
        <v>0.429033</v>
      </c>
      <c r="D71">
        <f t="shared" si="3"/>
        <v>0.37972159999999999</v>
      </c>
      <c r="E71">
        <f t="shared" si="4"/>
        <v>0.37972159999999999</v>
      </c>
      <c r="F71">
        <f t="shared" si="5"/>
        <v>0.14418849350655999</v>
      </c>
      <c r="I71">
        <v>4.9311399999999998E-2</v>
      </c>
    </row>
    <row r="72" spans="1:9" x14ac:dyDescent="0.45">
      <c r="A72" t="s">
        <v>131</v>
      </c>
      <c r="B72">
        <v>1.735E-3</v>
      </c>
      <c r="C72">
        <v>0.36751899999999998</v>
      </c>
      <c r="D72">
        <f t="shared" si="3"/>
        <v>0.365784</v>
      </c>
      <c r="E72">
        <f t="shared" si="4"/>
        <v>0.365784</v>
      </c>
      <c r="F72">
        <f t="shared" si="5"/>
        <v>0.13379793465600001</v>
      </c>
      <c r="I72">
        <v>1.735E-3</v>
      </c>
    </row>
    <row r="73" spans="1:9" x14ac:dyDescent="0.45">
      <c r="A73" t="s">
        <v>132</v>
      </c>
      <c r="B73">
        <v>1.462455E-2</v>
      </c>
      <c r="C73">
        <v>0.32295200000000002</v>
      </c>
      <c r="D73">
        <f t="shared" si="3"/>
        <v>0.30832745</v>
      </c>
      <c r="E73">
        <f t="shared" si="4"/>
        <v>0.30832745</v>
      </c>
      <c r="F73">
        <f t="shared" si="5"/>
        <v>9.5065816423502508E-2</v>
      </c>
      <c r="I73">
        <v>1.462455E-2</v>
      </c>
    </row>
    <row r="74" spans="1:9" x14ac:dyDescent="0.45">
      <c r="A74" t="s">
        <v>133</v>
      </c>
      <c r="B74">
        <v>1.604191E-2</v>
      </c>
      <c r="C74">
        <v>-7.5427999999999995E-2</v>
      </c>
      <c r="D74">
        <f t="shared" si="3"/>
        <v>-9.1469909999999988E-2</v>
      </c>
      <c r="E74">
        <f t="shared" si="4"/>
        <v>9.1469909999999988E-2</v>
      </c>
      <c r="F74">
        <f t="shared" si="5"/>
        <v>8.3667444354080973E-3</v>
      </c>
      <c r="I74">
        <v>1.604191E-2</v>
      </c>
    </row>
    <row r="75" spans="1:9" x14ac:dyDescent="0.45">
      <c r="A75" t="s">
        <v>59</v>
      </c>
      <c r="B75">
        <v>4.499123E-2</v>
      </c>
      <c r="C75">
        <v>-5.7206E-2</v>
      </c>
      <c r="D75">
        <f t="shared" si="3"/>
        <v>-0.10219723</v>
      </c>
      <c r="E75">
        <f t="shared" si="4"/>
        <v>0.10219723</v>
      </c>
      <c r="F75">
        <f t="shared" si="5"/>
        <v>1.0444273819672899E-2</v>
      </c>
      <c r="I75">
        <v>4.499123E-2</v>
      </c>
    </row>
    <row r="76" spans="1:9" x14ac:dyDescent="0.45">
      <c r="A76" t="s">
        <v>60</v>
      </c>
      <c r="B76">
        <v>2.3368099999999999E-2</v>
      </c>
      <c r="C76">
        <v>0.393096</v>
      </c>
      <c r="D76">
        <f t="shared" si="3"/>
        <v>0.3697279</v>
      </c>
      <c r="E76">
        <f t="shared" si="4"/>
        <v>0.3697279</v>
      </c>
      <c r="F76">
        <f t="shared" si="5"/>
        <v>0.13669872003840999</v>
      </c>
      <c r="I76">
        <v>2.3368099999999999E-2</v>
      </c>
    </row>
    <row r="77" spans="1:9" x14ac:dyDescent="0.45">
      <c r="A77" t="s">
        <v>61</v>
      </c>
      <c r="B77">
        <v>3.6591770000000003E-2</v>
      </c>
      <c r="C77">
        <v>0.34532400000000002</v>
      </c>
      <c r="D77">
        <f t="shared" si="3"/>
        <v>0.30873223</v>
      </c>
      <c r="E77">
        <f t="shared" si="4"/>
        <v>0.30873223</v>
      </c>
      <c r="F77">
        <f t="shared" si="5"/>
        <v>9.5315589840772902E-2</v>
      </c>
      <c r="I77">
        <v>3.6591770000000003E-2</v>
      </c>
    </row>
    <row r="78" spans="1:9" x14ac:dyDescent="0.45">
      <c r="A78" t="s">
        <v>62</v>
      </c>
      <c r="B78">
        <v>-1.11319E-3</v>
      </c>
      <c r="C78">
        <v>0.37076100000000001</v>
      </c>
      <c r="D78">
        <f t="shared" si="3"/>
        <v>0.37187418999999999</v>
      </c>
      <c r="E78">
        <f t="shared" si="4"/>
        <v>0.37187418999999999</v>
      </c>
      <c r="F78">
        <f t="shared" si="5"/>
        <v>0.1382904131881561</v>
      </c>
      <c r="I78">
        <v>-1.11319E-3</v>
      </c>
    </row>
    <row r="79" spans="1:9" x14ac:dyDescent="0.45">
      <c r="A79" t="s">
        <v>63</v>
      </c>
      <c r="B79">
        <v>6.7436500000000003E-3</v>
      </c>
      <c r="C79">
        <v>0.35978500000000002</v>
      </c>
      <c r="D79">
        <f t="shared" si="3"/>
        <v>0.35304135000000003</v>
      </c>
      <c r="E79">
        <f t="shared" si="4"/>
        <v>0.35304135000000003</v>
      </c>
      <c r="F79">
        <f t="shared" si="5"/>
        <v>0.12463819480982252</v>
      </c>
      <c r="I79">
        <v>6.7436500000000003E-3</v>
      </c>
    </row>
    <row r="80" spans="1:9" x14ac:dyDescent="0.45">
      <c r="A80" t="s">
        <v>64</v>
      </c>
      <c r="B80">
        <v>9.4998700000000005E-3</v>
      </c>
      <c r="C80">
        <v>0.29232999999999998</v>
      </c>
      <c r="D80">
        <f t="shared" si="3"/>
        <v>0.28283012999999996</v>
      </c>
      <c r="E80">
        <f t="shared" si="4"/>
        <v>0.28283012999999996</v>
      </c>
      <c r="F80">
        <f t="shared" si="5"/>
        <v>7.999288243581687E-2</v>
      </c>
      <c r="I80">
        <v>9.4998700000000005E-3</v>
      </c>
    </row>
    <row r="81" spans="1:9" x14ac:dyDescent="0.45">
      <c r="A81" t="s">
        <v>65</v>
      </c>
      <c r="B81">
        <v>1.9950929999999999E-2</v>
      </c>
      <c r="C81">
        <v>0.23950199999999999</v>
      </c>
      <c r="D81">
        <f t="shared" si="3"/>
        <v>0.21955106999999999</v>
      </c>
      <c r="E81">
        <f t="shared" si="4"/>
        <v>0.21955106999999999</v>
      </c>
      <c r="F81">
        <f t="shared" si="5"/>
        <v>4.8202672338144896E-2</v>
      </c>
      <c r="I81">
        <v>1.9950929999999999E-2</v>
      </c>
    </row>
    <row r="82" spans="1:9" x14ac:dyDescent="0.45">
      <c r="A82" t="s">
        <v>66</v>
      </c>
      <c r="B82">
        <v>9.0563299999999996E-3</v>
      </c>
      <c r="C82">
        <v>0.34865099999999999</v>
      </c>
      <c r="D82">
        <f t="shared" si="3"/>
        <v>0.33959466999999999</v>
      </c>
      <c r="E82">
        <f t="shared" si="4"/>
        <v>0.33959466999999999</v>
      </c>
      <c r="F82">
        <f t="shared" si="5"/>
        <v>0.11532453989240889</v>
      </c>
      <c r="I82">
        <v>9.0563299999999996E-3</v>
      </c>
    </row>
    <row r="83" spans="1:9" x14ac:dyDescent="0.45">
      <c r="A83" t="s">
        <v>67</v>
      </c>
      <c r="B83">
        <v>5.9807599999999999E-3</v>
      </c>
      <c r="C83">
        <v>0.38217400000000001</v>
      </c>
      <c r="D83">
        <f t="shared" si="3"/>
        <v>0.37619324000000004</v>
      </c>
      <c r="E83">
        <f t="shared" si="4"/>
        <v>0.37619324000000004</v>
      </c>
      <c r="F83">
        <f t="shared" si="5"/>
        <v>0.14152135382169764</v>
      </c>
      <c r="I83">
        <v>5.9807599999999999E-3</v>
      </c>
    </row>
    <row r="84" spans="1:9" x14ac:dyDescent="0.45">
      <c r="A84" t="s">
        <v>134</v>
      </c>
      <c r="B84">
        <v>0.11347973</v>
      </c>
      <c r="C84">
        <v>0.34258300000000003</v>
      </c>
      <c r="D84">
        <f t="shared" si="3"/>
        <v>0.22910327000000003</v>
      </c>
      <c r="E84">
        <f t="shared" si="4"/>
        <v>0.22910327000000003</v>
      </c>
      <c r="F84">
        <f t="shared" si="5"/>
        <v>5.2488308324692909E-2</v>
      </c>
      <c r="I84">
        <v>0.11347973</v>
      </c>
    </row>
    <row r="85" spans="1:9" x14ac:dyDescent="0.45">
      <c r="A85" t="s">
        <v>135</v>
      </c>
      <c r="B85">
        <v>3.7432060000000003E-2</v>
      </c>
      <c r="C85">
        <v>-8.7271000000000001E-2</v>
      </c>
      <c r="D85">
        <f t="shared" si="3"/>
        <v>-0.12470306</v>
      </c>
      <c r="E85">
        <f t="shared" si="4"/>
        <v>0.12470306</v>
      </c>
      <c r="F85">
        <f t="shared" si="5"/>
        <v>1.5550853173363601E-2</v>
      </c>
      <c r="I85">
        <v>3.7432060000000003E-2</v>
      </c>
    </row>
    <row r="86" spans="1:9" x14ac:dyDescent="0.45">
      <c r="A86" t="s">
        <v>136</v>
      </c>
      <c r="B86">
        <v>1.8893719999999999E-2</v>
      </c>
      <c r="C86">
        <v>0.31391400000000003</v>
      </c>
      <c r="D86">
        <f t="shared" si="3"/>
        <v>0.29502028000000002</v>
      </c>
      <c r="E86">
        <f t="shared" si="4"/>
        <v>0.29502028000000002</v>
      </c>
      <c r="F86">
        <f t="shared" si="5"/>
        <v>8.7036965611278411E-2</v>
      </c>
      <c r="I86">
        <v>1.8893719999999999E-2</v>
      </c>
    </row>
    <row r="87" spans="1:9" x14ac:dyDescent="0.45">
      <c r="A87" t="s">
        <v>137</v>
      </c>
      <c r="B87">
        <v>-7.2915499999999999E-3</v>
      </c>
      <c r="C87">
        <v>0.30667499999999998</v>
      </c>
      <c r="D87">
        <f t="shared" si="3"/>
        <v>0.31396654999999996</v>
      </c>
      <c r="E87">
        <f t="shared" si="4"/>
        <v>0.31396654999999996</v>
      </c>
      <c r="F87">
        <f t="shared" si="5"/>
        <v>9.8574994518902476E-2</v>
      </c>
      <c r="I87">
        <v>-7.2915499999999999E-3</v>
      </c>
    </row>
    <row r="88" spans="1:9" x14ac:dyDescent="0.45">
      <c r="A88" t="s">
        <v>138</v>
      </c>
      <c r="B88">
        <v>3.3070299999999997E-2</v>
      </c>
      <c r="C88">
        <v>0.218614</v>
      </c>
      <c r="D88">
        <f t="shared" si="3"/>
        <v>0.18554370000000001</v>
      </c>
      <c r="E88">
        <f t="shared" si="4"/>
        <v>0.18554370000000001</v>
      </c>
      <c r="F88">
        <f t="shared" si="5"/>
        <v>3.4426464609690004E-2</v>
      </c>
      <c r="I88">
        <v>3.3070299999999997E-2</v>
      </c>
    </row>
    <row r="89" spans="1:9" x14ac:dyDescent="0.45">
      <c r="A89" t="s">
        <v>68</v>
      </c>
      <c r="B89">
        <v>0.30888343000000001</v>
      </c>
      <c r="C89">
        <v>0.34277099999999999</v>
      </c>
      <c r="D89">
        <f t="shared" si="3"/>
        <v>3.3887569999999978E-2</v>
      </c>
      <c r="E89">
        <f t="shared" si="4"/>
        <v>3.3887569999999978E-2</v>
      </c>
      <c r="F89">
        <f t="shared" si="5"/>
        <v>1.1483674005048985E-3</v>
      </c>
      <c r="I89">
        <v>0.30888343000000001</v>
      </c>
    </row>
    <row r="90" spans="1:9" x14ac:dyDescent="0.45">
      <c r="A90" t="s">
        <v>69</v>
      </c>
      <c r="B90">
        <v>4.7597149999999998E-2</v>
      </c>
      <c r="C90">
        <v>0.38625900000000002</v>
      </c>
      <c r="D90">
        <f t="shared" si="3"/>
        <v>0.33866185000000004</v>
      </c>
      <c r="E90">
        <f t="shared" si="4"/>
        <v>0.33866185000000004</v>
      </c>
      <c r="F90">
        <f t="shared" si="5"/>
        <v>0.11469184864542253</v>
      </c>
      <c r="I90">
        <v>4.7597149999999998E-2</v>
      </c>
    </row>
    <row r="91" spans="1:9" x14ac:dyDescent="0.45">
      <c r="A91" t="s">
        <v>70</v>
      </c>
      <c r="B91">
        <v>0.35564750000000001</v>
      </c>
      <c r="C91">
        <v>0.55587200000000003</v>
      </c>
      <c r="D91">
        <f t="shared" si="3"/>
        <v>0.20022450000000003</v>
      </c>
      <c r="E91">
        <f t="shared" si="4"/>
        <v>0.20022450000000003</v>
      </c>
      <c r="F91">
        <f t="shared" si="5"/>
        <v>4.008985040025001E-2</v>
      </c>
      <c r="I91">
        <v>0.35564750000000001</v>
      </c>
    </row>
    <row r="92" spans="1:9" x14ac:dyDescent="0.45">
      <c r="A92" t="s">
        <v>71</v>
      </c>
      <c r="B92">
        <v>4.7039890000000001E-2</v>
      </c>
      <c r="C92">
        <v>0.39058199999999998</v>
      </c>
      <c r="D92">
        <f t="shared" si="3"/>
        <v>0.34354211000000001</v>
      </c>
      <c r="E92">
        <f t="shared" si="4"/>
        <v>0.34354211000000001</v>
      </c>
      <c r="F92">
        <f t="shared" si="5"/>
        <v>0.11802118134325211</v>
      </c>
      <c r="I92">
        <v>4.7039890000000001E-2</v>
      </c>
    </row>
    <row r="93" spans="1:9" x14ac:dyDescent="0.45">
      <c r="A93" t="s">
        <v>72</v>
      </c>
      <c r="B93">
        <v>6.315308E-2</v>
      </c>
      <c r="C93">
        <v>0.40065099999999998</v>
      </c>
      <c r="D93">
        <f t="shared" si="3"/>
        <v>0.33749792000000001</v>
      </c>
      <c r="E93">
        <f t="shared" si="4"/>
        <v>0.33749792000000001</v>
      </c>
      <c r="F93">
        <f t="shared" si="5"/>
        <v>0.1139048460043264</v>
      </c>
      <c r="I93">
        <v>6.315308E-2</v>
      </c>
    </row>
    <row r="94" spans="1:9" x14ac:dyDescent="0.45">
      <c r="A94" t="s">
        <v>73</v>
      </c>
      <c r="B94">
        <v>6.0689739999999999E-2</v>
      </c>
      <c r="C94">
        <v>0.370334</v>
      </c>
      <c r="D94">
        <f t="shared" si="3"/>
        <v>0.30964426</v>
      </c>
      <c r="E94">
        <f t="shared" si="4"/>
        <v>0.30964426</v>
      </c>
      <c r="F94">
        <f t="shared" si="5"/>
        <v>9.5879567750947609E-2</v>
      </c>
      <c r="I94">
        <v>6.0689739999999999E-2</v>
      </c>
    </row>
    <row r="95" spans="1:9" x14ac:dyDescent="0.45">
      <c r="A95" t="s">
        <v>74</v>
      </c>
      <c r="B95">
        <v>5.8646400000000001E-2</v>
      </c>
      <c r="C95">
        <v>0.36850699999999997</v>
      </c>
      <c r="D95">
        <f t="shared" si="3"/>
        <v>0.30986059999999999</v>
      </c>
      <c r="E95">
        <f t="shared" si="4"/>
        <v>0.30986059999999999</v>
      </c>
      <c r="F95">
        <f t="shared" si="5"/>
        <v>9.601359143235999E-2</v>
      </c>
      <c r="I95">
        <v>5.8646400000000001E-2</v>
      </c>
    </row>
    <row r="96" spans="1:9" x14ac:dyDescent="0.45">
      <c r="A96" t="s">
        <v>75</v>
      </c>
      <c r="B96">
        <v>5.3003450000000001E-2</v>
      </c>
      <c r="C96">
        <v>0.35540100000000002</v>
      </c>
      <c r="D96">
        <f t="shared" si="3"/>
        <v>0.30239755000000001</v>
      </c>
      <c r="E96">
        <f t="shared" si="4"/>
        <v>0.30239755000000001</v>
      </c>
      <c r="F96">
        <f t="shared" si="5"/>
        <v>9.1444278246002514E-2</v>
      </c>
      <c r="I96">
        <v>5.3003450000000001E-2</v>
      </c>
    </row>
    <row r="97" spans="1:9" x14ac:dyDescent="0.45">
      <c r="A97" t="s">
        <v>76</v>
      </c>
      <c r="B97">
        <v>7.2549279999999994E-2</v>
      </c>
      <c r="C97">
        <v>0.35211199999999998</v>
      </c>
      <c r="D97">
        <f t="shared" si="3"/>
        <v>0.27956271999999999</v>
      </c>
      <c r="E97">
        <f t="shared" si="4"/>
        <v>0.27956271999999999</v>
      </c>
      <c r="F97">
        <f t="shared" si="5"/>
        <v>7.8155314413798388E-2</v>
      </c>
      <c r="I97">
        <v>7.2549279999999994E-2</v>
      </c>
    </row>
    <row r="98" spans="1:9" x14ac:dyDescent="0.45">
      <c r="A98" t="s">
        <v>77</v>
      </c>
      <c r="B98">
        <v>5.7235889999999998E-2</v>
      </c>
      <c r="C98">
        <v>0.37432100000000001</v>
      </c>
      <c r="D98">
        <f t="shared" si="3"/>
        <v>0.31708511</v>
      </c>
      <c r="E98">
        <f t="shared" si="4"/>
        <v>0.31708511</v>
      </c>
      <c r="F98">
        <f t="shared" si="5"/>
        <v>0.1005429669837121</v>
      </c>
      <c r="I98">
        <v>5.7235889999999998E-2</v>
      </c>
    </row>
    <row r="99" spans="1:9" x14ac:dyDescent="0.45">
      <c r="A99" t="s">
        <v>78</v>
      </c>
      <c r="B99">
        <v>0.16982808999999999</v>
      </c>
      <c r="C99">
        <v>0.20594199999999999</v>
      </c>
      <c r="D99">
        <f t="shared" si="3"/>
        <v>3.6113909999999999E-2</v>
      </c>
      <c r="E99">
        <f t="shared" si="4"/>
        <v>3.6113909999999999E-2</v>
      </c>
      <c r="F99">
        <f t="shared" si="5"/>
        <v>1.3042144954880999E-3</v>
      </c>
      <c r="I99">
        <v>0.16982808999999999</v>
      </c>
    </row>
    <row r="100" spans="1:9" x14ac:dyDescent="0.45">
      <c r="A100" t="s">
        <v>79</v>
      </c>
      <c r="B100">
        <v>0.14950168999999999</v>
      </c>
      <c r="C100">
        <v>0.16140499999999999</v>
      </c>
      <c r="D100">
        <f t="shared" si="3"/>
        <v>1.190331E-2</v>
      </c>
      <c r="E100">
        <f t="shared" si="4"/>
        <v>1.190331E-2</v>
      </c>
      <c r="F100">
        <f t="shared" si="5"/>
        <v>1.416887889561E-4</v>
      </c>
      <c r="I100">
        <v>0.14950168999999999</v>
      </c>
    </row>
    <row r="101" spans="1:9" x14ac:dyDescent="0.45">
      <c r="A101" t="s">
        <v>80</v>
      </c>
      <c r="B101">
        <v>0.38597809999999999</v>
      </c>
      <c r="C101">
        <v>0.33120100000000002</v>
      </c>
      <c r="D101">
        <f t="shared" si="3"/>
        <v>-5.4777099999999967E-2</v>
      </c>
      <c r="E101">
        <f t="shared" si="4"/>
        <v>5.4777099999999967E-2</v>
      </c>
      <c r="F101">
        <f t="shared" si="5"/>
        <v>3.0005306844099965E-3</v>
      </c>
      <c r="I101">
        <v>0.38597809999999999</v>
      </c>
    </row>
    <row r="102" spans="1:9" x14ac:dyDescent="0.45">
      <c r="A102" t="s">
        <v>81</v>
      </c>
      <c r="B102">
        <v>0.17219950000000001</v>
      </c>
      <c r="C102">
        <v>0.24101400000000001</v>
      </c>
      <c r="D102">
        <f t="shared" si="3"/>
        <v>6.8814500000000001E-2</v>
      </c>
      <c r="E102">
        <f t="shared" si="4"/>
        <v>6.8814500000000001E-2</v>
      </c>
      <c r="F102">
        <f t="shared" si="5"/>
        <v>4.7354354102500003E-3</v>
      </c>
      <c r="I102">
        <v>0.17219950000000001</v>
      </c>
    </row>
    <row r="103" spans="1:9" x14ac:dyDescent="0.45">
      <c r="A103" t="s">
        <v>82</v>
      </c>
      <c r="B103">
        <v>0.15522527</v>
      </c>
      <c r="C103">
        <v>0.25137500000000002</v>
      </c>
      <c r="D103">
        <f t="shared" si="3"/>
        <v>9.6149730000000017E-2</v>
      </c>
      <c r="E103">
        <f t="shared" si="4"/>
        <v>9.6149730000000017E-2</v>
      </c>
      <c r="F103">
        <f t="shared" si="5"/>
        <v>9.2447705790729036E-3</v>
      </c>
      <c r="I103">
        <v>0.15522527</v>
      </c>
    </row>
    <row r="104" spans="1:9" x14ac:dyDescent="0.45">
      <c r="A104" t="s">
        <v>83</v>
      </c>
      <c r="B104">
        <v>0.14364022000000001</v>
      </c>
      <c r="C104">
        <v>0.21888099999999999</v>
      </c>
      <c r="D104">
        <f t="shared" si="3"/>
        <v>7.5240779999999979E-2</v>
      </c>
      <c r="E104">
        <f t="shared" si="4"/>
        <v>7.5240779999999979E-2</v>
      </c>
      <c r="F104">
        <f t="shared" si="5"/>
        <v>5.6611749750083967E-3</v>
      </c>
      <c r="I104">
        <v>0.14364022000000001</v>
      </c>
    </row>
    <row r="105" spans="1:9" x14ac:dyDescent="0.45">
      <c r="A105" t="s">
        <v>84</v>
      </c>
      <c r="B105">
        <v>2.063278E-2</v>
      </c>
      <c r="C105">
        <v>0.256498</v>
      </c>
      <c r="D105">
        <f t="shared" si="3"/>
        <v>0.23586522000000001</v>
      </c>
      <c r="E105">
        <f t="shared" si="4"/>
        <v>0.23586522000000001</v>
      </c>
      <c r="F105">
        <f t="shared" si="5"/>
        <v>5.563240200564841E-2</v>
      </c>
      <c r="I105">
        <v>2.063278E-2</v>
      </c>
    </row>
    <row r="106" spans="1:9" x14ac:dyDescent="0.45">
      <c r="A106" t="s">
        <v>139</v>
      </c>
      <c r="B106">
        <v>3.4674129999999997E-2</v>
      </c>
      <c r="C106">
        <v>0.34598099999999998</v>
      </c>
      <c r="D106">
        <f t="shared" si="3"/>
        <v>0.31130687000000001</v>
      </c>
      <c r="E106">
        <f t="shared" si="4"/>
        <v>0.31130687000000001</v>
      </c>
      <c r="F106">
        <f t="shared" si="5"/>
        <v>9.6911967309196906E-2</v>
      </c>
      <c r="I106">
        <v>3.4674129999999997E-2</v>
      </c>
    </row>
    <row r="107" spans="1:9" x14ac:dyDescent="0.45">
      <c r="A107" t="s">
        <v>140</v>
      </c>
      <c r="B107">
        <v>-4.2591900000000004E-3</v>
      </c>
      <c r="C107">
        <v>0.36772700000000003</v>
      </c>
      <c r="D107">
        <f t="shared" si="3"/>
        <v>0.37198619000000005</v>
      </c>
      <c r="E107">
        <f t="shared" si="4"/>
        <v>0.37198619000000005</v>
      </c>
      <c r="F107">
        <f t="shared" si="5"/>
        <v>0.13837372555071614</v>
      </c>
      <c r="I107">
        <v>-4.2591900000000004E-3</v>
      </c>
    </row>
    <row r="108" spans="1:9" x14ac:dyDescent="0.45">
      <c r="A108" t="s">
        <v>85</v>
      </c>
      <c r="B108">
        <v>9.37641E-3</v>
      </c>
      <c r="C108">
        <v>0.31824799999999998</v>
      </c>
      <c r="D108">
        <f t="shared" si="3"/>
        <v>0.30887158999999997</v>
      </c>
      <c r="E108">
        <f t="shared" si="4"/>
        <v>0.30887158999999997</v>
      </c>
      <c r="F108">
        <f t="shared" si="5"/>
        <v>9.5401659109128081E-2</v>
      </c>
      <c r="I108">
        <v>9.37641E-3</v>
      </c>
    </row>
    <row r="109" spans="1:9" x14ac:dyDescent="0.45">
      <c r="A109" t="s">
        <v>86</v>
      </c>
      <c r="B109">
        <v>9.4900399999999999E-3</v>
      </c>
      <c r="C109">
        <v>0.286796</v>
      </c>
      <c r="D109">
        <f t="shared" si="3"/>
        <v>0.27730596000000002</v>
      </c>
      <c r="E109">
        <f t="shared" si="4"/>
        <v>0.27730596000000002</v>
      </c>
      <c r="F109">
        <f t="shared" si="5"/>
        <v>7.6898595451521612E-2</v>
      </c>
      <c r="I109">
        <v>9.4900399999999999E-3</v>
      </c>
    </row>
    <row r="110" spans="1:9" x14ac:dyDescent="0.45">
      <c r="A110" t="s">
        <v>87</v>
      </c>
      <c r="B110">
        <v>3.9489169999999997E-2</v>
      </c>
      <c r="C110">
        <v>0.25590099999999999</v>
      </c>
      <c r="D110">
        <f t="shared" si="3"/>
        <v>0.21641183</v>
      </c>
      <c r="E110">
        <f t="shared" si="4"/>
        <v>0.21641183</v>
      </c>
      <c r="F110">
        <f t="shared" si="5"/>
        <v>4.6834080163948903E-2</v>
      </c>
      <c r="I110">
        <v>3.9489169999999997E-2</v>
      </c>
    </row>
    <row r="111" spans="1:9" x14ac:dyDescent="0.45">
      <c r="A111" t="s">
        <v>88</v>
      </c>
      <c r="B111">
        <v>2.9185969999999999E-2</v>
      </c>
      <c r="C111">
        <v>0.32816600000000001</v>
      </c>
      <c r="D111">
        <f t="shared" si="3"/>
        <v>0.29898003000000001</v>
      </c>
      <c r="E111">
        <f t="shared" si="4"/>
        <v>0.29898003000000001</v>
      </c>
      <c r="F111">
        <f t="shared" si="5"/>
        <v>8.9389058338800911E-2</v>
      </c>
      <c r="I111">
        <v>2.9185969999999999E-2</v>
      </c>
    </row>
    <row r="112" spans="1:9" x14ac:dyDescent="0.45">
      <c r="A112" t="s">
        <v>89</v>
      </c>
      <c r="B112">
        <v>4.3535400000000002E-2</v>
      </c>
      <c r="C112">
        <v>0.27955400000000002</v>
      </c>
      <c r="D112">
        <f t="shared" si="3"/>
        <v>0.23601860000000002</v>
      </c>
      <c r="E112">
        <f t="shared" si="4"/>
        <v>0.23601860000000002</v>
      </c>
      <c r="F112">
        <f t="shared" si="5"/>
        <v>5.5704779545960009E-2</v>
      </c>
      <c r="I112">
        <v>4.3535400000000002E-2</v>
      </c>
    </row>
    <row r="113" spans="1:9" x14ac:dyDescent="0.45">
      <c r="A113" t="s">
        <v>90</v>
      </c>
      <c r="B113">
        <v>0.26148962999999997</v>
      </c>
      <c r="C113">
        <v>0.33062999999999998</v>
      </c>
      <c r="D113">
        <f t="shared" si="3"/>
        <v>6.9140370000000007E-2</v>
      </c>
      <c r="E113">
        <f t="shared" si="4"/>
        <v>6.9140370000000007E-2</v>
      </c>
      <c r="F113">
        <f t="shared" si="5"/>
        <v>4.7803907637369008E-3</v>
      </c>
      <c r="I113">
        <v>0.26148962999999997</v>
      </c>
    </row>
    <row r="114" spans="1:9" x14ac:dyDescent="0.45">
      <c r="A114" t="s">
        <v>91</v>
      </c>
      <c r="B114">
        <v>0.23719971000000001</v>
      </c>
      <c r="C114">
        <v>0.29377300000000001</v>
      </c>
      <c r="D114">
        <f t="shared" si="3"/>
        <v>5.6573289999999998E-2</v>
      </c>
      <c r="E114">
        <f t="shared" si="4"/>
        <v>5.6573289999999998E-2</v>
      </c>
      <c r="F114">
        <f t="shared" si="5"/>
        <v>3.2005371414240997E-3</v>
      </c>
      <c r="I114">
        <v>0.23719971000000001</v>
      </c>
    </row>
    <row r="115" spans="1:9" x14ac:dyDescent="0.45">
      <c r="A115" t="s">
        <v>92</v>
      </c>
      <c r="B115">
        <v>0.22001670000000001</v>
      </c>
      <c r="C115">
        <v>0.31828299999999998</v>
      </c>
      <c r="D115">
        <f t="shared" si="3"/>
        <v>9.8266299999999973E-2</v>
      </c>
      <c r="E115">
        <f t="shared" si="4"/>
        <v>9.8266299999999973E-2</v>
      </c>
      <c r="F115">
        <f t="shared" si="5"/>
        <v>9.6562657156899941E-3</v>
      </c>
      <c r="I115">
        <v>0.22001670000000001</v>
      </c>
    </row>
    <row r="116" spans="1:9" x14ac:dyDescent="0.45">
      <c r="A116" t="s">
        <v>93</v>
      </c>
      <c r="B116">
        <v>0.22125898999999999</v>
      </c>
      <c r="C116">
        <v>0.32652599999999998</v>
      </c>
      <c r="D116">
        <f t="shared" si="3"/>
        <v>0.10526700999999999</v>
      </c>
      <c r="E116">
        <f t="shared" si="4"/>
        <v>0.10526700999999999</v>
      </c>
      <c r="F116">
        <f t="shared" si="5"/>
        <v>1.1081143394340099E-2</v>
      </c>
      <c r="I116">
        <v>0.22125898999999999</v>
      </c>
    </row>
    <row r="117" spans="1:9" x14ac:dyDescent="0.45">
      <c r="A117" t="s">
        <v>94</v>
      </c>
      <c r="B117">
        <v>0.21302821</v>
      </c>
      <c r="C117">
        <v>0.26606400000000002</v>
      </c>
      <c r="D117">
        <f t="shared" si="3"/>
        <v>5.3035790000000027E-2</v>
      </c>
      <c r="E117">
        <f t="shared" si="4"/>
        <v>5.3035790000000027E-2</v>
      </c>
      <c r="F117">
        <f t="shared" si="5"/>
        <v>2.812795020924103E-3</v>
      </c>
      <c r="I117">
        <v>0.21302821</v>
      </c>
    </row>
    <row r="118" spans="1:9" x14ac:dyDescent="0.45">
      <c r="A118" t="s">
        <v>95</v>
      </c>
      <c r="B118">
        <v>0.26972974999999999</v>
      </c>
      <c r="C118">
        <v>0.32818399999999998</v>
      </c>
      <c r="D118">
        <f t="shared" si="3"/>
        <v>5.8454249999999985E-2</v>
      </c>
      <c r="E118">
        <f t="shared" si="4"/>
        <v>5.8454249999999985E-2</v>
      </c>
      <c r="F118">
        <f t="shared" si="5"/>
        <v>3.4168993430624983E-3</v>
      </c>
      <c r="I118">
        <v>0.26972974999999999</v>
      </c>
    </row>
    <row r="119" spans="1:9" x14ac:dyDescent="0.45">
      <c r="A119" t="s">
        <v>96</v>
      </c>
      <c r="B119">
        <v>0.26305910999999998</v>
      </c>
      <c r="C119">
        <v>0.29581800000000003</v>
      </c>
      <c r="D119">
        <f t="shared" si="3"/>
        <v>3.275889000000004E-2</v>
      </c>
      <c r="E119">
        <f t="shared" si="4"/>
        <v>3.275889000000004E-2</v>
      </c>
      <c r="F119">
        <f t="shared" si="5"/>
        <v>1.0731448740321026E-3</v>
      </c>
      <c r="I119">
        <v>0.26305910999999998</v>
      </c>
    </row>
    <row r="120" spans="1:9" x14ac:dyDescent="0.45">
      <c r="A120" t="s">
        <v>97</v>
      </c>
      <c r="B120">
        <v>0.21077267999999999</v>
      </c>
      <c r="C120">
        <v>0.25819599999999998</v>
      </c>
      <c r="D120">
        <f t="shared" si="3"/>
        <v>4.7423319999999991E-2</v>
      </c>
      <c r="E120">
        <f t="shared" si="4"/>
        <v>4.7423319999999991E-2</v>
      </c>
      <c r="F120">
        <f t="shared" si="5"/>
        <v>2.248971279822399E-3</v>
      </c>
      <c r="I120">
        <v>0.21077267999999999</v>
      </c>
    </row>
    <row r="121" spans="1:9" x14ac:dyDescent="0.45">
      <c r="A121" t="s">
        <v>98</v>
      </c>
      <c r="B121">
        <v>9.0636030000000006E-2</v>
      </c>
      <c r="C121">
        <v>0.32240200000000002</v>
      </c>
      <c r="D121">
        <f t="shared" si="3"/>
        <v>0.23176597000000002</v>
      </c>
      <c r="E121">
        <f t="shared" si="4"/>
        <v>0.23176597000000002</v>
      </c>
      <c r="F121">
        <f t="shared" si="5"/>
        <v>5.371546485004091E-2</v>
      </c>
      <c r="I121">
        <v>9.0636030000000006E-2</v>
      </c>
    </row>
    <row r="122" spans="1:9" x14ac:dyDescent="0.45">
      <c r="A122" t="s">
        <v>99</v>
      </c>
      <c r="B122">
        <v>7.7003310000000005E-2</v>
      </c>
      <c r="C122">
        <v>0.31449899999999997</v>
      </c>
      <c r="D122">
        <f t="shared" si="3"/>
        <v>0.23749568999999998</v>
      </c>
      <c r="E122">
        <f t="shared" si="4"/>
        <v>0.23749568999999998</v>
      </c>
      <c r="F122">
        <f t="shared" si="5"/>
        <v>5.6404202768576092E-2</v>
      </c>
      <c r="I122">
        <v>7.7003310000000005E-2</v>
      </c>
    </row>
    <row r="123" spans="1:9" x14ac:dyDescent="0.45">
      <c r="A123" t="s">
        <v>100</v>
      </c>
      <c r="B123">
        <v>0.13781288</v>
      </c>
      <c r="C123">
        <v>0.31225700000000001</v>
      </c>
      <c r="D123">
        <f t="shared" si="3"/>
        <v>0.17444412000000001</v>
      </c>
      <c r="E123">
        <f t="shared" si="4"/>
        <v>0.17444412000000001</v>
      </c>
      <c r="F123">
        <f t="shared" si="5"/>
        <v>3.0430751002574401E-2</v>
      </c>
      <c r="I123">
        <v>0.13781288</v>
      </c>
    </row>
    <row r="124" spans="1:9" x14ac:dyDescent="0.45">
      <c r="A124" t="s">
        <v>101</v>
      </c>
      <c r="B124">
        <v>0.23655488999999999</v>
      </c>
      <c r="C124">
        <v>0.31801099999999999</v>
      </c>
      <c r="D124">
        <f t="shared" si="3"/>
        <v>8.1456109999999998E-2</v>
      </c>
      <c r="E124">
        <f t="shared" si="4"/>
        <v>8.1456109999999998E-2</v>
      </c>
      <c r="F124">
        <f t="shared" si="5"/>
        <v>6.6350978563320994E-3</v>
      </c>
      <c r="I124">
        <v>0.23655488999999999</v>
      </c>
    </row>
    <row r="125" spans="1:9" x14ac:dyDescent="0.45">
      <c r="A125" t="s">
        <v>102</v>
      </c>
      <c r="B125">
        <v>0.11156853999999999</v>
      </c>
      <c r="C125">
        <v>0.32550299999999999</v>
      </c>
      <c r="D125">
        <f t="shared" si="3"/>
        <v>0.21393445999999999</v>
      </c>
      <c r="E125">
        <f t="shared" si="4"/>
        <v>0.21393445999999999</v>
      </c>
      <c r="F125">
        <f t="shared" si="5"/>
        <v>4.5767953175491594E-2</v>
      </c>
      <c r="I125">
        <v>0.11156853999999999</v>
      </c>
    </row>
    <row r="126" spans="1:9" x14ac:dyDescent="0.45">
      <c r="A126" t="s">
        <v>103</v>
      </c>
      <c r="B126">
        <v>0.13976141</v>
      </c>
      <c r="C126">
        <v>0.30182100000000001</v>
      </c>
      <c r="D126">
        <f t="shared" si="3"/>
        <v>0.16205959</v>
      </c>
      <c r="E126">
        <f t="shared" si="4"/>
        <v>0.16205959</v>
      </c>
      <c r="F126">
        <f t="shared" si="5"/>
        <v>2.6263310710968102E-2</v>
      </c>
      <c r="I126">
        <v>0.13976141</v>
      </c>
    </row>
    <row r="127" spans="1:9" x14ac:dyDescent="0.45">
      <c r="A127" t="s">
        <v>104</v>
      </c>
      <c r="B127">
        <v>7.8024720000000006E-2</v>
      </c>
      <c r="C127">
        <v>0.35781499999999999</v>
      </c>
      <c r="D127">
        <f t="shared" si="3"/>
        <v>0.27979028</v>
      </c>
      <c r="E127">
        <f t="shared" si="4"/>
        <v>0.27979028</v>
      </c>
      <c r="F127">
        <f t="shared" si="5"/>
        <v>7.8282600782478395E-2</v>
      </c>
      <c r="I127">
        <v>7.8024720000000006E-2</v>
      </c>
    </row>
    <row r="128" spans="1:9" x14ac:dyDescent="0.45">
      <c r="A128" t="s">
        <v>105</v>
      </c>
      <c r="B128">
        <v>8.3383330000000005E-2</v>
      </c>
      <c r="C128">
        <v>0.28564699999999998</v>
      </c>
      <c r="D128">
        <f t="shared" si="3"/>
        <v>0.20226366999999998</v>
      </c>
      <c r="E128">
        <f t="shared" si="4"/>
        <v>0.20226366999999998</v>
      </c>
      <c r="F128">
        <f t="shared" si="5"/>
        <v>4.0910592201868892E-2</v>
      </c>
      <c r="I128">
        <v>8.3383330000000005E-2</v>
      </c>
    </row>
    <row r="129" spans="1:9" x14ac:dyDescent="0.45">
      <c r="A129" t="s">
        <v>106</v>
      </c>
      <c r="B129">
        <v>9.1937790000000005E-2</v>
      </c>
      <c r="C129">
        <v>0.27456599999999998</v>
      </c>
      <c r="D129">
        <f t="shared" si="3"/>
        <v>0.18262820999999996</v>
      </c>
      <c r="E129">
        <f t="shared" si="4"/>
        <v>0.18262820999999996</v>
      </c>
      <c r="F129">
        <f t="shared" si="5"/>
        <v>3.3353063087804086E-2</v>
      </c>
      <c r="I129">
        <v>9.1937790000000005E-2</v>
      </c>
    </row>
    <row r="130" spans="1:9" x14ac:dyDescent="0.45">
      <c r="A130" t="s">
        <v>141</v>
      </c>
      <c r="B130">
        <v>7.1312280000000006E-2</v>
      </c>
      <c r="C130">
        <v>0.368508</v>
      </c>
      <c r="D130">
        <f t="shared" si="3"/>
        <v>0.29719572</v>
      </c>
      <c r="E130">
        <f t="shared" si="4"/>
        <v>0.29719572</v>
      </c>
      <c r="F130">
        <f t="shared" si="5"/>
        <v>8.83252959863184E-2</v>
      </c>
      <c r="I130">
        <v>7.1312280000000006E-2</v>
      </c>
    </row>
    <row r="131" spans="1:9" x14ac:dyDescent="0.45">
      <c r="A131" t="s">
        <v>142</v>
      </c>
      <c r="B131">
        <v>-2.2869800000000001E-3</v>
      </c>
      <c r="C131">
        <v>0.30172199999999999</v>
      </c>
      <c r="D131">
        <f t="shared" ref="D131:D137" si="6">(C131-B131)</f>
        <v>0.30400897999999998</v>
      </c>
      <c r="E131">
        <f t="shared" ref="E131:E137" si="7">ABS(D131)</f>
        <v>0.30400897999999998</v>
      </c>
      <c r="F131">
        <f t="shared" ref="F131:F137" si="8">E131^2</f>
        <v>9.2421459920640395E-2</v>
      </c>
      <c r="I131">
        <v>-2.2869800000000001E-3</v>
      </c>
    </row>
    <row r="132" spans="1:9" x14ac:dyDescent="0.45">
      <c r="A132" t="s">
        <v>107</v>
      </c>
      <c r="B132">
        <v>1.1815249999999999E-2</v>
      </c>
      <c r="C132">
        <v>0.304147</v>
      </c>
      <c r="D132">
        <f t="shared" si="6"/>
        <v>0.29233175</v>
      </c>
      <c r="E132">
        <f t="shared" si="7"/>
        <v>0.29233175</v>
      </c>
      <c r="F132">
        <f t="shared" si="8"/>
        <v>8.54578520580625E-2</v>
      </c>
      <c r="I132">
        <v>1.1815249999999999E-2</v>
      </c>
    </row>
    <row r="133" spans="1:9" x14ac:dyDescent="0.45">
      <c r="A133" t="s">
        <v>108</v>
      </c>
      <c r="B133">
        <v>2.1892849999999998E-2</v>
      </c>
      <c r="C133">
        <v>0.23975399999999999</v>
      </c>
      <c r="D133">
        <f t="shared" si="6"/>
        <v>0.21786115</v>
      </c>
      <c r="E133">
        <f t="shared" si="7"/>
        <v>0.21786115</v>
      </c>
      <c r="F133">
        <f t="shared" si="8"/>
        <v>4.7463480679322503E-2</v>
      </c>
      <c r="I133">
        <v>2.1892849999999998E-2</v>
      </c>
    </row>
    <row r="134" spans="1:9" x14ac:dyDescent="0.45">
      <c r="A134" t="s">
        <v>109</v>
      </c>
      <c r="B134">
        <v>2.5205000000000002E-2</v>
      </c>
      <c r="C134">
        <v>0.235599</v>
      </c>
      <c r="D134">
        <f t="shared" si="6"/>
        <v>0.210394</v>
      </c>
      <c r="E134">
        <f t="shared" si="7"/>
        <v>0.210394</v>
      </c>
      <c r="F134">
        <f t="shared" si="8"/>
        <v>4.4265635236000002E-2</v>
      </c>
      <c r="I134">
        <v>2.5205000000000002E-2</v>
      </c>
    </row>
    <row r="135" spans="1:9" x14ac:dyDescent="0.45">
      <c r="A135" t="s">
        <v>110</v>
      </c>
      <c r="B135">
        <v>4.3048679999999999E-2</v>
      </c>
      <c r="C135">
        <v>0.27196999999999999</v>
      </c>
      <c r="D135">
        <f t="shared" si="6"/>
        <v>0.22892131999999998</v>
      </c>
      <c r="E135">
        <f t="shared" si="7"/>
        <v>0.22892131999999998</v>
      </c>
      <c r="F135">
        <f t="shared" si="8"/>
        <v>5.2404970750542394E-2</v>
      </c>
      <c r="I135">
        <v>4.3048679999999999E-2</v>
      </c>
    </row>
    <row r="136" spans="1:9" x14ac:dyDescent="0.45">
      <c r="A136" t="s">
        <v>111</v>
      </c>
      <c r="B136">
        <v>2.0768089999999999E-2</v>
      </c>
      <c r="C136">
        <v>0.41547899999999999</v>
      </c>
      <c r="D136">
        <f t="shared" si="6"/>
        <v>0.39471090999999997</v>
      </c>
      <c r="E136">
        <f t="shared" si="7"/>
        <v>0.39471090999999997</v>
      </c>
      <c r="F136">
        <f t="shared" si="8"/>
        <v>0.15579670247302807</v>
      </c>
      <c r="I136">
        <v>2.0768089999999999E-2</v>
      </c>
    </row>
    <row r="137" spans="1:9" x14ac:dyDescent="0.45">
      <c r="A137" t="s">
        <v>112</v>
      </c>
      <c r="B137">
        <v>1.9241879999999999E-2</v>
      </c>
      <c r="C137">
        <v>0.41526200000000002</v>
      </c>
      <c r="D137">
        <f t="shared" si="6"/>
        <v>0.39602012000000003</v>
      </c>
      <c r="E137">
        <f t="shared" si="7"/>
        <v>0.39602012000000003</v>
      </c>
      <c r="F137">
        <f t="shared" si="8"/>
        <v>0.15683193544481441</v>
      </c>
      <c r="I137">
        <v>1.9241879999999999E-2</v>
      </c>
    </row>
    <row r="138" spans="1:9" x14ac:dyDescent="0.45">
      <c r="D138">
        <f>AVERAGE(D2:D137)</f>
        <v>0.21215625411764716</v>
      </c>
      <c r="E138">
        <f>AVERAGE(E2:E137)</f>
        <v>0.22528723323529423</v>
      </c>
      <c r="F138">
        <f>SQRT(AVERAGE(F2:F137))</f>
        <v>0.24885702459672104</v>
      </c>
    </row>
    <row r="139" spans="1:9" x14ac:dyDescent="0.45">
      <c r="B139">
        <f>MIN(B2:B137)</f>
        <v>-1.150294E-2</v>
      </c>
      <c r="C139">
        <f>MIN(C2:C137)</f>
        <v>-0.223132</v>
      </c>
      <c r="I139">
        <f>MIN(I2:I137)</f>
        <v>-1.150294E-2</v>
      </c>
    </row>
    <row r="140" spans="1:9" x14ac:dyDescent="0.45">
      <c r="B140">
        <f>MAX(B2:B137)</f>
        <v>0.38597809999999999</v>
      </c>
      <c r="C140">
        <f>MAX(C2:C137)</f>
        <v>0.55587200000000003</v>
      </c>
      <c r="I140">
        <f>MAX(I2:I137)</f>
        <v>0.38597809999999999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8D06-D739-4C48-86D7-9B90432DAA8B}">
  <dimension ref="A1:AU140"/>
  <sheetViews>
    <sheetView workbookViewId="0">
      <selection activeCell="C1" sqref="C1"/>
    </sheetView>
  </sheetViews>
  <sheetFormatPr defaultRowHeight="14.25" x14ac:dyDescent="0.45"/>
  <cols>
    <col min="12" max="12" width="9.1328125" customWidth="1"/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145</v>
      </c>
      <c r="C1" s="2" t="s">
        <v>146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-0.15303277000000001</v>
      </c>
      <c r="C2">
        <v>-0.18531800000000001</v>
      </c>
      <c r="D2">
        <f>(C2-B2)</f>
        <v>-3.2285229999999998E-2</v>
      </c>
      <c r="E2">
        <f>ABS(D2)</f>
        <v>3.2285229999999998E-2</v>
      </c>
      <c r="F2">
        <f>E2^2</f>
        <v>1.0423360761528998E-3</v>
      </c>
      <c r="G2">
        <f>CORREL(B2:B133,C2:C133)</f>
        <v>0.35368285439095792</v>
      </c>
      <c r="H2">
        <f>G2^2</f>
        <v>0.12509156149013553</v>
      </c>
      <c r="I2">
        <v>-0.15303277000000001</v>
      </c>
    </row>
    <row r="3" spans="1:47" x14ac:dyDescent="0.45">
      <c r="A3" t="s">
        <v>114</v>
      </c>
      <c r="B3">
        <v>-0.14925516</v>
      </c>
      <c r="C3">
        <v>-0.183805</v>
      </c>
      <c r="D3">
        <f t="shared" ref="D3:D66" si="0">(C3-B3)</f>
        <v>-3.4549839999999998E-2</v>
      </c>
      <c r="E3">
        <f t="shared" ref="E3:E66" si="1">ABS(D3)</f>
        <v>3.4549839999999998E-2</v>
      </c>
      <c r="F3">
        <f t="shared" ref="F3:F66" si="2">E3^2</f>
        <v>1.1936914440255999E-3</v>
      </c>
      <c r="I3">
        <v>-0.14925516</v>
      </c>
    </row>
    <row r="4" spans="1:47" x14ac:dyDescent="0.45">
      <c r="A4" t="s">
        <v>115</v>
      </c>
      <c r="B4">
        <v>-0.14392535000000001</v>
      </c>
      <c r="C4">
        <v>-0.17771000000000001</v>
      </c>
      <c r="D4">
        <f t="shared" si="0"/>
        <v>-3.3784649999999999E-2</v>
      </c>
      <c r="E4">
        <f t="shared" si="1"/>
        <v>3.3784649999999999E-2</v>
      </c>
      <c r="F4">
        <f t="shared" si="2"/>
        <v>1.1414025756224999E-3</v>
      </c>
      <c r="I4">
        <v>-0.14392535000000001</v>
      </c>
    </row>
    <row r="5" spans="1:47" x14ac:dyDescent="0.45">
      <c r="A5" t="s">
        <v>116</v>
      </c>
      <c r="B5">
        <v>-0.12817132000000001</v>
      </c>
      <c r="C5">
        <v>-0.15562999999999999</v>
      </c>
      <c r="D5">
        <f t="shared" si="0"/>
        <v>-2.7458679999999985E-2</v>
      </c>
      <c r="E5">
        <f t="shared" si="1"/>
        <v>2.7458679999999985E-2</v>
      </c>
      <c r="F5">
        <f t="shared" si="2"/>
        <v>7.5397910734239918E-4</v>
      </c>
      <c r="I5">
        <v>-0.12817132000000001</v>
      </c>
    </row>
    <row r="6" spans="1:47" x14ac:dyDescent="0.45">
      <c r="A6" t="s">
        <v>117</v>
      </c>
      <c r="B6">
        <v>-0.15144479</v>
      </c>
      <c r="C6">
        <v>-0.22187599999999999</v>
      </c>
      <c r="D6">
        <f t="shared" si="0"/>
        <v>-7.0431209999999994E-2</v>
      </c>
      <c r="E6">
        <f t="shared" si="1"/>
        <v>7.0431209999999994E-2</v>
      </c>
      <c r="F6">
        <f t="shared" si="2"/>
        <v>4.9605553420640994E-3</v>
      </c>
      <c r="I6">
        <v>-0.15144479</v>
      </c>
    </row>
    <row r="7" spans="1:47" x14ac:dyDescent="0.45">
      <c r="A7" t="s">
        <v>118</v>
      </c>
      <c r="B7">
        <v>-0.13177477000000001</v>
      </c>
      <c r="C7">
        <v>-0.16592899999999999</v>
      </c>
      <c r="D7">
        <f t="shared" si="0"/>
        <v>-3.415422999999998E-2</v>
      </c>
      <c r="E7">
        <f t="shared" si="1"/>
        <v>3.415422999999998E-2</v>
      </c>
      <c r="F7">
        <f t="shared" si="2"/>
        <v>1.1665114268928987E-3</v>
      </c>
      <c r="I7">
        <v>-0.13177477000000001</v>
      </c>
    </row>
    <row r="8" spans="1:47" x14ac:dyDescent="0.45">
      <c r="A8" t="s">
        <v>7</v>
      </c>
      <c r="B8">
        <v>-0.13805779000000001</v>
      </c>
      <c r="C8">
        <v>-0.17599100000000001</v>
      </c>
      <c r="D8">
        <f t="shared" si="0"/>
        <v>-3.7933209999999995E-2</v>
      </c>
      <c r="E8">
        <f t="shared" si="1"/>
        <v>3.7933209999999995E-2</v>
      </c>
      <c r="F8">
        <f t="shared" si="2"/>
        <v>1.4389284209040997E-3</v>
      </c>
      <c r="I8">
        <v>-0.13805779000000001</v>
      </c>
    </row>
    <row r="9" spans="1:47" x14ac:dyDescent="0.45">
      <c r="A9" t="s">
        <v>8</v>
      </c>
      <c r="B9">
        <v>-0.14269243000000001</v>
      </c>
      <c r="C9">
        <v>-0.17554400000000001</v>
      </c>
      <c r="D9">
        <f t="shared" si="0"/>
        <v>-3.2851569999999997E-2</v>
      </c>
      <c r="E9">
        <f t="shared" si="1"/>
        <v>3.2851569999999997E-2</v>
      </c>
      <c r="F9">
        <f t="shared" si="2"/>
        <v>1.0792256514648999E-3</v>
      </c>
      <c r="I9">
        <v>-0.14269243000000001</v>
      </c>
    </row>
    <row r="10" spans="1:47" x14ac:dyDescent="0.45">
      <c r="A10" t="s">
        <v>9</v>
      </c>
      <c r="B10">
        <v>-0.15374003999999999</v>
      </c>
      <c r="C10">
        <v>-0.17871100000000001</v>
      </c>
      <c r="D10">
        <f t="shared" si="0"/>
        <v>-2.4970960000000014E-2</v>
      </c>
      <c r="E10">
        <f t="shared" si="1"/>
        <v>2.4970960000000014E-2</v>
      </c>
      <c r="F10">
        <f t="shared" si="2"/>
        <v>6.2354884332160073E-4</v>
      </c>
      <c r="I10">
        <v>-0.15374003999999999</v>
      </c>
    </row>
    <row r="11" spans="1:47" x14ac:dyDescent="0.45">
      <c r="A11" t="s">
        <v>10</v>
      </c>
      <c r="B11">
        <v>-0.14456770999999999</v>
      </c>
      <c r="C11">
        <v>-0.16537199999999999</v>
      </c>
      <c r="D11">
        <f t="shared" si="0"/>
        <v>-2.0804290000000003E-2</v>
      </c>
      <c r="E11">
        <f t="shared" si="1"/>
        <v>2.0804290000000003E-2</v>
      </c>
      <c r="F11">
        <f t="shared" si="2"/>
        <v>4.3281848240410013E-4</v>
      </c>
      <c r="I11">
        <v>-0.14456770999999999</v>
      </c>
    </row>
    <row r="12" spans="1:47" x14ac:dyDescent="0.45">
      <c r="A12" t="s">
        <v>11</v>
      </c>
      <c r="B12">
        <v>-0.14926846999999999</v>
      </c>
      <c r="C12">
        <v>-0.17411399999999999</v>
      </c>
      <c r="D12">
        <f t="shared" si="0"/>
        <v>-2.4845530000000005E-2</v>
      </c>
      <c r="E12">
        <f t="shared" si="1"/>
        <v>2.4845530000000005E-2</v>
      </c>
      <c r="F12">
        <f t="shared" si="2"/>
        <v>6.1730036098090022E-4</v>
      </c>
      <c r="I12">
        <v>-0.14926846999999999</v>
      </c>
    </row>
    <row r="13" spans="1:47" x14ac:dyDescent="0.45">
      <c r="A13" t="s">
        <v>12</v>
      </c>
      <c r="B13">
        <v>-0.21330774</v>
      </c>
      <c r="C13">
        <v>-0.21834899999999999</v>
      </c>
      <c r="D13">
        <f t="shared" si="0"/>
        <v>-5.0412599999999919E-3</v>
      </c>
      <c r="E13">
        <f t="shared" si="1"/>
        <v>5.0412599999999919E-3</v>
      </c>
      <c r="F13">
        <f t="shared" si="2"/>
        <v>2.5414302387599919E-5</v>
      </c>
      <c r="I13">
        <v>-0.21330774</v>
      </c>
    </row>
    <row r="14" spans="1:47" x14ac:dyDescent="0.45">
      <c r="A14" t="s">
        <v>13</v>
      </c>
      <c r="B14">
        <v>-0.14728252</v>
      </c>
      <c r="C14">
        <v>-0.17852000000000001</v>
      </c>
      <c r="D14">
        <f t="shared" si="0"/>
        <v>-3.1237480000000012E-2</v>
      </c>
      <c r="E14">
        <f t="shared" si="1"/>
        <v>3.1237480000000012E-2</v>
      </c>
      <c r="F14">
        <f t="shared" si="2"/>
        <v>9.7578015675040073E-4</v>
      </c>
      <c r="I14">
        <v>-0.14728252</v>
      </c>
    </row>
    <row r="15" spans="1:47" x14ac:dyDescent="0.45">
      <c r="A15" t="s">
        <v>119</v>
      </c>
      <c r="B15">
        <v>-0.16032761000000001</v>
      </c>
      <c r="C15">
        <v>-0.14804600000000001</v>
      </c>
      <c r="D15">
        <f t="shared" si="0"/>
        <v>1.2281609999999998E-2</v>
      </c>
      <c r="E15">
        <f t="shared" si="1"/>
        <v>1.2281609999999998E-2</v>
      </c>
      <c r="F15">
        <f t="shared" si="2"/>
        <v>1.5083794419209996E-4</v>
      </c>
      <c r="I15">
        <v>-0.16032761000000001</v>
      </c>
      <c r="AU15" s="1"/>
    </row>
    <row r="16" spans="1:47" x14ac:dyDescent="0.45">
      <c r="A16" t="s">
        <v>14</v>
      </c>
      <c r="B16">
        <v>-0.14293558000000001</v>
      </c>
      <c r="C16">
        <v>-0.16492100000000001</v>
      </c>
      <c r="D16">
        <f t="shared" si="0"/>
        <v>-2.1985420000000006E-2</v>
      </c>
      <c r="E16">
        <f t="shared" si="1"/>
        <v>2.1985420000000006E-2</v>
      </c>
      <c r="F16">
        <f t="shared" si="2"/>
        <v>4.8335869257640023E-4</v>
      </c>
      <c r="I16">
        <v>-0.14293558000000001</v>
      </c>
      <c r="AU16" s="1"/>
    </row>
    <row r="17" spans="1:47" x14ac:dyDescent="0.45">
      <c r="A17" t="s">
        <v>120</v>
      </c>
      <c r="B17">
        <v>-0.17261439000000001</v>
      </c>
      <c r="C17">
        <v>-0.24820700000000001</v>
      </c>
      <c r="D17">
        <f t="shared" si="0"/>
        <v>-7.5592610000000005E-2</v>
      </c>
      <c r="E17">
        <f t="shared" si="1"/>
        <v>7.5592610000000005E-2</v>
      </c>
      <c r="F17">
        <f t="shared" si="2"/>
        <v>5.714242686612101E-3</v>
      </c>
      <c r="I17">
        <v>-0.17261439000000001</v>
      </c>
      <c r="AU17" s="1"/>
    </row>
    <row r="18" spans="1:47" x14ac:dyDescent="0.45">
      <c r="A18" t="s">
        <v>121</v>
      </c>
      <c r="B18">
        <v>-0.15498766</v>
      </c>
      <c r="C18">
        <v>-0.170263</v>
      </c>
      <c r="D18">
        <f t="shared" si="0"/>
        <v>-1.5275339999999998E-2</v>
      </c>
      <c r="E18">
        <f t="shared" si="1"/>
        <v>1.5275339999999998E-2</v>
      </c>
      <c r="F18">
        <f t="shared" si="2"/>
        <v>2.3333601211559995E-4</v>
      </c>
      <c r="I18">
        <v>-0.15498766</v>
      </c>
      <c r="AU18" s="1"/>
    </row>
    <row r="19" spans="1:47" x14ac:dyDescent="0.45">
      <c r="A19" t="s">
        <v>122</v>
      </c>
      <c r="B19">
        <v>-0.16466030000000001</v>
      </c>
      <c r="C19">
        <v>-9.2097999999999999E-2</v>
      </c>
      <c r="D19">
        <f t="shared" si="0"/>
        <v>7.256230000000001E-2</v>
      </c>
      <c r="E19">
        <f t="shared" si="1"/>
        <v>7.256230000000001E-2</v>
      </c>
      <c r="F19">
        <f t="shared" si="2"/>
        <v>5.2652873812900017E-3</v>
      </c>
      <c r="I19">
        <v>-0.16466030000000001</v>
      </c>
      <c r="AU19" s="1"/>
    </row>
    <row r="20" spans="1:47" x14ac:dyDescent="0.45">
      <c r="A20" t="s">
        <v>123</v>
      </c>
      <c r="B20">
        <v>-0.15439517999999999</v>
      </c>
      <c r="C20">
        <v>-0.185195</v>
      </c>
      <c r="D20">
        <f t="shared" si="0"/>
        <v>-3.0799820000000006E-2</v>
      </c>
      <c r="E20">
        <f t="shared" si="1"/>
        <v>3.0799820000000006E-2</v>
      </c>
      <c r="F20">
        <f t="shared" si="2"/>
        <v>9.4862891203240031E-4</v>
      </c>
      <c r="I20">
        <v>-0.15439517999999999</v>
      </c>
    </row>
    <row r="21" spans="1:47" x14ac:dyDescent="0.45">
      <c r="A21" t="s">
        <v>124</v>
      </c>
      <c r="B21">
        <v>-0.15605088</v>
      </c>
      <c r="C21">
        <v>-0.16744100000000001</v>
      </c>
      <c r="D21">
        <f t="shared" si="0"/>
        <v>-1.1390120000000004E-2</v>
      </c>
      <c r="E21">
        <f t="shared" si="1"/>
        <v>1.1390120000000004E-2</v>
      </c>
      <c r="F21">
        <f t="shared" si="2"/>
        <v>1.2973483361440009E-4</v>
      </c>
      <c r="I21">
        <v>-0.15605088</v>
      </c>
    </row>
    <row r="22" spans="1:47" x14ac:dyDescent="0.45">
      <c r="A22" t="s">
        <v>125</v>
      </c>
      <c r="B22">
        <v>-0.16401477</v>
      </c>
      <c r="C22">
        <v>-0.13786000000000001</v>
      </c>
      <c r="D22">
        <f t="shared" si="0"/>
        <v>2.6154769999999994E-2</v>
      </c>
      <c r="E22">
        <f t="shared" si="1"/>
        <v>2.6154769999999994E-2</v>
      </c>
      <c r="F22">
        <f t="shared" si="2"/>
        <v>6.840719937528997E-4</v>
      </c>
      <c r="I22">
        <v>-0.16401477</v>
      </c>
    </row>
    <row r="23" spans="1:47" x14ac:dyDescent="0.45">
      <c r="A23" t="s">
        <v>15</v>
      </c>
      <c r="B23">
        <v>-0.15879712000000001</v>
      </c>
      <c r="C23">
        <v>-0.14512800000000001</v>
      </c>
      <c r="D23">
        <f t="shared" si="0"/>
        <v>1.3669120000000007E-2</v>
      </c>
      <c r="E23">
        <f t="shared" si="1"/>
        <v>1.3669120000000007E-2</v>
      </c>
      <c r="F23">
        <f t="shared" si="2"/>
        <v>1.8684484157440018E-4</v>
      </c>
      <c r="I23">
        <v>-0.15879712000000001</v>
      </c>
    </row>
    <row r="24" spans="1:47" x14ac:dyDescent="0.45">
      <c r="A24" t="s">
        <v>16</v>
      </c>
      <c r="B24">
        <v>-0.12392942999999999</v>
      </c>
      <c r="C24">
        <v>-0.172954</v>
      </c>
      <c r="D24">
        <f t="shared" si="0"/>
        <v>-4.9024570000000003E-2</v>
      </c>
      <c r="E24">
        <f t="shared" si="1"/>
        <v>4.9024570000000003E-2</v>
      </c>
      <c r="F24">
        <f t="shared" si="2"/>
        <v>2.4034084636849005E-3</v>
      </c>
      <c r="I24">
        <v>-0.12392942999999999</v>
      </c>
    </row>
    <row r="25" spans="1:47" x14ac:dyDescent="0.45">
      <c r="A25" t="s">
        <v>17</v>
      </c>
      <c r="B25">
        <v>-0.12356404999999999</v>
      </c>
      <c r="C25">
        <v>-0.17739199999999999</v>
      </c>
      <c r="D25">
        <f t="shared" si="0"/>
        <v>-5.3827949999999999E-2</v>
      </c>
      <c r="E25">
        <f t="shared" si="1"/>
        <v>5.3827949999999999E-2</v>
      </c>
      <c r="F25">
        <f t="shared" si="2"/>
        <v>2.8974482012024999E-3</v>
      </c>
      <c r="I25">
        <v>-0.12356404999999999</v>
      </c>
    </row>
    <row r="26" spans="1:47" x14ac:dyDescent="0.45">
      <c r="A26" t="s">
        <v>18</v>
      </c>
      <c r="B26">
        <v>-0.18881603</v>
      </c>
      <c r="C26">
        <v>-0.30143399999999998</v>
      </c>
      <c r="D26">
        <f t="shared" si="0"/>
        <v>-0.11261796999999998</v>
      </c>
      <c r="E26">
        <f t="shared" si="1"/>
        <v>0.11261796999999998</v>
      </c>
      <c r="F26">
        <f t="shared" si="2"/>
        <v>1.2682807166920896E-2</v>
      </c>
      <c r="I26">
        <v>-0.18881603</v>
      </c>
    </row>
    <row r="27" spans="1:47" x14ac:dyDescent="0.45">
      <c r="A27" t="s">
        <v>19</v>
      </c>
      <c r="B27">
        <v>-0.12329612</v>
      </c>
      <c r="C27">
        <v>-0.184421</v>
      </c>
      <c r="D27">
        <f t="shared" si="0"/>
        <v>-6.1124880000000006E-2</v>
      </c>
      <c r="E27">
        <f t="shared" si="1"/>
        <v>6.1124880000000006E-2</v>
      </c>
      <c r="F27">
        <f t="shared" si="2"/>
        <v>3.7362509550144009E-3</v>
      </c>
      <c r="I27">
        <v>-0.12329612</v>
      </c>
    </row>
    <row r="28" spans="1:47" x14ac:dyDescent="0.45">
      <c r="A28" t="s">
        <v>20</v>
      </c>
      <c r="B28">
        <v>-0.13311614999999999</v>
      </c>
      <c r="C28">
        <v>-0.165265</v>
      </c>
      <c r="D28">
        <f t="shared" si="0"/>
        <v>-3.2148850000000007E-2</v>
      </c>
      <c r="E28">
        <f t="shared" si="1"/>
        <v>3.2148850000000007E-2</v>
      </c>
      <c r="F28">
        <f t="shared" si="2"/>
        <v>1.0335485563225005E-3</v>
      </c>
      <c r="I28">
        <v>-0.13311614999999999</v>
      </c>
    </row>
    <row r="29" spans="1:47" x14ac:dyDescent="0.45">
      <c r="A29" t="s">
        <v>21</v>
      </c>
      <c r="B29">
        <v>-0.12777031</v>
      </c>
      <c r="C29">
        <v>-0.166961</v>
      </c>
      <c r="D29">
        <f t="shared" si="0"/>
        <v>-3.919069E-2</v>
      </c>
      <c r="E29">
        <f t="shared" si="1"/>
        <v>3.919069E-2</v>
      </c>
      <c r="F29">
        <f t="shared" si="2"/>
        <v>1.5359101826761001E-3</v>
      </c>
      <c r="I29">
        <v>-0.12777031</v>
      </c>
    </row>
    <row r="30" spans="1:47" x14ac:dyDescent="0.45">
      <c r="A30" t="s">
        <v>22</v>
      </c>
      <c r="B30">
        <v>-0.13329539000000001</v>
      </c>
      <c r="C30">
        <v>-0.17422499999999999</v>
      </c>
      <c r="D30">
        <f t="shared" si="0"/>
        <v>-4.0929609999999977E-2</v>
      </c>
      <c r="E30">
        <f t="shared" si="1"/>
        <v>4.0929609999999977E-2</v>
      </c>
      <c r="F30">
        <f t="shared" si="2"/>
        <v>1.6752329747520981E-3</v>
      </c>
      <c r="I30">
        <v>-0.13329539000000001</v>
      </c>
    </row>
    <row r="31" spans="1:47" x14ac:dyDescent="0.45">
      <c r="A31" t="s">
        <v>23</v>
      </c>
      <c r="B31">
        <v>-0.19214654</v>
      </c>
      <c r="C31">
        <v>-0.297288</v>
      </c>
      <c r="D31">
        <f t="shared" si="0"/>
        <v>-0.10514145999999999</v>
      </c>
      <c r="E31">
        <f t="shared" si="1"/>
        <v>0.10514145999999999</v>
      </c>
      <c r="F31">
        <f t="shared" si="2"/>
        <v>1.1054726610931598E-2</v>
      </c>
      <c r="I31">
        <v>-0.19214654</v>
      </c>
    </row>
    <row r="32" spans="1:47" x14ac:dyDescent="0.45">
      <c r="A32" t="s">
        <v>24</v>
      </c>
      <c r="B32">
        <v>-0.13326159000000001</v>
      </c>
      <c r="C32">
        <v>-0.15326100000000001</v>
      </c>
      <c r="D32">
        <f t="shared" si="0"/>
        <v>-1.9999409999999995E-2</v>
      </c>
      <c r="E32">
        <f t="shared" si="1"/>
        <v>1.9999409999999995E-2</v>
      </c>
      <c r="F32">
        <f t="shared" si="2"/>
        <v>3.999764003480998E-4</v>
      </c>
      <c r="I32">
        <v>-0.13326159000000001</v>
      </c>
    </row>
    <row r="33" spans="1:9" x14ac:dyDescent="0.45">
      <c r="A33" t="s">
        <v>25</v>
      </c>
      <c r="B33">
        <v>-0.17105235999999999</v>
      </c>
      <c r="C33">
        <v>-0.217805</v>
      </c>
      <c r="D33">
        <f t="shared" si="0"/>
        <v>-4.6752640000000012E-2</v>
      </c>
      <c r="E33">
        <f t="shared" si="1"/>
        <v>4.6752640000000012E-2</v>
      </c>
      <c r="F33">
        <f t="shared" si="2"/>
        <v>2.185809346969601E-3</v>
      </c>
      <c r="I33">
        <v>-0.17105235999999999</v>
      </c>
    </row>
    <row r="34" spans="1:9" x14ac:dyDescent="0.45">
      <c r="A34" t="s">
        <v>26</v>
      </c>
      <c r="B34">
        <v>-0.17519143000000001</v>
      </c>
      <c r="C34">
        <v>-0.15968199999999999</v>
      </c>
      <c r="D34">
        <f t="shared" si="0"/>
        <v>1.5509430000000018E-2</v>
      </c>
      <c r="E34">
        <f t="shared" si="1"/>
        <v>1.5509430000000018E-2</v>
      </c>
      <c r="F34">
        <f t="shared" si="2"/>
        <v>2.4054241892490058E-4</v>
      </c>
      <c r="I34">
        <v>-0.17519143000000001</v>
      </c>
    </row>
    <row r="35" spans="1:9" x14ac:dyDescent="0.45">
      <c r="A35" t="s">
        <v>27</v>
      </c>
      <c r="B35">
        <v>-0.18128342</v>
      </c>
      <c r="C35">
        <v>-0.152501</v>
      </c>
      <c r="D35">
        <f t="shared" si="0"/>
        <v>2.8782420000000003E-2</v>
      </c>
      <c r="E35">
        <f t="shared" si="1"/>
        <v>2.8782420000000003E-2</v>
      </c>
      <c r="F35">
        <f t="shared" si="2"/>
        <v>8.2842770105640018E-4</v>
      </c>
      <c r="I35">
        <v>-0.18128342</v>
      </c>
    </row>
    <row r="36" spans="1:9" x14ac:dyDescent="0.45">
      <c r="A36" t="s">
        <v>28</v>
      </c>
      <c r="B36">
        <v>-0.15985796999999999</v>
      </c>
      <c r="C36">
        <v>-0.12820200000000001</v>
      </c>
      <c r="D36">
        <f t="shared" si="0"/>
        <v>3.1655969999999978E-2</v>
      </c>
      <c r="E36">
        <f t="shared" si="1"/>
        <v>3.1655969999999978E-2</v>
      </c>
      <c r="F36">
        <f t="shared" si="2"/>
        <v>1.0021004366408987E-3</v>
      </c>
      <c r="I36">
        <v>-0.15985796999999999</v>
      </c>
    </row>
    <row r="37" spans="1:9" x14ac:dyDescent="0.45">
      <c r="A37" t="s">
        <v>126</v>
      </c>
      <c r="B37">
        <v>-0.24185387999999999</v>
      </c>
      <c r="C37">
        <v>-0.240924</v>
      </c>
      <c r="D37">
        <f t="shared" si="0"/>
        <v>9.2987999999999404E-4</v>
      </c>
      <c r="E37">
        <f t="shared" si="1"/>
        <v>9.2987999999999404E-4</v>
      </c>
      <c r="F37">
        <f t="shared" si="2"/>
        <v>8.6467681439998888E-7</v>
      </c>
      <c r="I37">
        <v>-0.24185387999999999</v>
      </c>
    </row>
    <row r="38" spans="1:9" x14ac:dyDescent="0.45">
      <c r="A38" t="s">
        <v>29</v>
      </c>
      <c r="B38">
        <v>-0.1739018</v>
      </c>
      <c r="C38">
        <v>-0.156191</v>
      </c>
      <c r="D38">
        <f t="shared" si="0"/>
        <v>1.7710799999999999E-2</v>
      </c>
      <c r="E38">
        <f t="shared" si="1"/>
        <v>1.7710799999999999E-2</v>
      </c>
      <c r="F38">
        <f t="shared" si="2"/>
        <v>3.1367243663999996E-4</v>
      </c>
      <c r="I38">
        <v>-0.1739018</v>
      </c>
    </row>
    <row r="39" spans="1:9" x14ac:dyDescent="0.45">
      <c r="A39" t="s">
        <v>30</v>
      </c>
      <c r="B39">
        <v>-0.18487050999999999</v>
      </c>
      <c r="C39">
        <v>-0.14679</v>
      </c>
      <c r="D39">
        <f t="shared" si="0"/>
        <v>3.8080509999999984E-2</v>
      </c>
      <c r="E39">
        <f t="shared" si="1"/>
        <v>3.8080509999999984E-2</v>
      </c>
      <c r="F39">
        <f t="shared" si="2"/>
        <v>1.4501252418600988E-3</v>
      </c>
      <c r="I39">
        <v>-0.18487050999999999</v>
      </c>
    </row>
    <row r="40" spans="1:9" x14ac:dyDescent="0.45">
      <c r="A40" t="s">
        <v>31</v>
      </c>
      <c r="B40">
        <v>-0.15422063999999999</v>
      </c>
      <c r="C40">
        <v>-0.152782</v>
      </c>
      <c r="D40">
        <f t="shared" si="0"/>
        <v>1.438639999999991E-3</v>
      </c>
      <c r="E40">
        <f t="shared" si="1"/>
        <v>1.438639999999991E-3</v>
      </c>
      <c r="F40">
        <f t="shared" si="2"/>
        <v>2.0696850495999743E-6</v>
      </c>
      <c r="I40">
        <v>-0.15422063999999999</v>
      </c>
    </row>
    <row r="41" spans="1:9" x14ac:dyDescent="0.45">
      <c r="A41" t="s">
        <v>127</v>
      </c>
      <c r="B41">
        <v>-0.12812129</v>
      </c>
      <c r="C41">
        <v>-0.176013</v>
      </c>
      <c r="D41">
        <f t="shared" si="0"/>
        <v>-4.7891710000000004E-2</v>
      </c>
      <c r="E41">
        <f t="shared" si="1"/>
        <v>4.7891710000000004E-2</v>
      </c>
      <c r="F41">
        <f t="shared" si="2"/>
        <v>2.2936158867241005E-3</v>
      </c>
      <c r="I41">
        <v>-0.12812129</v>
      </c>
    </row>
    <row r="42" spans="1:9" x14ac:dyDescent="0.45">
      <c r="A42" t="s">
        <v>128</v>
      </c>
      <c r="B42">
        <v>-0.14687086999999999</v>
      </c>
      <c r="C42">
        <v>-0.195801</v>
      </c>
      <c r="D42">
        <f t="shared" si="0"/>
        <v>-4.8930130000000016E-2</v>
      </c>
      <c r="E42">
        <f t="shared" si="1"/>
        <v>4.8930130000000016E-2</v>
      </c>
      <c r="F42">
        <f t="shared" si="2"/>
        <v>2.3941576218169014E-3</v>
      </c>
      <c r="I42">
        <v>-0.14687086999999999</v>
      </c>
    </row>
    <row r="43" spans="1:9" x14ac:dyDescent="0.45">
      <c r="A43" t="s">
        <v>32</v>
      </c>
      <c r="B43">
        <v>-0.15856142000000001</v>
      </c>
      <c r="C43">
        <v>-0.17526800000000001</v>
      </c>
      <c r="D43">
        <f t="shared" si="0"/>
        <v>-1.6706579999999999E-2</v>
      </c>
      <c r="E43">
        <f t="shared" si="1"/>
        <v>1.6706579999999999E-2</v>
      </c>
      <c r="F43">
        <f t="shared" si="2"/>
        <v>2.7910981529639993E-4</v>
      </c>
      <c r="I43">
        <v>-0.15856142000000001</v>
      </c>
    </row>
    <row r="44" spans="1:9" x14ac:dyDescent="0.45">
      <c r="A44" t="s">
        <v>33</v>
      </c>
      <c r="B44">
        <v>-0.15832213000000001</v>
      </c>
      <c r="C44">
        <v>-0.147978</v>
      </c>
      <c r="D44">
        <f t="shared" si="0"/>
        <v>1.0344130000000007E-2</v>
      </c>
      <c r="E44">
        <f t="shared" si="1"/>
        <v>1.0344130000000007E-2</v>
      </c>
      <c r="F44">
        <f t="shared" si="2"/>
        <v>1.0700102545690014E-4</v>
      </c>
      <c r="I44">
        <v>-0.15832213000000001</v>
      </c>
    </row>
    <row r="45" spans="1:9" x14ac:dyDescent="0.45">
      <c r="A45" t="s">
        <v>34</v>
      </c>
      <c r="B45">
        <v>-0.14582795000000001</v>
      </c>
      <c r="C45">
        <v>-0.17261099999999999</v>
      </c>
      <c r="D45">
        <f t="shared" si="0"/>
        <v>-2.6783049999999975E-2</v>
      </c>
      <c r="E45">
        <f t="shared" si="1"/>
        <v>2.6783049999999975E-2</v>
      </c>
      <c r="F45">
        <f t="shared" si="2"/>
        <v>7.1733176730249865E-4</v>
      </c>
      <c r="I45">
        <v>-0.14582795000000001</v>
      </c>
    </row>
    <row r="46" spans="1:9" x14ac:dyDescent="0.45">
      <c r="A46" t="s">
        <v>35</v>
      </c>
      <c r="B46">
        <v>-0.14748305</v>
      </c>
      <c r="C46">
        <v>-0.167265</v>
      </c>
      <c r="D46">
        <f t="shared" si="0"/>
        <v>-1.9781949999999993E-2</v>
      </c>
      <c r="E46">
        <f t="shared" si="1"/>
        <v>1.9781949999999993E-2</v>
      </c>
      <c r="F46">
        <f t="shared" si="2"/>
        <v>3.913255458024997E-4</v>
      </c>
      <c r="I46">
        <v>-0.14748305</v>
      </c>
    </row>
    <row r="47" spans="1:9" x14ac:dyDescent="0.45">
      <c r="A47" t="s">
        <v>36</v>
      </c>
      <c r="B47">
        <v>-0.15160535999999999</v>
      </c>
      <c r="C47">
        <v>-0.14937800000000001</v>
      </c>
      <c r="D47">
        <f t="shared" si="0"/>
        <v>2.2273599999999838E-3</v>
      </c>
      <c r="E47">
        <f t="shared" si="1"/>
        <v>2.2273599999999838E-3</v>
      </c>
      <c r="F47">
        <f t="shared" si="2"/>
        <v>4.9611325695999277E-6</v>
      </c>
      <c r="I47">
        <v>-0.15160535999999999</v>
      </c>
    </row>
    <row r="48" spans="1:9" x14ac:dyDescent="0.45">
      <c r="A48" t="s">
        <v>37</v>
      </c>
      <c r="B48">
        <v>-0.15255271000000001</v>
      </c>
      <c r="C48">
        <v>-0.16173999999999999</v>
      </c>
      <c r="D48">
        <f t="shared" si="0"/>
        <v>-9.1872899999999869E-3</v>
      </c>
      <c r="E48">
        <f t="shared" si="1"/>
        <v>9.1872899999999869E-3</v>
      </c>
      <c r="F48">
        <f t="shared" si="2"/>
        <v>8.4406297544099756E-5</v>
      </c>
      <c r="I48">
        <v>-0.15255271000000001</v>
      </c>
    </row>
    <row r="49" spans="1:9" x14ac:dyDescent="0.45">
      <c r="A49" t="s">
        <v>38</v>
      </c>
      <c r="B49">
        <v>-0.15573848000000001</v>
      </c>
      <c r="C49">
        <v>-0.16203500000000001</v>
      </c>
      <c r="D49">
        <f t="shared" si="0"/>
        <v>-6.2965199999999999E-3</v>
      </c>
      <c r="E49">
        <f t="shared" si="1"/>
        <v>6.2965199999999999E-3</v>
      </c>
      <c r="F49">
        <f t="shared" si="2"/>
        <v>3.9646164110399999E-5</v>
      </c>
      <c r="I49">
        <v>-0.15573848000000001</v>
      </c>
    </row>
    <row r="50" spans="1:9" x14ac:dyDescent="0.45">
      <c r="A50" t="s">
        <v>39</v>
      </c>
      <c r="B50">
        <v>-0.15205119</v>
      </c>
      <c r="C50">
        <v>-0.15684899999999999</v>
      </c>
      <c r="D50">
        <f t="shared" si="0"/>
        <v>-4.7978099999999857E-3</v>
      </c>
      <c r="E50">
        <f t="shared" si="1"/>
        <v>4.7978099999999857E-3</v>
      </c>
      <c r="F50">
        <f t="shared" si="2"/>
        <v>2.3018980796099863E-5</v>
      </c>
      <c r="I50">
        <v>-0.15205119</v>
      </c>
    </row>
    <row r="51" spans="1:9" x14ac:dyDescent="0.45">
      <c r="A51" t="s">
        <v>40</v>
      </c>
      <c r="B51">
        <v>-0.16041751000000001</v>
      </c>
      <c r="C51">
        <v>-0.15784100000000001</v>
      </c>
      <c r="D51">
        <f t="shared" si="0"/>
        <v>2.5765100000000041E-3</v>
      </c>
      <c r="E51">
        <f t="shared" si="1"/>
        <v>2.5765100000000041E-3</v>
      </c>
      <c r="F51">
        <f t="shared" si="2"/>
        <v>6.6384037801000206E-6</v>
      </c>
      <c r="I51">
        <v>-0.16041751000000001</v>
      </c>
    </row>
    <row r="52" spans="1:9" x14ac:dyDescent="0.45">
      <c r="A52" t="s">
        <v>41</v>
      </c>
      <c r="B52">
        <v>-0.15919437</v>
      </c>
      <c r="C52">
        <v>-0.15773100000000001</v>
      </c>
      <c r="D52">
        <f t="shared" si="0"/>
        <v>1.4633699999999916E-3</v>
      </c>
      <c r="E52">
        <f t="shared" si="1"/>
        <v>1.4633699999999916E-3</v>
      </c>
      <c r="F52">
        <f t="shared" si="2"/>
        <v>2.1414517568999755E-6</v>
      </c>
      <c r="I52">
        <v>-0.15919437</v>
      </c>
    </row>
    <row r="53" spans="1:9" x14ac:dyDescent="0.45">
      <c r="A53" t="s">
        <v>42</v>
      </c>
      <c r="B53">
        <v>-0.15026112</v>
      </c>
      <c r="C53">
        <v>-0.15125</v>
      </c>
      <c r="D53">
        <f t="shared" si="0"/>
        <v>-9.8887999999999754E-4</v>
      </c>
      <c r="E53">
        <f t="shared" si="1"/>
        <v>9.8887999999999754E-4</v>
      </c>
      <c r="F53">
        <f t="shared" si="2"/>
        <v>9.778836543999952E-7</v>
      </c>
      <c r="I53">
        <v>-0.15026112</v>
      </c>
    </row>
    <row r="54" spans="1:9" x14ac:dyDescent="0.45">
      <c r="A54" t="s">
        <v>43</v>
      </c>
      <c r="B54">
        <v>-0.15500257000000001</v>
      </c>
      <c r="C54">
        <v>-0.15328</v>
      </c>
      <c r="D54">
        <f t="shared" si="0"/>
        <v>1.7225700000000066E-3</v>
      </c>
      <c r="E54">
        <f t="shared" si="1"/>
        <v>1.7225700000000066E-3</v>
      </c>
      <c r="F54">
        <f t="shared" si="2"/>
        <v>2.9672474049000226E-6</v>
      </c>
      <c r="I54">
        <v>-0.15500257000000001</v>
      </c>
    </row>
    <row r="55" spans="1:9" x14ac:dyDescent="0.45">
      <c r="A55" t="s">
        <v>44</v>
      </c>
      <c r="B55">
        <v>-0.14449666999999999</v>
      </c>
      <c r="C55">
        <v>-0.16215199999999999</v>
      </c>
      <c r="D55">
        <f t="shared" si="0"/>
        <v>-1.7655329999999997E-2</v>
      </c>
      <c r="E55">
        <f t="shared" si="1"/>
        <v>1.7655329999999997E-2</v>
      </c>
      <c r="F55">
        <f t="shared" si="2"/>
        <v>3.117106774088999E-4</v>
      </c>
      <c r="I55">
        <v>-0.14449666999999999</v>
      </c>
    </row>
    <row r="56" spans="1:9" x14ac:dyDescent="0.45">
      <c r="A56" t="s">
        <v>45</v>
      </c>
      <c r="B56">
        <v>-0.15029200000000001</v>
      </c>
      <c r="C56">
        <v>-0.144845</v>
      </c>
      <c r="D56">
        <f t="shared" si="0"/>
        <v>5.4470000000000074E-3</v>
      </c>
      <c r="E56">
        <f t="shared" si="1"/>
        <v>5.4470000000000074E-3</v>
      </c>
      <c r="F56">
        <f t="shared" si="2"/>
        <v>2.9669809000000081E-5</v>
      </c>
      <c r="I56">
        <v>-0.15029200000000001</v>
      </c>
    </row>
    <row r="57" spans="1:9" x14ac:dyDescent="0.45">
      <c r="A57" t="s">
        <v>46</v>
      </c>
      <c r="B57">
        <v>-0.17481989000000001</v>
      </c>
      <c r="C57">
        <v>-0.147813</v>
      </c>
      <c r="D57">
        <f t="shared" si="0"/>
        <v>2.7006890000000006E-2</v>
      </c>
      <c r="E57">
        <f t="shared" si="1"/>
        <v>2.7006890000000006E-2</v>
      </c>
      <c r="F57">
        <f t="shared" si="2"/>
        <v>7.2937210747210028E-4</v>
      </c>
      <c r="I57">
        <v>-0.17481989000000001</v>
      </c>
    </row>
    <row r="58" spans="1:9" x14ac:dyDescent="0.45">
      <c r="A58" t="s">
        <v>47</v>
      </c>
      <c r="B58">
        <v>-0.15524326999999999</v>
      </c>
      <c r="C58">
        <v>-0.15312999999999999</v>
      </c>
      <c r="D58">
        <f t="shared" si="0"/>
        <v>2.1132700000000004E-3</v>
      </c>
      <c r="E58">
        <f t="shared" si="1"/>
        <v>2.1132700000000004E-3</v>
      </c>
      <c r="F58">
        <f t="shared" si="2"/>
        <v>4.4659100929000018E-6</v>
      </c>
      <c r="I58">
        <v>-0.15524326999999999</v>
      </c>
    </row>
    <row r="59" spans="1:9" x14ac:dyDescent="0.45">
      <c r="A59" t="s">
        <v>48</v>
      </c>
      <c r="B59">
        <v>-0.11605687000000001</v>
      </c>
      <c r="C59">
        <v>-0.18984300000000001</v>
      </c>
      <c r="D59">
        <f t="shared" si="0"/>
        <v>-7.3786130000000005E-2</v>
      </c>
      <c r="E59">
        <f t="shared" si="1"/>
        <v>7.3786130000000005E-2</v>
      </c>
      <c r="F59">
        <f t="shared" si="2"/>
        <v>5.4443929803769005E-3</v>
      </c>
      <c r="I59">
        <v>-0.11605687000000001</v>
      </c>
    </row>
    <row r="60" spans="1:9" x14ac:dyDescent="0.45">
      <c r="A60" t="s">
        <v>49</v>
      </c>
      <c r="B60">
        <v>-0.14535184000000001</v>
      </c>
      <c r="C60">
        <v>-0.13172</v>
      </c>
      <c r="D60">
        <f t="shared" si="0"/>
        <v>1.3631840000000006E-2</v>
      </c>
      <c r="E60">
        <f t="shared" si="1"/>
        <v>1.3631840000000006E-2</v>
      </c>
      <c r="F60">
        <f t="shared" si="2"/>
        <v>1.8582706178560016E-4</v>
      </c>
      <c r="I60">
        <v>-0.14535184000000001</v>
      </c>
    </row>
    <row r="61" spans="1:9" x14ac:dyDescent="0.45">
      <c r="A61" t="s">
        <v>50</v>
      </c>
      <c r="B61">
        <v>-0.13606132000000001</v>
      </c>
      <c r="C61">
        <v>-0.12614600000000001</v>
      </c>
      <c r="D61">
        <f t="shared" si="0"/>
        <v>9.9153200000000052E-3</v>
      </c>
      <c r="E61">
        <f t="shared" si="1"/>
        <v>9.9153200000000052E-3</v>
      </c>
      <c r="F61">
        <f t="shared" si="2"/>
        <v>9.8313570702400098E-5</v>
      </c>
      <c r="I61">
        <v>-0.13606132000000001</v>
      </c>
    </row>
    <row r="62" spans="1:9" x14ac:dyDescent="0.45">
      <c r="A62" t="s">
        <v>51</v>
      </c>
      <c r="B62">
        <v>-0.14111573999999999</v>
      </c>
      <c r="C62">
        <v>-0.16064100000000001</v>
      </c>
      <c r="D62">
        <f t="shared" si="0"/>
        <v>-1.9525260000000016E-2</v>
      </c>
      <c r="E62">
        <f t="shared" si="1"/>
        <v>1.9525260000000016E-2</v>
      </c>
      <c r="F62">
        <f t="shared" si="2"/>
        <v>3.8123577806760064E-4</v>
      </c>
      <c r="I62">
        <v>-0.14111573999999999</v>
      </c>
    </row>
    <row r="63" spans="1:9" x14ac:dyDescent="0.45">
      <c r="A63" t="s">
        <v>52</v>
      </c>
      <c r="B63">
        <v>-0.14306229000000001</v>
      </c>
      <c r="C63">
        <v>-0.17082900000000001</v>
      </c>
      <c r="D63">
        <f t="shared" si="0"/>
        <v>-2.776671E-2</v>
      </c>
      <c r="E63">
        <f t="shared" si="1"/>
        <v>2.776671E-2</v>
      </c>
      <c r="F63">
        <f t="shared" si="2"/>
        <v>7.7099018422409999E-4</v>
      </c>
      <c r="I63">
        <v>-0.14306229000000001</v>
      </c>
    </row>
    <row r="64" spans="1:9" x14ac:dyDescent="0.45">
      <c r="A64" t="s">
        <v>53</v>
      </c>
      <c r="B64">
        <v>-0.13262663999999999</v>
      </c>
      <c r="C64">
        <v>-0.17504600000000001</v>
      </c>
      <c r="D64">
        <f t="shared" si="0"/>
        <v>-4.2419360000000017E-2</v>
      </c>
      <c r="E64">
        <f t="shared" si="1"/>
        <v>4.2419360000000017E-2</v>
      </c>
      <c r="F64">
        <f t="shared" si="2"/>
        <v>1.7994021028096014E-3</v>
      </c>
      <c r="I64">
        <v>-0.13262663999999999</v>
      </c>
    </row>
    <row r="65" spans="1:9" x14ac:dyDescent="0.45">
      <c r="A65" t="s">
        <v>129</v>
      </c>
      <c r="B65">
        <v>-0.11924177</v>
      </c>
      <c r="C65">
        <v>-0.17357</v>
      </c>
      <c r="D65">
        <f t="shared" si="0"/>
        <v>-5.4328230000000005E-2</v>
      </c>
      <c r="E65">
        <f t="shared" si="1"/>
        <v>5.4328230000000005E-2</v>
      </c>
      <c r="F65">
        <f t="shared" si="2"/>
        <v>2.9515565749329005E-3</v>
      </c>
      <c r="I65">
        <v>-0.11924177</v>
      </c>
    </row>
    <row r="66" spans="1:9" x14ac:dyDescent="0.45">
      <c r="A66" t="s">
        <v>130</v>
      </c>
      <c r="B66">
        <v>-0.15466885</v>
      </c>
      <c r="C66">
        <v>-0.22222900000000001</v>
      </c>
      <c r="D66">
        <f t="shared" si="0"/>
        <v>-6.7560150000000013E-2</v>
      </c>
      <c r="E66">
        <f t="shared" si="1"/>
        <v>6.7560150000000013E-2</v>
      </c>
      <c r="F66">
        <f t="shared" si="2"/>
        <v>4.564373868022502E-3</v>
      </c>
      <c r="I66">
        <v>-0.15466885</v>
      </c>
    </row>
    <row r="67" spans="1:9" x14ac:dyDescent="0.45">
      <c r="A67" t="s">
        <v>54</v>
      </c>
      <c r="B67">
        <v>-0.15861992</v>
      </c>
      <c r="C67">
        <v>-0.14987700000000001</v>
      </c>
      <c r="D67">
        <f t="shared" ref="D67:D130" si="3">(C67-B67)</f>
        <v>8.7429199999999874E-3</v>
      </c>
      <c r="E67">
        <f t="shared" ref="E67:E130" si="4">ABS(D67)</f>
        <v>8.7429199999999874E-3</v>
      </c>
      <c r="F67">
        <f t="shared" ref="F67:F130" si="5">E67^2</f>
        <v>7.6438650126399779E-5</v>
      </c>
      <c r="I67">
        <v>-0.15861992</v>
      </c>
    </row>
    <row r="68" spans="1:9" x14ac:dyDescent="0.45">
      <c r="A68" t="s">
        <v>55</v>
      </c>
      <c r="B68">
        <v>-0.15523558000000001</v>
      </c>
      <c r="C68">
        <v>-0.15750400000000001</v>
      </c>
      <c r="D68">
        <f t="shared" si="3"/>
        <v>-2.2684199999999932E-3</v>
      </c>
      <c r="E68">
        <f t="shared" si="4"/>
        <v>2.2684199999999932E-3</v>
      </c>
      <c r="F68">
        <f t="shared" si="5"/>
        <v>5.1457292963999691E-6</v>
      </c>
      <c r="I68">
        <v>-0.15523558000000001</v>
      </c>
    </row>
    <row r="69" spans="1:9" x14ac:dyDescent="0.45">
      <c r="A69" t="s">
        <v>56</v>
      </c>
      <c r="B69">
        <v>-0.14768882999999999</v>
      </c>
      <c r="C69">
        <v>-0.18154999999999999</v>
      </c>
      <c r="D69">
        <f t="shared" si="3"/>
        <v>-3.3861169999999996E-2</v>
      </c>
      <c r="E69">
        <f t="shared" si="4"/>
        <v>3.3861169999999996E-2</v>
      </c>
      <c r="F69">
        <f t="shared" si="5"/>
        <v>1.1465788337688997E-3</v>
      </c>
      <c r="I69">
        <v>-0.14768882999999999</v>
      </c>
    </row>
    <row r="70" spans="1:9" x14ac:dyDescent="0.45">
      <c r="A70" t="s">
        <v>57</v>
      </c>
      <c r="B70">
        <v>-0.14931525000000001</v>
      </c>
      <c r="C70">
        <v>-0.15154999999999999</v>
      </c>
      <c r="D70">
        <f t="shared" si="3"/>
        <v>-2.2347499999999798E-3</v>
      </c>
      <c r="E70">
        <f t="shared" si="4"/>
        <v>2.2347499999999798E-3</v>
      </c>
      <c r="F70">
        <f t="shared" si="5"/>
        <v>4.9941075624999098E-6</v>
      </c>
      <c r="I70">
        <v>-0.14931525000000001</v>
      </c>
    </row>
    <row r="71" spans="1:9" x14ac:dyDescent="0.45">
      <c r="A71" t="s">
        <v>58</v>
      </c>
      <c r="B71">
        <v>-0.11845226</v>
      </c>
      <c r="C71">
        <v>-0.18896199999999999</v>
      </c>
      <c r="D71">
        <f t="shared" si="3"/>
        <v>-7.0509739999999987E-2</v>
      </c>
      <c r="E71">
        <f t="shared" si="4"/>
        <v>7.0509739999999987E-2</v>
      </c>
      <c r="F71">
        <f t="shared" si="5"/>
        <v>4.9716234348675982E-3</v>
      </c>
      <c r="I71">
        <v>-0.11845226</v>
      </c>
    </row>
    <row r="72" spans="1:9" x14ac:dyDescent="0.45">
      <c r="A72" t="s">
        <v>131</v>
      </c>
      <c r="B72">
        <v>-0.14932044</v>
      </c>
      <c r="C72">
        <v>-0.189999</v>
      </c>
      <c r="D72">
        <f t="shared" si="3"/>
        <v>-4.0678560000000002E-2</v>
      </c>
      <c r="E72">
        <f t="shared" si="4"/>
        <v>4.0678560000000002E-2</v>
      </c>
      <c r="F72">
        <f t="shared" si="5"/>
        <v>1.6547452436736002E-3</v>
      </c>
      <c r="I72">
        <v>-0.14932044</v>
      </c>
    </row>
    <row r="73" spans="1:9" x14ac:dyDescent="0.45">
      <c r="A73" t="s">
        <v>132</v>
      </c>
      <c r="B73">
        <v>-0.14491651999999999</v>
      </c>
      <c r="C73">
        <v>-0.174484</v>
      </c>
      <c r="D73">
        <f t="shared" si="3"/>
        <v>-2.9567480000000007E-2</v>
      </c>
      <c r="E73">
        <f t="shared" si="4"/>
        <v>2.9567480000000007E-2</v>
      </c>
      <c r="F73">
        <f t="shared" si="5"/>
        <v>8.7423587355040043E-4</v>
      </c>
      <c r="I73">
        <v>-0.14491651999999999</v>
      </c>
    </row>
    <row r="74" spans="1:9" x14ac:dyDescent="0.45">
      <c r="A74" t="s">
        <v>133</v>
      </c>
      <c r="B74">
        <v>-0.14516744000000001</v>
      </c>
      <c r="C74">
        <v>-0.20539499999999999</v>
      </c>
      <c r="D74">
        <f t="shared" si="3"/>
        <v>-6.0227559999999986E-2</v>
      </c>
      <c r="E74">
        <f t="shared" si="4"/>
        <v>6.0227559999999986E-2</v>
      </c>
      <c r="F74">
        <f t="shared" si="5"/>
        <v>3.6273589835535982E-3</v>
      </c>
      <c r="I74">
        <v>-0.14516744000000001</v>
      </c>
    </row>
    <row r="75" spans="1:9" x14ac:dyDescent="0.45">
      <c r="A75" t="s">
        <v>59</v>
      </c>
      <c r="B75">
        <v>-0.14213307</v>
      </c>
      <c r="C75">
        <v>-0.217004</v>
      </c>
      <c r="D75">
        <f t="shared" si="3"/>
        <v>-7.4870930000000002E-2</v>
      </c>
      <c r="E75">
        <f t="shared" si="4"/>
        <v>7.4870930000000002E-2</v>
      </c>
      <c r="F75">
        <f t="shared" si="5"/>
        <v>5.6056561590649007E-3</v>
      </c>
      <c r="I75">
        <v>-0.14213307</v>
      </c>
    </row>
    <row r="76" spans="1:9" x14ac:dyDescent="0.45">
      <c r="A76" t="s">
        <v>60</v>
      </c>
      <c r="B76">
        <v>-0.14006605999999999</v>
      </c>
      <c r="C76">
        <v>-0.183175</v>
      </c>
      <c r="D76">
        <f t="shared" si="3"/>
        <v>-4.3108940000000012E-2</v>
      </c>
      <c r="E76">
        <f t="shared" si="4"/>
        <v>4.3108940000000012E-2</v>
      </c>
      <c r="F76">
        <f t="shared" si="5"/>
        <v>1.858380707923601E-3</v>
      </c>
      <c r="I76">
        <v>-0.14006605999999999</v>
      </c>
    </row>
    <row r="77" spans="1:9" x14ac:dyDescent="0.45">
      <c r="A77" t="s">
        <v>61</v>
      </c>
      <c r="B77">
        <v>-0.13897618</v>
      </c>
      <c r="C77">
        <v>-0.16911599999999999</v>
      </c>
      <c r="D77">
        <f t="shared" si="3"/>
        <v>-3.0139819999999984E-2</v>
      </c>
      <c r="E77">
        <f t="shared" si="4"/>
        <v>3.0139819999999984E-2</v>
      </c>
      <c r="F77">
        <f t="shared" si="5"/>
        <v>9.08408749632399E-4</v>
      </c>
      <c r="I77">
        <v>-0.13897618</v>
      </c>
    </row>
    <row r="78" spans="1:9" x14ac:dyDescent="0.45">
      <c r="A78" t="s">
        <v>62</v>
      </c>
      <c r="B78">
        <v>-0.14934581999999999</v>
      </c>
      <c r="C78">
        <v>-0.18251200000000001</v>
      </c>
      <c r="D78">
        <f t="shared" si="3"/>
        <v>-3.3166180000000017E-2</v>
      </c>
      <c r="E78">
        <f t="shared" si="4"/>
        <v>3.3166180000000017E-2</v>
      </c>
      <c r="F78">
        <f t="shared" si="5"/>
        <v>1.0999954957924012E-3</v>
      </c>
      <c r="I78">
        <v>-0.14934581999999999</v>
      </c>
    </row>
    <row r="79" spans="1:9" x14ac:dyDescent="0.45">
      <c r="A79" t="s">
        <v>63</v>
      </c>
      <c r="B79">
        <v>-0.14903705</v>
      </c>
      <c r="C79">
        <v>-0.18665100000000001</v>
      </c>
      <c r="D79">
        <f t="shared" si="3"/>
        <v>-3.7613950000000007E-2</v>
      </c>
      <c r="E79">
        <f t="shared" si="4"/>
        <v>3.7613950000000007E-2</v>
      </c>
      <c r="F79">
        <f t="shared" si="5"/>
        <v>1.4148092346025006E-3</v>
      </c>
      <c r="I79">
        <v>-0.14903705</v>
      </c>
    </row>
    <row r="80" spans="1:9" x14ac:dyDescent="0.45">
      <c r="A80" t="s">
        <v>64</v>
      </c>
      <c r="B80">
        <v>-0.16416728</v>
      </c>
      <c r="C80">
        <v>-0.16644</v>
      </c>
      <c r="D80">
        <f t="shared" si="3"/>
        <v>-2.2727200000000058E-3</v>
      </c>
      <c r="E80">
        <f t="shared" si="4"/>
        <v>2.2727200000000058E-3</v>
      </c>
      <c r="F80">
        <f t="shared" si="5"/>
        <v>5.1652561984000266E-6</v>
      </c>
      <c r="I80">
        <v>-0.16416728</v>
      </c>
    </row>
    <row r="81" spans="1:9" x14ac:dyDescent="0.45">
      <c r="A81" t="s">
        <v>65</v>
      </c>
      <c r="B81">
        <v>-0.16248982000000001</v>
      </c>
      <c r="C81">
        <v>-0.14946599999999999</v>
      </c>
      <c r="D81">
        <f t="shared" si="3"/>
        <v>1.3023820000000019E-2</v>
      </c>
      <c r="E81">
        <f t="shared" si="4"/>
        <v>1.3023820000000019E-2</v>
      </c>
      <c r="F81">
        <f t="shared" si="5"/>
        <v>1.696198873924005E-4</v>
      </c>
      <c r="I81">
        <v>-0.16248982000000001</v>
      </c>
    </row>
    <row r="82" spans="1:9" x14ac:dyDescent="0.45">
      <c r="A82" t="s">
        <v>66</v>
      </c>
      <c r="B82">
        <v>-0.14840693999999999</v>
      </c>
      <c r="C82">
        <v>-0.15485599999999999</v>
      </c>
      <c r="D82">
        <f t="shared" si="3"/>
        <v>-6.4490600000000065E-3</v>
      </c>
      <c r="E82">
        <f t="shared" si="4"/>
        <v>6.4490600000000065E-3</v>
      </c>
      <c r="F82">
        <f t="shared" si="5"/>
        <v>4.1590374883600081E-5</v>
      </c>
      <c r="I82">
        <v>-0.14840693999999999</v>
      </c>
    </row>
    <row r="83" spans="1:9" x14ac:dyDescent="0.45">
      <c r="A83" t="s">
        <v>67</v>
      </c>
      <c r="B83">
        <v>-0.14280075</v>
      </c>
      <c r="C83">
        <v>-0.163191</v>
      </c>
      <c r="D83">
        <f t="shared" si="3"/>
        <v>-2.0390249999999999E-2</v>
      </c>
      <c r="E83">
        <f t="shared" si="4"/>
        <v>2.0390249999999999E-2</v>
      </c>
      <c r="F83">
        <f t="shared" si="5"/>
        <v>4.1576229506249995E-4</v>
      </c>
      <c r="I83">
        <v>-0.14280075</v>
      </c>
    </row>
    <row r="84" spans="1:9" x14ac:dyDescent="0.45">
      <c r="A84" t="s">
        <v>134</v>
      </c>
      <c r="B84">
        <v>-0.12777888000000001</v>
      </c>
      <c r="C84">
        <v>-0.15735299999999999</v>
      </c>
      <c r="D84">
        <f t="shared" si="3"/>
        <v>-2.9574119999999982E-2</v>
      </c>
      <c r="E84">
        <f t="shared" si="4"/>
        <v>2.9574119999999982E-2</v>
      </c>
      <c r="F84">
        <f t="shared" si="5"/>
        <v>8.7462857377439889E-4</v>
      </c>
      <c r="I84">
        <v>-0.12777888000000001</v>
      </c>
    </row>
    <row r="85" spans="1:9" x14ac:dyDescent="0.45">
      <c r="A85" t="s">
        <v>135</v>
      </c>
      <c r="B85">
        <v>-0.15408595999999999</v>
      </c>
      <c r="C85">
        <v>-0.15489800000000001</v>
      </c>
      <c r="D85">
        <f t="shared" si="3"/>
        <v>-8.1204000000001386E-4</v>
      </c>
      <c r="E85">
        <f t="shared" si="4"/>
        <v>8.1204000000001386E-4</v>
      </c>
      <c r="F85">
        <f t="shared" si="5"/>
        <v>6.5940896160002257E-7</v>
      </c>
      <c r="I85">
        <v>-0.15408595999999999</v>
      </c>
    </row>
    <row r="86" spans="1:9" x14ac:dyDescent="0.45">
      <c r="A86" t="s">
        <v>136</v>
      </c>
      <c r="B86">
        <v>-0.15538594999999999</v>
      </c>
      <c r="C86">
        <v>-0.18086099999999999</v>
      </c>
      <c r="D86">
        <f t="shared" si="3"/>
        <v>-2.5475049999999999E-2</v>
      </c>
      <c r="E86">
        <f t="shared" si="4"/>
        <v>2.5475049999999999E-2</v>
      </c>
      <c r="F86">
        <f t="shared" si="5"/>
        <v>6.4897817250249995E-4</v>
      </c>
      <c r="I86">
        <v>-0.15538594999999999</v>
      </c>
    </row>
    <row r="87" spans="1:9" x14ac:dyDescent="0.45">
      <c r="A87" t="s">
        <v>137</v>
      </c>
      <c r="B87">
        <v>-0.15676989999999999</v>
      </c>
      <c r="C87">
        <v>-0.17457400000000001</v>
      </c>
      <c r="D87">
        <f t="shared" si="3"/>
        <v>-1.7804100000000017E-2</v>
      </c>
      <c r="E87">
        <f t="shared" si="4"/>
        <v>1.7804100000000017E-2</v>
      </c>
      <c r="F87">
        <f t="shared" si="5"/>
        <v>3.169859768100006E-4</v>
      </c>
      <c r="I87">
        <v>-0.15676989999999999</v>
      </c>
    </row>
    <row r="88" spans="1:9" x14ac:dyDescent="0.45">
      <c r="A88" t="s">
        <v>138</v>
      </c>
      <c r="B88">
        <v>-0.16677012999999999</v>
      </c>
      <c r="C88">
        <v>-0.14916099999999999</v>
      </c>
      <c r="D88">
        <f t="shared" si="3"/>
        <v>1.7609130000000001E-2</v>
      </c>
      <c r="E88">
        <f t="shared" si="4"/>
        <v>1.7609130000000001E-2</v>
      </c>
      <c r="F88">
        <f t="shared" si="5"/>
        <v>3.1008145935690004E-4</v>
      </c>
      <c r="I88">
        <v>-0.16677012999999999</v>
      </c>
    </row>
    <row r="89" spans="1:9" x14ac:dyDescent="0.45">
      <c r="A89" t="s">
        <v>68</v>
      </c>
      <c r="B89">
        <v>-0.20383916999999999</v>
      </c>
      <c r="C89">
        <v>-0.23592399999999999</v>
      </c>
      <c r="D89">
        <f t="shared" si="3"/>
        <v>-3.2084830000000009E-2</v>
      </c>
      <c r="E89">
        <f t="shared" si="4"/>
        <v>3.2084830000000009E-2</v>
      </c>
      <c r="F89">
        <f t="shared" si="5"/>
        <v>1.0294363161289005E-3</v>
      </c>
      <c r="I89">
        <v>-0.20383916999999999</v>
      </c>
    </row>
    <row r="90" spans="1:9" x14ac:dyDescent="0.45">
      <c r="A90" t="s">
        <v>69</v>
      </c>
      <c r="B90">
        <v>-0.12327332000000001</v>
      </c>
      <c r="C90">
        <v>-0.18146100000000001</v>
      </c>
      <c r="D90">
        <f t="shared" si="3"/>
        <v>-5.8187680000000006E-2</v>
      </c>
      <c r="E90">
        <f t="shared" si="4"/>
        <v>5.8187680000000006E-2</v>
      </c>
      <c r="F90">
        <f t="shared" si="5"/>
        <v>3.3858061037824005E-3</v>
      </c>
      <c r="I90">
        <v>-0.12327332000000001</v>
      </c>
    </row>
    <row r="91" spans="1:9" x14ac:dyDescent="0.45">
      <c r="A91" t="s">
        <v>70</v>
      </c>
      <c r="B91">
        <v>-0.18633443999999999</v>
      </c>
      <c r="C91">
        <v>-0.30344399999999999</v>
      </c>
      <c r="D91">
        <f t="shared" si="3"/>
        <v>-0.11710956</v>
      </c>
      <c r="E91">
        <f t="shared" si="4"/>
        <v>0.11710956</v>
      </c>
      <c r="F91">
        <f t="shared" si="5"/>
        <v>1.37146490433936E-2</v>
      </c>
      <c r="I91">
        <v>-0.18633443999999999</v>
      </c>
    </row>
    <row r="92" spans="1:9" x14ac:dyDescent="0.45">
      <c r="A92" t="s">
        <v>71</v>
      </c>
      <c r="B92">
        <v>-0.12129876000000001</v>
      </c>
      <c r="C92">
        <v>-0.17746300000000001</v>
      </c>
      <c r="D92">
        <f t="shared" si="3"/>
        <v>-5.6164240000000004E-2</v>
      </c>
      <c r="E92">
        <f t="shared" si="4"/>
        <v>5.6164240000000004E-2</v>
      </c>
      <c r="F92">
        <f t="shared" si="5"/>
        <v>3.1544218547776004E-3</v>
      </c>
      <c r="I92">
        <v>-0.12129876000000001</v>
      </c>
    </row>
    <row r="93" spans="1:9" x14ac:dyDescent="0.45">
      <c r="A93" t="s">
        <v>72</v>
      </c>
      <c r="B93">
        <v>-0.12118036</v>
      </c>
      <c r="C93">
        <v>-0.18488299999999999</v>
      </c>
      <c r="D93">
        <f t="shared" si="3"/>
        <v>-6.3702639999999991E-2</v>
      </c>
      <c r="E93">
        <f t="shared" si="4"/>
        <v>6.3702639999999991E-2</v>
      </c>
      <c r="F93">
        <f t="shared" si="5"/>
        <v>4.0580263429695991E-3</v>
      </c>
      <c r="I93">
        <v>-0.12118036</v>
      </c>
    </row>
    <row r="94" spans="1:9" x14ac:dyDescent="0.45">
      <c r="A94" t="s">
        <v>73</v>
      </c>
      <c r="B94">
        <v>-0.13597664000000001</v>
      </c>
      <c r="C94">
        <v>-0.164793</v>
      </c>
      <c r="D94">
        <f t="shared" si="3"/>
        <v>-2.8816359999999985E-2</v>
      </c>
      <c r="E94">
        <f t="shared" si="4"/>
        <v>2.8816359999999985E-2</v>
      </c>
      <c r="F94">
        <f t="shared" si="5"/>
        <v>8.3038260364959912E-4</v>
      </c>
      <c r="I94">
        <v>-0.13597664000000001</v>
      </c>
    </row>
    <row r="95" spans="1:9" x14ac:dyDescent="0.45">
      <c r="A95" t="s">
        <v>74</v>
      </c>
      <c r="B95">
        <v>-0.13093951000000001</v>
      </c>
      <c r="C95">
        <v>-0.165687</v>
      </c>
      <c r="D95">
        <f t="shared" si="3"/>
        <v>-3.4747489999999992E-2</v>
      </c>
      <c r="E95">
        <f t="shared" si="4"/>
        <v>3.4747489999999992E-2</v>
      </c>
      <c r="F95">
        <f t="shared" si="5"/>
        <v>1.2073880613000995E-3</v>
      </c>
      <c r="I95">
        <v>-0.13093951000000001</v>
      </c>
    </row>
    <row r="96" spans="1:9" x14ac:dyDescent="0.45">
      <c r="A96" t="s">
        <v>75</v>
      </c>
      <c r="B96">
        <v>-0.13551656000000001</v>
      </c>
      <c r="C96">
        <v>-0.17222899999999999</v>
      </c>
      <c r="D96">
        <f t="shared" si="3"/>
        <v>-3.6712439999999985E-2</v>
      </c>
      <c r="E96">
        <f t="shared" si="4"/>
        <v>3.6712439999999985E-2</v>
      </c>
      <c r="F96">
        <f t="shared" si="5"/>
        <v>1.3478032507535989E-3</v>
      </c>
      <c r="I96">
        <v>-0.13551656000000001</v>
      </c>
    </row>
    <row r="97" spans="1:9" x14ac:dyDescent="0.45">
      <c r="A97" t="s">
        <v>76</v>
      </c>
      <c r="B97">
        <v>-0.1239775</v>
      </c>
      <c r="C97">
        <v>-0.16456999999999999</v>
      </c>
      <c r="D97">
        <f t="shared" si="3"/>
        <v>-4.059249999999999E-2</v>
      </c>
      <c r="E97">
        <f t="shared" si="4"/>
        <v>4.059249999999999E-2</v>
      </c>
      <c r="F97">
        <f t="shared" si="5"/>
        <v>1.6477510562499993E-3</v>
      </c>
      <c r="I97">
        <v>-0.1239775</v>
      </c>
    </row>
    <row r="98" spans="1:9" x14ac:dyDescent="0.45">
      <c r="A98" t="s">
        <v>77</v>
      </c>
      <c r="B98">
        <v>-0.13188032</v>
      </c>
      <c r="C98">
        <v>-0.17019000000000001</v>
      </c>
      <c r="D98">
        <f t="shared" si="3"/>
        <v>-3.8309680000000013E-2</v>
      </c>
      <c r="E98">
        <f t="shared" si="4"/>
        <v>3.8309680000000013E-2</v>
      </c>
      <c r="F98">
        <f t="shared" si="5"/>
        <v>1.4676315817024009E-3</v>
      </c>
      <c r="I98">
        <v>-0.13188032</v>
      </c>
    </row>
    <row r="99" spans="1:9" x14ac:dyDescent="0.45">
      <c r="A99" t="s">
        <v>78</v>
      </c>
      <c r="B99">
        <v>-0.18163961000000001</v>
      </c>
      <c r="C99">
        <v>-0.16578100000000001</v>
      </c>
      <c r="D99">
        <f t="shared" si="3"/>
        <v>1.5858609999999995E-2</v>
      </c>
      <c r="E99">
        <f t="shared" si="4"/>
        <v>1.5858609999999995E-2</v>
      </c>
      <c r="F99">
        <f t="shared" si="5"/>
        <v>2.5149551113209982E-4</v>
      </c>
      <c r="I99">
        <v>-0.18163961000000001</v>
      </c>
    </row>
    <row r="100" spans="1:9" x14ac:dyDescent="0.45">
      <c r="A100" t="s">
        <v>79</v>
      </c>
      <c r="B100">
        <v>-0.18163990999999999</v>
      </c>
      <c r="C100">
        <v>-0.16839000000000001</v>
      </c>
      <c r="D100">
        <f t="shared" si="3"/>
        <v>1.3249909999999976E-2</v>
      </c>
      <c r="E100">
        <f t="shared" si="4"/>
        <v>1.3249909999999976E-2</v>
      </c>
      <c r="F100">
        <f t="shared" si="5"/>
        <v>1.7556011500809935E-4</v>
      </c>
      <c r="I100">
        <v>-0.18163990999999999</v>
      </c>
    </row>
    <row r="101" spans="1:9" x14ac:dyDescent="0.45">
      <c r="A101" t="s">
        <v>80</v>
      </c>
      <c r="B101">
        <v>-0.23967759999999999</v>
      </c>
      <c r="C101">
        <v>-0.294769</v>
      </c>
      <c r="D101">
        <f t="shared" si="3"/>
        <v>-5.5091400000000013E-2</v>
      </c>
      <c r="E101">
        <f t="shared" si="4"/>
        <v>5.5091400000000013E-2</v>
      </c>
      <c r="F101">
        <f t="shared" si="5"/>
        <v>3.0350623539600013E-3</v>
      </c>
      <c r="I101">
        <v>-0.23967759999999999</v>
      </c>
    </row>
    <row r="102" spans="1:9" x14ac:dyDescent="0.45">
      <c r="A102" t="s">
        <v>81</v>
      </c>
      <c r="B102">
        <v>-0.16862247</v>
      </c>
      <c r="C102">
        <v>-0.208208</v>
      </c>
      <c r="D102">
        <f t="shared" si="3"/>
        <v>-3.9585530000000008E-2</v>
      </c>
      <c r="E102">
        <f t="shared" si="4"/>
        <v>3.9585530000000008E-2</v>
      </c>
      <c r="F102">
        <f t="shared" si="5"/>
        <v>1.5670141853809006E-3</v>
      </c>
      <c r="I102">
        <v>-0.16862247</v>
      </c>
    </row>
    <row r="103" spans="1:9" x14ac:dyDescent="0.45">
      <c r="A103" t="s">
        <v>82</v>
      </c>
      <c r="B103">
        <v>-0.18309932000000001</v>
      </c>
      <c r="C103">
        <v>-0.14344799999999999</v>
      </c>
      <c r="D103">
        <f t="shared" si="3"/>
        <v>3.9651320000000018E-2</v>
      </c>
      <c r="E103">
        <f t="shared" si="4"/>
        <v>3.9651320000000018E-2</v>
      </c>
      <c r="F103">
        <f t="shared" si="5"/>
        <v>1.5722271777424014E-3</v>
      </c>
      <c r="I103">
        <v>-0.18309932000000001</v>
      </c>
    </row>
    <row r="104" spans="1:9" x14ac:dyDescent="0.45">
      <c r="A104" t="s">
        <v>83</v>
      </c>
      <c r="B104">
        <v>-0.17674857999999999</v>
      </c>
      <c r="C104">
        <v>-0.14042399999999999</v>
      </c>
      <c r="D104">
        <f t="shared" si="3"/>
        <v>3.6324579999999995E-2</v>
      </c>
      <c r="E104">
        <f t="shared" si="4"/>
        <v>3.6324579999999995E-2</v>
      </c>
      <c r="F104">
        <f t="shared" si="5"/>
        <v>1.3194751121763998E-3</v>
      </c>
      <c r="I104">
        <v>-0.17674857999999999</v>
      </c>
    </row>
    <row r="105" spans="1:9" x14ac:dyDescent="0.45">
      <c r="A105" t="s">
        <v>84</v>
      </c>
      <c r="B105">
        <v>-0.15983151000000001</v>
      </c>
      <c r="C105">
        <v>-0.14657000000000001</v>
      </c>
      <c r="D105">
        <f t="shared" si="3"/>
        <v>1.3261510000000004E-2</v>
      </c>
      <c r="E105">
        <f t="shared" si="4"/>
        <v>1.3261510000000004E-2</v>
      </c>
      <c r="F105">
        <f t="shared" si="5"/>
        <v>1.7586764748010012E-4</v>
      </c>
      <c r="I105">
        <v>-0.15983151000000001</v>
      </c>
    </row>
    <row r="106" spans="1:9" x14ac:dyDescent="0.45">
      <c r="A106" t="s">
        <v>139</v>
      </c>
      <c r="B106">
        <v>-0.12737572999999999</v>
      </c>
      <c r="C106">
        <v>-0.182085</v>
      </c>
      <c r="D106">
        <f t="shared" si="3"/>
        <v>-5.4709270000000004E-2</v>
      </c>
      <c r="E106">
        <f t="shared" si="4"/>
        <v>5.4709270000000004E-2</v>
      </c>
      <c r="F106">
        <f t="shared" si="5"/>
        <v>2.9931042239329003E-3</v>
      </c>
      <c r="I106">
        <v>-0.12737572999999999</v>
      </c>
    </row>
    <row r="107" spans="1:9" x14ac:dyDescent="0.45">
      <c r="A107" t="s">
        <v>140</v>
      </c>
      <c r="B107">
        <v>-0.14669054000000001</v>
      </c>
      <c r="C107">
        <v>-0.20182900000000001</v>
      </c>
      <c r="D107">
        <f t="shared" si="3"/>
        <v>-5.513846E-2</v>
      </c>
      <c r="E107">
        <f t="shared" si="4"/>
        <v>5.513846E-2</v>
      </c>
      <c r="F107">
        <f t="shared" si="5"/>
        <v>3.0402497711716002E-3</v>
      </c>
      <c r="I107">
        <v>-0.14669054000000001</v>
      </c>
    </row>
    <row r="108" spans="1:9" x14ac:dyDescent="0.45">
      <c r="A108" t="s">
        <v>85</v>
      </c>
      <c r="B108">
        <v>-0.15576409999999999</v>
      </c>
      <c r="C108">
        <v>-0.13063</v>
      </c>
      <c r="D108">
        <f t="shared" si="3"/>
        <v>2.5134099999999993E-2</v>
      </c>
      <c r="E108">
        <f t="shared" si="4"/>
        <v>2.5134099999999993E-2</v>
      </c>
      <c r="F108">
        <f t="shared" si="5"/>
        <v>6.3172298280999965E-4</v>
      </c>
      <c r="I108">
        <v>-0.15576409999999999</v>
      </c>
    </row>
    <row r="109" spans="1:9" x14ac:dyDescent="0.45">
      <c r="A109" t="s">
        <v>86</v>
      </c>
      <c r="B109">
        <v>-0.15479622000000001</v>
      </c>
      <c r="C109">
        <v>-0.13953699999999999</v>
      </c>
      <c r="D109">
        <f t="shared" si="3"/>
        <v>1.5259220000000018E-2</v>
      </c>
      <c r="E109">
        <f t="shared" si="4"/>
        <v>1.5259220000000018E-2</v>
      </c>
      <c r="F109">
        <f t="shared" si="5"/>
        <v>2.3284379500840055E-4</v>
      </c>
      <c r="I109">
        <v>-0.15479622000000001</v>
      </c>
    </row>
    <row r="110" spans="1:9" x14ac:dyDescent="0.45">
      <c r="A110" t="s">
        <v>87</v>
      </c>
      <c r="B110">
        <v>-0.16007979</v>
      </c>
      <c r="C110">
        <v>-0.14912400000000001</v>
      </c>
      <c r="D110">
        <f t="shared" si="3"/>
        <v>1.0955789999999993E-2</v>
      </c>
      <c r="E110">
        <f t="shared" si="4"/>
        <v>1.0955789999999993E-2</v>
      </c>
      <c r="F110">
        <f t="shared" si="5"/>
        <v>1.2002933452409985E-4</v>
      </c>
      <c r="I110">
        <v>-0.16007979</v>
      </c>
    </row>
    <row r="111" spans="1:9" x14ac:dyDescent="0.45">
      <c r="A111" t="s">
        <v>88</v>
      </c>
      <c r="B111">
        <v>-0.14170383</v>
      </c>
      <c r="C111">
        <v>-0.151306</v>
      </c>
      <c r="D111">
        <f t="shared" si="3"/>
        <v>-9.6021699999999932E-3</v>
      </c>
      <c r="E111">
        <f t="shared" si="4"/>
        <v>9.6021699999999932E-3</v>
      </c>
      <c r="F111">
        <f t="shared" si="5"/>
        <v>9.2201668708899866E-5</v>
      </c>
      <c r="I111">
        <v>-0.14170383</v>
      </c>
    </row>
    <row r="112" spans="1:9" x14ac:dyDescent="0.45">
      <c r="A112" t="s">
        <v>89</v>
      </c>
      <c r="B112">
        <v>-0.15376227000000001</v>
      </c>
      <c r="C112">
        <v>-0.15364800000000001</v>
      </c>
      <c r="D112">
        <f t="shared" si="3"/>
        <v>1.1426999999999965E-4</v>
      </c>
      <c r="E112">
        <f t="shared" si="4"/>
        <v>1.1426999999999965E-4</v>
      </c>
      <c r="F112">
        <f t="shared" si="5"/>
        <v>1.305763289999992E-8</v>
      </c>
      <c r="I112">
        <v>-0.15376227000000001</v>
      </c>
    </row>
    <row r="113" spans="1:9" x14ac:dyDescent="0.45">
      <c r="A113" t="s">
        <v>90</v>
      </c>
      <c r="B113">
        <v>-0.16624135000000001</v>
      </c>
      <c r="C113">
        <v>-0.17630399999999999</v>
      </c>
      <c r="D113">
        <f t="shared" si="3"/>
        <v>-1.0062649999999979E-2</v>
      </c>
      <c r="E113">
        <f t="shared" si="4"/>
        <v>1.0062649999999979E-2</v>
      </c>
      <c r="F113">
        <f t="shared" si="5"/>
        <v>1.0125692502249956E-4</v>
      </c>
      <c r="I113">
        <v>-0.16624135000000001</v>
      </c>
    </row>
    <row r="114" spans="1:9" x14ac:dyDescent="0.45">
      <c r="A114" t="s">
        <v>91</v>
      </c>
      <c r="B114">
        <v>-0.14616766</v>
      </c>
      <c r="C114">
        <v>-0.151171</v>
      </c>
      <c r="D114">
        <f t="shared" si="3"/>
        <v>-5.003339999999995E-3</v>
      </c>
      <c r="E114">
        <f t="shared" si="4"/>
        <v>5.003339999999995E-3</v>
      </c>
      <c r="F114">
        <f t="shared" si="5"/>
        <v>2.5033411155599949E-5</v>
      </c>
      <c r="I114">
        <v>-0.14616766</v>
      </c>
    </row>
    <row r="115" spans="1:9" x14ac:dyDescent="0.45">
      <c r="A115" t="s">
        <v>92</v>
      </c>
      <c r="B115">
        <v>-0.15620634999999999</v>
      </c>
      <c r="C115">
        <v>-0.14630299999999999</v>
      </c>
      <c r="D115">
        <f t="shared" si="3"/>
        <v>9.9033500000000052E-3</v>
      </c>
      <c r="E115">
        <f t="shared" si="4"/>
        <v>9.9033500000000052E-3</v>
      </c>
      <c r="F115">
        <f t="shared" si="5"/>
        <v>9.8076341222500099E-5</v>
      </c>
      <c r="I115">
        <v>-0.15620634999999999</v>
      </c>
    </row>
    <row r="116" spans="1:9" x14ac:dyDescent="0.45">
      <c r="A116" t="s">
        <v>93</v>
      </c>
      <c r="B116">
        <v>-0.15846774999999999</v>
      </c>
      <c r="C116">
        <v>-0.14526900000000001</v>
      </c>
      <c r="D116">
        <f t="shared" si="3"/>
        <v>1.3198749999999981E-2</v>
      </c>
      <c r="E116">
        <f t="shared" si="4"/>
        <v>1.3198749999999981E-2</v>
      </c>
      <c r="F116">
        <f t="shared" si="5"/>
        <v>1.7420700156249951E-4</v>
      </c>
      <c r="I116">
        <v>-0.15846774999999999</v>
      </c>
    </row>
    <row r="117" spans="1:9" x14ac:dyDescent="0.45">
      <c r="A117" t="s">
        <v>94</v>
      </c>
      <c r="B117">
        <v>-0.15908209000000001</v>
      </c>
      <c r="C117">
        <v>-0.14948600000000001</v>
      </c>
      <c r="D117">
        <f t="shared" si="3"/>
        <v>9.5960900000000016E-3</v>
      </c>
      <c r="E117">
        <f t="shared" si="4"/>
        <v>9.5960900000000016E-3</v>
      </c>
      <c r="F117">
        <f t="shared" si="5"/>
        <v>9.2084943288100036E-5</v>
      </c>
      <c r="I117">
        <v>-0.15908209000000001</v>
      </c>
    </row>
    <row r="118" spans="1:9" x14ac:dyDescent="0.45">
      <c r="A118" t="s">
        <v>95</v>
      </c>
      <c r="B118">
        <v>-0.16579004</v>
      </c>
      <c r="C118">
        <v>-0.17424200000000001</v>
      </c>
      <c r="D118">
        <f t="shared" si="3"/>
        <v>-8.4519600000000084E-3</v>
      </c>
      <c r="E118">
        <f t="shared" si="4"/>
        <v>8.4519600000000084E-3</v>
      </c>
      <c r="F118">
        <f t="shared" si="5"/>
        <v>7.1435627841600144E-5</v>
      </c>
      <c r="I118">
        <v>-0.16579004</v>
      </c>
    </row>
    <row r="119" spans="1:9" x14ac:dyDescent="0.45">
      <c r="A119" t="s">
        <v>96</v>
      </c>
      <c r="B119">
        <v>-0.17421228999999999</v>
      </c>
      <c r="C119">
        <v>-0.16208900000000001</v>
      </c>
      <c r="D119">
        <f t="shared" si="3"/>
        <v>1.2123289999999981E-2</v>
      </c>
      <c r="E119">
        <f t="shared" si="4"/>
        <v>1.2123289999999981E-2</v>
      </c>
      <c r="F119">
        <f t="shared" si="5"/>
        <v>1.4697416042409953E-4</v>
      </c>
      <c r="I119">
        <v>-0.17421228999999999</v>
      </c>
    </row>
    <row r="120" spans="1:9" x14ac:dyDescent="0.45">
      <c r="A120" t="s">
        <v>97</v>
      </c>
      <c r="B120">
        <v>-0.16171698000000001</v>
      </c>
      <c r="C120">
        <v>-0.12674099999999999</v>
      </c>
      <c r="D120">
        <f t="shared" si="3"/>
        <v>3.4975980000000018E-2</v>
      </c>
      <c r="E120">
        <f t="shared" si="4"/>
        <v>3.4975980000000018E-2</v>
      </c>
      <c r="F120">
        <f t="shared" si="5"/>
        <v>1.2233191769604012E-3</v>
      </c>
      <c r="I120">
        <v>-0.16171698000000001</v>
      </c>
    </row>
    <row r="121" spans="1:9" x14ac:dyDescent="0.45">
      <c r="A121" t="s">
        <v>98</v>
      </c>
      <c r="B121">
        <v>-0.15191234000000001</v>
      </c>
      <c r="C121">
        <v>-0.163635</v>
      </c>
      <c r="D121">
        <f t="shared" si="3"/>
        <v>-1.1722659999999996E-2</v>
      </c>
      <c r="E121">
        <f t="shared" si="4"/>
        <v>1.1722659999999996E-2</v>
      </c>
      <c r="F121">
        <f t="shared" si="5"/>
        <v>1.374207574755999E-4</v>
      </c>
      <c r="I121">
        <v>-0.15191234000000001</v>
      </c>
    </row>
    <row r="122" spans="1:9" x14ac:dyDescent="0.45">
      <c r="A122" t="s">
        <v>99</v>
      </c>
      <c r="B122">
        <v>-0.14354779000000001</v>
      </c>
      <c r="C122">
        <v>-0.154895</v>
      </c>
      <c r="D122">
        <f t="shared" si="3"/>
        <v>-1.1347209999999996E-2</v>
      </c>
      <c r="E122">
        <f t="shared" si="4"/>
        <v>1.1347209999999996E-2</v>
      </c>
      <c r="F122">
        <f t="shared" si="5"/>
        <v>1.2875917478409992E-4</v>
      </c>
      <c r="I122">
        <v>-0.14354779000000001</v>
      </c>
    </row>
    <row r="123" spans="1:9" x14ac:dyDescent="0.45">
      <c r="A123" t="s">
        <v>100</v>
      </c>
      <c r="B123">
        <v>-0.17639825000000001</v>
      </c>
      <c r="C123">
        <v>-0.157225</v>
      </c>
      <c r="D123">
        <f t="shared" si="3"/>
        <v>1.9173250000000003E-2</v>
      </c>
      <c r="E123">
        <f t="shared" si="4"/>
        <v>1.9173250000000003E-2</v>
      </c>
      <c r="F123">
        <f t="shared" si="5"/>
        <v>3.6761351556250011E-4</v>
      </c>
      <c r="I123">
        <v>-0.17639825000000001</v>
      </c>
    </row>
    <row r="124" spans="1:9" x14ac:dyDescent="0.45">
      <c r="A124" t="s">
        <v>101</v>
      </c>
      <c r="B124">
        <v>-0.17303698000000001</v>
      </c>
      <c r="C124">
        <v>-0.16975699999999999</v>
      </c>
      <c r="D124">
        <f t="shared" si="3"/>
        <v>3.2799800000000157E-3</v>
      </c>
      <c r="E124">
        <f t="shared" si="4"/>
        <v>3.2799800000000157E-3</v>
      </c>
      <c r="F124">
        <f t="shared" si="5"/>
        <v>1.0758268800400103E-5</v>
      </c>
      <c r="I124">
        <v>-0.17303698000000001</v>
      </c>
    </row>
    <row r="125" spans="1:9" x14ac:dyDescent="0.45">
      <c r="A125" t="s">
        <v>102</v>
      </c>
      <c r="B125">
        <v>-0.13701255000000001</v>
      </c>
      <c r="C125">
        <v>-0.161657</v>
      </c>
      <c r="D125">
        <f t="shared" si="3"/>
        <v>-2.4644449999999984E-2</v>
      </c>
      <c r="E125">
        <f t="shared" si="4"/>
        <v>2.4644449999999984E-2</v>
      </c>
      <c r="F125">
        <f t="shared" si="5"/>
        <v>6.0734891580249922E-4</v>
      </c>
      <c r="I125">
        <v>-0.13701255000000001</v>
      </c>
    </row>
    <row r="126" spans="1:9" x14ac:dyDescent="0.45">
      <c r="A126" t="s">
        <v>103</v>
      </c>
      <c r="B126">
        <v>-0.13200833000000001</v>
      </c>
      <c r="C126">
        <v>-0.13847400000000001</v>
      </c>
      <c r="D126">
        <f t="shared" si="3"/>
        <v>-6.4656700000000067E-3</v>
      </c>
      <c r="E126">
        <f t="shared" si="4"/>
        <v>6.4656700000000067E-3</v>
      </c>
      <c r="F126">
        <f t="shared" si="5"/>
        <v>4.1804888548900088E-5</v>
      </c>
      <c r="I126">
        <v>-0.13200833000000001</v>
      </c>
    </row>
    <row r="127" spans="1:9" x14ac:dyDescent="0.45">
      <c r="A127" t="s">
        <v>104</v>
      </c>
      <c r="B127">
        <v>-0.12451273</v>
      </c>
      <c r="C127">
        <v>-0.161278</v>
      </c>
      <c r="D127">
        <f t="shared" si="3"/>
        <v>-3.6765270000000003E-2</v>
      </c>
      <c r="E127">
        <f t="shared" si="4"/>
        <v>3.6765270000000003E-2</v>
      </c>
      <c r="F127">
        <f t="shared" si="5"/>
        <v>1.3516850781729003E-3</v>
      </c>
      <c r="I127">
        <v>-0.12451273</v>
      </c>
    </row>
    <row r="128" spans="1:9" x14ac:dyDescent="0.45">
      <c r="A128" t="s">
        <v>105</v>
      </c>
      <c r="B128">
        <v>-0.14370928999999999</v>
      </c>
      <c r="C128">
        <v>-0.15357399999999999</v>
      </c>
      <c r="D128">
        <f t="shared" si="3"/>
        <v>-9.8647099999999988E-3</v>
      </c>
      <c r="E128">
        <f t="shared" si="4"/>
        <v>9.8647099999999988E-3</v>
      </c>
      <c r="F128">
        <f t="shared" si="5"/>
        <v>9.731250338409998E-5</v>
      </c>
      <c r="I128">
        <v>-0.14370928999999999</v>
      </c>
    </row>
    <row r="129" spans="1:9" x14ac:dyDescent="0.45">
      <c r="A129" t="s">
        <v>106</v>
      </c>
      <c r="B129">
        <v>-0.14007924999999999</v>
      </c>
      <c r="C129">
        <v>-0.14562800000000001</v>
      </c>
      <c r="D129">
        <f t="shared" si="3"/>
        <v>-5.5487500000000189E-3</v>
      </c>
      <c r="E129">
        <f t="shared" si="4"/>
        <v>5.5487500000000189E-3</v>
      </c>
      <c r="F129">
        <f t="shared" si="5"/>
        <v>3.0788626562500211E-5</v>
      </c>
      <c r="I129">
        <v>-0.14007924999999999</v>
      </c>
    </row>
    <row r="130" spans="1:9" x14ac:dyDescent="0.45">
      <c r="A130" t="s">
        <v>141</v>
      </c>
      <c r="B130">
        <v>-0.12016196</v>
      </c>
      <c r="C130">
        <v>-0.17704600000000001</v>
      </c>
      <c r="D130">
        <f t="shared" si="3"/>
        <v>-5.6884040000000011E-2</v>
      </c>
      <c r="E130">
        <f t="shared" si="4"/>
        <v>5.6884040000000011E-2</v>
      </c>
      <c r="F130">
        <f t="shared" si="5"/>
        <v>3.2357940067216013E-3</v>
      </c>
      <c r="I130">
        <v>-0.12016196</v>
      </c>
    </row>
    <row r="131" spans="1:9" x14ac:dyDescent="0.45">
      <c r="A131" t="s">
        <v>142</v>
      </c>
      <c r="B131">
        <v>-0.15546204999999999</v>
      </c>
      <c r="C131">
        <v>-0.19427700000000001</v>
      </c>
      <c r="D131">
        <f t="shared" ref="D131:D137" si="6">(C131-B131)</f>
        <v>-3.8814950000000015E-2</v>
      </c>
      <c r="E131">
        <f t="shared" ref="E131:E137" si="7">ABS(D131)</f>
        <v>3.8814950000000015E-2</v>
      </c>
      <c r="F131">
        <f t="shared" ref="F131:F137" si="8">E131^2</f>
        <v>1.506600343502501E-3</v>
      </c>
      <c r="I131">
        <v>-0.15546204999999999</v>
      </c>
    </row>
    <row r="132" spans="1:9" x14ac:dyDescent="0.45">
      <c r="A132" t="s">
        <v>107</v>
      </c>
      <c r="B132">
        <v>-0.15793715</v>
      </c>
      <c r="C132">
        <v>-0.18546699999999999</v>
      </c>
      <c r="D132">
        <f t="shared" si="6"/>
        <v>-2.7529849999999995E-2</v>
      </c>
      <c r="E132">
        <f t="shared" si="7"/>
        <v>2.7529849999999995E-2</v>
      </c>
      <c r="F132">
        <f t="shared" si="8"/>
        <v>7.5789264102249976E-4</v>
      </c>
      <c r="I132">
        <v>-0.15793715</v>
      </c>
    </row>
    <row r="133" spans="1:9" x14ac:dyDescent="0.45">
      <c r="A133" t="s">
        <v>108</v>
      </c>
      <c r="B133">
        <v>-0.16063237999999999</v>
      </c>
      <c r="C133">
        <v>-0.16697999999999999</v>
      </c>
      <c r="D133">
        <f t="shared" si="6"/>
        <v>-6.3476199999999983E-3</v>
      </c>
      <c r="E133">
        <f t="shared" si="7"/>
        <v>6.3476199999999983E-3</v>
      </c>
      <c r="F133">
        <f t="shared" si="8"/>
        <v>4.0292279664399975E-5</v>
      </c>
      <c r="I133">
        <v>-0.16063237999999999</v>
      </c>
    </row>
    <row r="134" spans="1:9" x14ac:dyDescent="0.45">
      <c r="A134" t="s">
        <v>109</v>
      </c>
      <c r="B134">
        <v>-0.16108821000000001</v>
      </c>
      <c r="C134">
        <v>-0.13892699999999999</v>
      </c>
      <c r="D134">
        <f t="shared" si="6"/>
        <v>2.2161210000000015E-2</v>
      </c>
      <c r="E134">
        <f t="shared" si="7"/>
        <v>2.2161210000000015E-2</v>
      </c>
      <c r="F134">
        <f t="shared" si="8"/>
        <v>4.9111922866410061E-4</v>
      </c>
      <c r="I134">
        <v>-0.16108821000000001</v>
      </c>
    </row>
    <row r="135" spans="1:9" x14ac:dyDescent="0.45">
      <c r="A135" t="s">
        <v>110</v>
      </c>
      <c r="B135">
        <v>-0.15566207000000001</v>
      </c>
      <c r="C135">
        <v>-0.154804</v>
      </c>
      <c r="D135">
        <f t="shared" si="6"/>
        <v>8.5807000000001632E-4</v>
      </c>
      <c r="E135">
        <f t="shared" si="7"/>
        <v>8.5807000000001632E-4</v>
      </c>
      <c r="F135">
        <f t="shared" si="8"/>
        <v>7.3628412490002804E-7</v>
      </c>
      <c r="I135">
        <v>-0.15566207000000001</v>
      </c>
    </row>
    <row r="136" spans="1:9" x14ac:dyDescent="0.45">
      <c r="A136" t="s">
        <v>111</v>
      </c>
      <c r="B136">
        <v>-0.12040148000000001</v>
      </c>
      <c r="C136">
        <v>-0.18511900000000001</v>
      </c>
      <c r="D136">
        <f t="shared" si="6"/>
        <v>-6.4717520000000001E-2</v>
      </c>
      <c r="E136">
        <f t="shared" si="7"/>
        <v>6.4717520000000001E-2</v>
      </c>
      <c r="F136">
        <f t="shared" si="8"/>
        <v>4.1883573949503998E-3</v>
      </c>
      <c r="I136">
        <v>-0.12040148000000001</v>
      </c>
    </row>
    <row r="137" spans="1:9" x14ac:dyDescent="0.45">
      <c r="A137" t="s">
        <v>112</v>
      </c>
      <c r="B137">
        <v>-0.11888984</v>
      </c>
      <c r="C137">
        <v>-0.183277</v>
      </c>
      <c r="D137">
        <f t="shared" si="6"/>
        <v>-6.4387159999999999E-2</v>
      </c>
      <c r="E137">
        <f t="shared" si="7"/>
        <v>6.4387159999999999E-2</v>
      </c>
      <c r="F137">
        <f t="shared" si="8"/>
        <v>4.1457063728656002E-3</v>
      </c>
      <c r="I137">
        <v>-0.11888984</v>
      </c>
    </row>
    <row r="138" spans="1:9" x14ac:dyDescent="0.45">
      <c r="D138">
        <f>AVERAGE(D2:D137)</f>
        <v>-1.919862213235294E-2</v>
      </c>
      <c r="E138">
        <f>AVERAGE(E2:E137)</f>
        <v>2.9046840661764696E-2</v>
      </c>
      <c r="F138">
        <f>SQRT(AVERAGE(F2:F137))</f>
        <v>3.7225836065021022E-2</v>
      </c>
    </row>
    <row r="139" spans="1:9" x14ac:dyDescent="0.45">
      <c r="B139">
        <f>MIN(B2:B137)</f>
        <v>-0.24185387999999999</v>
      </c>
      <c r="C139">
        <f>MIN(C2:C137)</f>
        <v>-0.30344399999999999</v>
      </c>
    </row>
    <row r="140" spans="1:9" x14ac:dyDescent="0.45">
      <c r="B140">
        <f>MAX(B2:B137)</f>
        <v>-0.11605687000000001</v>
      </c>
      <c r="C140">
        <f>MAX(C2:C137)</f>
        <v>-9.2097999999999999E-2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30C5-B080-4BF7-B4DD-984057B5D5A5}">
  <dimension ref="A1:AU140"/>
  <sheetViews>
    <sheetView workbookViewId="0">
      <selection activeCell="B1" sqref="B1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147</v>
      </c>
      <c r="C1" s="2" t="s">
        <v>148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-0.19400925999999999</v>
      </c>
      <c r="C2">
        <v>-0.51546000000000003</v>
      </c>
      <c r="D2">
        <f>(C2-B2)</f>
        <v>-0.32145074000000007</v>
      </c>
      <c r="E2">
        <f>ABS(D2)</f>
        <v>0.32145074000000007</v>
      </c>
      <c r="F2">
        <f>E2^2</f>
        <v>0.10333057824654765</v>
      </c>
      <c r="G2">
        <f>CORREL(B2:B133,C2:C133)</f>
        <v>0.41197091156954313</v>
      </c>
      <c r="H2">
        <f>G2^2</f>
        <v>0.16972003197944033</v>
      </c>
      <c r="I2">
        <v>-0.19400925999999999</v>
      </c>
    </row>
    <row r="3" spans="1:47" x14ac:dyDescent="0.45">
      <c r="A3" t="s">
        <v>114</v>
      </c>
      <c r="B3">
        <v>-0.19151192</v>
      </c>
      <c r="C3">
        <v>-0.50099800000000005</v>
      </c>
      <c r="D3">
        <f t="shared" ref="D3:D66" si="0">(C3-B3)</f>
        <v>-0.30948608000000005</v>
      </c>
      <c r="E3">
        <f t="shared" ref="E3:E66" si="1">ABS(D3)</f>
        <v>0.30948608000000005</v>
      </c>
      <c r="F3">
        <f t="shared" ref="F3:F66" si="2">E3^2</f>
        <v>9.5781633713766426E-2</v>
      </c>
      <c r="I3">
        <v>-0.19151192</v>
      </c>
    </row>
    <row r="4" spans="1:47" x14ac:dyDescent="0.45">
      <c r="A4" t="s">
        <v>115</v>
      </c>
      <c r="B4">
        <v>-0.20539356</v>
      </c>
      <c r="C4">
        <v>-0.46914299999999998</v>
      </c>
      <c r="D4">
        <f t="shared" si="0"/>
        <v>-0.26374944</v>
      </c>
      <c r="E4">
        <f t="shared" si="1"/>
        <v>0.26374944</v>
      </c>
      <c r="F4">
        <f t="shared" si="2"/>
        <v>6.9563767100313603E-2</v>
      </c>
      <c r="I4">
        <v>-0.20539356</v>
      </c>
    </row>
    <row r="5" spans="1:47" x14ac:dyDescent="0.45">
      <c r="A5" t="s">
        <v>116</v>
      </c>
      <c r="B5">
        <v>-0.21584708999999999</v>
      </c>
      <c r="C5">
        <v>-0.48044300000000001</v>
      </c>
      <c r="D5">
        <f t="shared" si="0"/>
        <v>-0.26459591000000005</v>
      </c>
      <c r="E5">
        <f t="shared" si="1"/>
        <v>0.26459591000000005</v>
      </c>
      <c r="F5">
        <f t="shared" si="2"/>
        <v>7.0010995588728128E-2</v>
      </c>
      <c r="I5">
        <v>-0.21584708999999999</v>
      </c>
    </row>
    <row r="6" spans="1:47" x14ac:dyDescent="0.45">
      <c r="A6" t="s">
        <v>117</v>
      </c>
      <c r="B6">
        <v>-9.3271300000000001E-2</v>
      </c>
      <c r="C6">
        <v>0.49646299999999999</v>
      </c>
      <c r="D6">
        <f t="shared" si="0"/>
        <v>0.58973429999999993</v>
      </c>
      <c r="E6">
        <f t="shared" si="1"/>
        <v>0.58973429999999993</v>
      </c>
      <c r="F6">
        <f t="shared" si="2"/>
        <v>0.34778654459648994</v>
      </c>
      <c r="I6">
        <v>-9.3271300000000001E-2</v>
      </c>
    </row>
    <row r="7" spans="1:47" x14ac:dyDescent="0.45">
      <c r="A7" t="s">
        <v>118</v>
      </c>
      <c r="B7">
        <v>-0.23906258999999999</v>
      </c>
      <c r="C7">
        <v>-0.39763300000000001</v>
      </c>
      <c r="D7">
        <f t="shared" si="0"/>
        <v>-0.15857041000000002</v>
      </c>
      <c r="E7">
        <f t="shared" si="1"/>
        <v>0.15857041000000002</v>
      </c>
      <c r="F7">
        <f t="shared" si="2"/>
        <v>2.5144574927568109E-2</v>
      </c>
      <c r="I7">
        <v>-0.23906258999999999</v>
      </c>
    </row>
    <row r="8" spans="1:47" x14ac:dyDescent="0.45">
      <c r="A8" t="s">
        <v>7</v>
      </c>
      <c r="B8">
        <v>-0.19958973999999999</v>
      </c>
      <c r="C8">
        <v>-0.48462</v>
      </c>
      <c r="D8">
        <f t="shared" si="0"/>
        <v>-0.28503025999999998</v>
      </c>
      <c r="E8">
        <f t="shared" si="1"/>
        <v>0.28503025999999998</v>
      </c>
      <c r="F8">
        <f t="shared" si="2"/>
        <v>8.1242249115667589E-2</v>
      </c>
      <c r="I8">
        <v>-0.19958973999999999</v>
      </c>
    </row>
    <row r="9" spans="1:47" x14ac:dyDescent="0.45">
      <c r="A9" t="s">
        <v>8</v>
      </c>
      <c r="B9">
        <v>-0.21279265</v>
      </c>
      <c r="C9">
        <v>-0.46715299999999998</v>
      </c>
      <c r="D9">
        <f t="shared" si="0"/>
        <v>-0.25436035000000001</v>
      </c>
      <c r="E9">
        <f t="shared" si="1"/>
        <v>0.25436035000000001</v>
      </c>
      <c r="F9">
        <f t="shared" si="2"/>
        <v>6.46991876521225E-2</v>
      </c>
      <c r="I9">
        <v>-0.21279265</v>
      </c>
    </row>
    <row r="10" spans="1:47" x14ac:dyDescent="0.45">
      <c r="A10" t="s">
        <v>9</v>
      </c>
      <c r="B10">
        <v>-0.20663376999999999</v>
      </c>
      <c r="C10">
        <v>-0.467804</v>
      </c>
      <c r="D10">
        <f t="shared" si="0"/>
        <v>-0.26117023</v>
      </c>
      <c r="E10">
        <f t="shared" si="1"/>
        <v>0.26117023</v>
      </c>
      <c r="F10">
        <f t="shared" si="2"/>
        <v>6.8209889038252897E-2</v>
      </c>
      <c r="I10">
        <v>-0.20663376999999999</v>
      </c>
    </row>
    <row r="11" spans="1:47" x14ac:dyDescent="0.45">
      <c r="A11" t="s">
        <v>10</v>
      </c>
      <c r="B11">
        <v>-0.20539789</v>
      </c>
      <c r="C11">
        <v>-0.48680699999999999</v>
      </c>
      <c r="D11">
        <f t="shared" si="0"/>
        <v>-0.28140911000000002</v>
      </c>
      <c r="E11">
        <f t="shared" si="1"/>
        <v>0.28140911000000002</v>
      </c>
      <c r="F11">
        <f t="shared" si="2"/>
        <v>7.9191087190992104E-2</v>
      </c>
      <c r="I11">
        <v>-0.20539789</v>
      </c>
    </row>
    <row r="12" spans="1:47" x14ac:dyDescent="0.45">
      <c r="A12" t="s">
        <v>11</v>
      </c>
      <c r="B12">
        <v>-0.20485819</v>
      </c>
      <c r="C12">
        <v>-0.498081</v>
      </c>
      <c r="D12">
        <f t="shared" si="0"/>
        <v>-0.29322281</v>
      </c>
      <c r="E12">
        <f t="shared" si="1"/>
        <v>0.29322281</v>
      </c>
      <c r="F12">
        <f t="shared" si="2"/>
        <v>8.5979616304296097E-2</v>
      </c>
      <c r="I12">
        <v>-0.20485819</v>
      </c>
    </row>
    <row r="13" spans="1:47" x14ac:dyDescent="0.45">
      <c r="A13" t="s">
        <v>12</v>
      </c>
      <c r="B13">
        <v>-0.25380142999999999</v>
      </c>
      <c r="C13">
        <v>-0.48705500000000002</v>
      </c>
      <c r="D13">
        <f t="shared" si="0"/>
        <v>-0.23325357000000002</v>
      </c>
      <c r="E13">
        <f t="shared" si="1"/>
        <v>0.23325357000000002</v>
      </c>
      <c r="F13">
        <f t="shared" si="2"/>
        <v>5.440722791774491E-2</v>
      </c>
      <c r="I13">
        <v>-0.25380142999999999</v>
      </c>
    </row>
    <row r="14" spans="1:47" x14ac:dyDescent="0.45">
      <c r="A14" t="s">
        <v>13</v>
      </c>
      <c r="B14">
        <v>-0.20409405999999999</v>
      </c>
      <c r="C14">
        <v>-0.47310600000000003</v>
      </c>
      <c r="D14">
        <f t="shared" si="0"/>
        <v>-0.26901194000000006</v>
      </c>
      <c r="E14">
        <f t="shared" si="1"/>
        <v>0.26901194000000006</v>
      </c>
      <c r="F14">
        <f t="shared" si="2"/>
        <v>7.2367423862563632E-2</v>
      </c>
      <c r="I14">
        <v>-0.20409405999999999</v>
      </c>
    </row>
    <row r="15" spans="1:47" x14ac:dyDescent="0.45">
      <c r="A15" t="s">
        <v>119</v>
      </c>
      <c r="B15">
        <v>-0.20171848000000001</v>
      </c>
      <c r="C15">
        <v>-0.497338</v>
      </c>
      <c r="D15">
        <f t="shared" si="0"/>
        <v>-0.29561952000000002</v>
      </c>
      <c r="E15">
        <f t="shared" si="1"/>
        <v>0.29561952000000002</v>
      </c>
      <c r="F15">
        <f t="shared" si="2"/>
        <v>8.7390900605030408E-2</v>
      </c>
      <c r="I15">
        <v>-0.20171848000000001</v>
      </c>
      <c r="AU15" s="1"/>
    </row>
    <row r="16" spans="1:47" x14ac:dyDescent="0.45">
      <c r="A16" t="s">
        <v>14</v>
      </c>
      <c r="B16">
        <v>-0.19739683999999999</v>
      </c>
      <c r="C16">
        <v>-0.50607100000000005</v>
      </c>
      <c r="D16">
        <f t="shared" si="0"/>
        <v>-0.30867416000000003</v>
      </c>
      <c r="E16">
        <f t="shared" si="1"/>
        <v>0.30867416000000003</v>
      </c>
      <c r="F16">
        <f t="shared" si="2"/>
        <v>9.5279737051705615E-2</v>
      </c>
      <c r="I16">
        <v>-0.19739683999999999</v>
      </c>
      <c r="AU16" s="1"/>
    </row>
    <row r="17" spans="1:47" x14ac:dyDescent="0.45">
      <c r="A17" t="s">
        <v>120</v>
      </c>
      <c r="B17">
        <v>-0.23587421</v>
      </c>
      <c r="C17">
        <v>-0.411692</v>
      </c>
      <c r="D17">
        <f t="shared" si="0"/>
        <v>-0.17581779</v>
      </c>
      <c r="E17">
        <f t="shared" si="1"/>
        <v>0.17581779</v>
      </c>
      <c r="F17">
        <f t="shared" si="2"/>
        <v>3.0911895280484099E-2</v>
      </c>
      <c r="I17">
        <v>-0.23587421</v>
      </c>
      <c r="AU17" s="1"/>
    </row>
    <row r="18" spans="1:47" x14ac:dyDescent="0.45">
      <c r="A18" t="s">
        <v>121</v>
      </c>
      <c r="B18">
        <v>-0.20042625</v>
      </c>
      <c r="C18">
        <v>-0.52278899999999995</v>
      </c>
      <c r="D18">
        <f t="shared" si="0"/>
        <v>-0.32236274999999992</v>
      </c>
      <c r="E18">
        <f t="shared" si="1"/>
        <v>0.32236274999999992</v>
      </c>
      <c r="F18">
        <f t="shared" si="2"/>
        <v>0.10391774258756245</v>
      </c>
      <c r="I18">
        <v>-0.20042625</v>
      </c>
      <c r="AU18" s="1"/>
    </row>
    <row r="19" spans="1:47" x14ac:dyDescent="0.45">
      <c r="A19" t="s">
        <v>122</v>
      </c>
      <c r="B19">
        <v>-5.2914549999999998E-2</v>
      </c>
      <c r="C19">
        <v>0.65151700000000001</v>
      </c>
      <c r="D19">
        <f t="shared" si="0"/>
        <v>0.70443155000000002</v>
      </c>
      <c r="E19">
        <f t="shared" si="1"/>
        <v>0.70443155000000002</v>
      </c>
      <c r="F19">
        <f t="shared" si="2"/>
        <v>0.4962238086354025</v>
      </c>
      <c r="I19">
        <v>-5.2914549999999998E-2</v>
      </c>
      <c r="AU19" s="1"/>
    </row>
    <row r="20" spans="1:47" x14ac:dyDescent="0.45">
      <c r="A20" t="s">
        <v>123</v>
      </c>
      <c r="B20">
        <v>-0.21310119999999999</v>
      </c>
      <c r="C20">
        <v>-0.49619799999999997</v>
      </c>
      <c r="D20">
        <f t="shared" si="0"/>
        <v>-0.28309679999999998</v>
      </c>
      <c r="E20">
        <f t="shared" si="1"/>
        <v>0.28309679999999998</v>
      </c>
      <c r="F20">
        <f t="shared" si="2"/>
        <v>8.0143798170239991E-2</v>
      </c>
      <c r="I20">
        <v>-0.21310119999999999</v>
      </c>
    </row>
    <row r="21" spans="1:47" x14ac:dyDescent="0.45">
      <c r="A21" t="s">
        <v>124</v>
      </c>
      <c r="B21">
        <v>-0.21572842</v>
      </c>
      <c r="C21">
        <v>-0.51517299999999999</v>
      </c>
      <c r="D21">
        <f t="shared" si="0"/>
        <v>-0.29944457999999996</v>
      </c>
      <c r="E21">
        <f t="shared" si="1"/>
        <v>0.29944457999999996</v>
      </c>
      <c r="F21">
        <f t="shared" si="2"/>
        <v>8.9667056491376379E-2</v>
      </c>
      <c r="I21">
        <v>-0.21572842</v>
      </c>
    </row>
    <row r="22" spans="1:47" x14ac:dyDescent="0.45">
      <c r="A22" t="s">
        <v>125</v>
      </c>
      <c r="B22">
        <v>-0.21997712999999999</v>
      </c>
      <c r="C22">
        <v>-0.50558099999999995</v>
      </c>
      <c r="D22">
        <f t="shared" si="0"/>
        <v>-0.28560386999999998</v>
      </c>
      <c r="E22">
        <f t="shared" si="1"/>
        <v>0.28560386999999998</v>
      </c>
      <c r="F22">
        <f t="shared" si="2"/>
        <v>8.1569570558976887E-2</v>
      </c>
      <c r="I22">
        <v>-0.21997712999999999</v>
      </c>
    </row>
    <row r="23" spans="1:47" x14ac:dyDescent="0.45">
      <c r="A23" t="s">
        <v>15</v>
      </c>
      <c r="B23">
        <v>-0.20657064</v>
      </c>
      <c r="C23">
        <v>-0.47325899999999999</v>
      </c>
      <c r="D23">
        <f t="shared" si="0"/>
        <v>-0.26668835999999996</v>
      </c>
      <c r="E23">
        <f t="shared" si="1"/>
        <v>0.26668835999999996</v>
      </c>
      <c r="F23">
        <f t="shared" si="2"/>
        <v>7.1122681359489584E-2</v>
      </c>
      <c r="I23">
        <v>-0.20657064</v>
      </c>
    </row>
    <row r="24" spans="1:47" x14ac:dyDescent="0.45">
      <c r="A24" t="s">
        <v>16</v>
      </c>
      <c r="B24">
        <v>-0.13224794000000001</v>
      </c>
      <c r="C24">
        <v>-0.50834000000000001</v>
      </c>
      <c r="D24">
        <f t="shared" si="0"/>
        <v>-0.37609206000000001</v>
      </c>
      <c r="E24">
        <f t="shared" si="1"/>
        <v>0.37609206000000001</v>
      </c>
      <c r="F24">
        <f t="shared" si="2"/>
        <v>0.1414452375950436</v>
      </c>
      <c r="I24">
        <v>-0.13224794000000001</v>
      </c>
    </row>
    <row r="25" spans="1:47" x14ac:dyDescent="0.45">
      <c r="A25" t="s">
        <v>17</v>
      </c>
      <c r="B25">
        <v>-0.12208506</v>
      </c>
      <c r="C25">
        <v>-0.52187399999999995</v>
      </c>
      <c r="D25">
        <f t="shared" si="0"/>
        <v>-0.39978893999999998</v>
      </c>
      <c r="E25">
        <f t="shared" si="1"/>
        <v>0.39978893999999998</v>
      </c>
      <c r="F25">
        <f t="shared" si="2"/>
        <v>0.15983119654632358</v>
      </c>
      <c r="I25">
        <v>-0.12208506</v>
      </c>
    </row>
    <row r="26" spans="1:47" x14ac:dyDescent="0.45">
      <c r="A26" t="s">
        <v>18</v>
      </c>
      <c r="B26">
        <v>-0.13168170000000001</v>
      </c>
      <c r="C26">
        <v>-0.523173</v>
      </c>
      <c r="D26">
        <f t="shared" si="0"/>
        <v>-0.39149129999999999</v>
      </c>
      <c r="E26">
        <f t="shared" si="1"/>
        <v>0.39149129999999999</v>
      </c>
      <c r="F26">
        <f t="shared" si="2"/>
        <v>0.15326543797568998</v>
      </c>
      <c r="I26">
        <v>-0.13168170000000001</v>
      </c>
    </row>
    <row r="27" spans="1:47" x14ac:dyDescent="0.45">
      <c r="A27" t="s">
        <v>19</v>
      </c>
      <c r="B27">
        <v>-0.19427544999999999</v>
      </c>
      <c r="C27">
        <v>-0.59531900000000004</v>
      </c>
      <c r="D27">
        <f t="shared" si="0"/>
        <v>-0.40104355000000003</v>
      </c>
      <c r="E27">
        <f t="shared" si="1"/>
        <v>0.40104355000000003</v>
      </c>
      <c r="F27">
        <f t="shared" si="2"/>
        <v>0.16083592899660251</v>
      </c>
      <c r="I27">
        <v>-0.19427544999999999</v>
      </c>
    </row>
    <row r="28" spans="1:47" x14ac:dyDescent="0.45">
      <c r="A28" t="s">
        <v>20</v>
      </c>
      <c r="B28">
        <v>-0.17792415</v>
      </c>
      <c r="C28">
        <v>-0.508189</v>
      </c>
      <c r="D28">
        <f t="shared" si="0"/>
        <v>-0.33026485</v>
      </c>
      <c r="E28">
        <f t="shared" si="1"/>
        <v>0.33026485</v>
      </c>
      <c r="F28">
        <f t="shared" si="2"/>
        <v>0.1090748711455225</v>
      </c>
      <c r="I28">
        <v>-0.17792415</v>
      </c>
    </row>
    <row r="29" spans="1:47" x14ac:dyDescent="0.45">
      <c r="A29" t="s">
        <v>21</v>
      </c>
      <c r="B29">
        <v>-0.17384230000000001</v>
      </c>
      <c r="C29">
        <v>-0.50729299999999999</v>
      </c>
      <c r="D29">
        <f t="shared" si="0"/>
        <v>-0.33345069999999999</v>
      </c>
      <c r="E29">
        <f t="shared" si="1"/>
        <v>0.33345069999999999</v>
      </c>
      <c r="F29">
        <f t="shared" si="2"/>
        <v>0.11118936933048999</v>
      </c>
      <c r="I29">
        <v>-0.17384230000000001</v>
      </c>
    </row>
    <row r="30" spans="1:47" x14ac:dyDescent="0.45">
      <c r="A30" t="s">
        <v>22</v>
      </c>
      <c r="B30">
        <v>-0.17761104999999999</v>
      </c>
      <c r="C30">
        <v>-0.50378999999999996</v>
      </c>
      <c r="D30">
        <f t="shared" si="0"/>
        <v>-0.32617894999999997</v>
      </c>
      <c r="E30">
        <f t="shared" si="1"/>
        <v>0.32617894999999997</v>
      </c>
      <c r="F30">
        <f t="shared" si="2"/>
        <v>0.10639270742310247</v>
      </c>
      <c r="I30">
        <v>-0.17761104999999999</v>
      </c>
    </row>
    <row r="31" spans="1:47" x14ac:dyDescent="0.45">
      <c r="A31" t="s">
        <v>23</v>
      </c>
      <c r="B31">
        <v>-0.19316245000000001</v>
      </c>
      <c r="C31">
        <v>-0.47401100000000002</v>
      </c>
      <c r="D31">
        <f t="shared" si="0"/>
        <v>-0.28084854999999997</v>
      </c>
      <c r="E31">
        <f t="shared" si="1"/>
        <v>0.28084854999999997</v>
      </c>
      <c r="F31">
        <f t="shared" si="2"/>
        <v>7.8875908037102482E-2</v>
      </c>
      <c r="I31">
        <v>-0.19316245000000001</v>
      </c>
    </row>
    <row r="32" spans="1:47" x14ac:dyDescent="0.45">
      <c r="A32" t="s">
        <v>24</v>
      </c>
      <c r="B32">
        <v>-0.19272681999999999</v>
      </c>
      <c r="C32">
        <v>-0.482186</v>
      </c>
      <c r="D32">
        <f t="shared" si="0"/>
        <v>-0.28945918000000004</v>
      </c>
      <c r="E32">
        <f t="shared" si="1"/>
        <v>0.28945918000000004</v>
      </c>
      <c r="F32">
        <f t="shared" si="2"/>
        <v>8.3786616886272425E-2</v>
      </c>
      <c r="I32">
        <v>-0.19272681999999999</v>
      </c>
    </row>
    <row r="33" spans="1:9" x14ac:dyDescent="0.45">
      <c r="A33" t="s">
        <v>25</v>
      </c>
      <c r="B33">
        <v>-0.32280761000000002</v>
      </c>
      <c r="C33">
        <v>-0.62231400000000003</v>
      </c>
      <c r="D33">
        <f t="shared" si="0"/>
        <v>-0.29950639000000001</v>
      </c>
      <c r="E33">
        <f t="shared" si="1"/>
        <v>0.29950639000000001</v>
      </c>
      <c r="F33">
        <f t="shared" si="2"/>
        <v>8.9704077650832104E-2</v>
      </c>
      <c r="I33">
        <v>-0.32280761000000002</v>
      </c>
    </row>
    <row r="34" spans="1:9" x14ac:dyDescent="0.45">
      <c r="A34" t="s">
        <v>26</v>
      </c>
      <c r="B34">
        <v>-0.31786337999999997</v>
      </c>
      <c r="C34">
        <v>-0.59299299999999999</v>
      </c>
      <c r="D34">
        <f t="shared" si="0"/>
        <v>-0.27512962000000002</v>
      </c>
      <c r="E34">
        <f t="shared" si="1"/>
        <v>0.27512962000000002</v>
      </c>
      <c r="F34">
        <f t="shared" si="2"/>
        <v>7.5696307801344412E-2</v>
      </c>
      <c r="I34">
        <v>-0.31786337999999997</v>
      </c>
    </row>
    <row r="35" spans="1:9" x14ac:dyDescent="0.45">
      <c r="A35" t="s">
        <v>27</v>
      </c>
      <c r="B35">
        <v>-0.34191618000000001</v>
      </c>
      <c r="C35">
        <v>-0.62958000000000003</v>
      </c>
      <c r="D35">
        <f t="shared" si="0"/>
        <v>-0.28766382000000001</v>
      </c>
      <c r="E35">
        <f t="shared" si="1"/>
        <v>0.28766382000000001</v>
      </c>
      <c r="F35">
        <f t="shared" si="2"/>
        <v>8.2750473336992411E-2</v>
      </c>
      <c r="I35">
        <v>-0.34191618000000001</v>
      </c>
    </row>
    <row r="36" spans="1:9" x14ac:dyDescent="0.45">
      <c r="A36" t="s">
        <v>28</v>
      </c>
      <c r="B36">
        <v>-0.22997263000000001</v>
      </c>
      <c r="C36">
        <v>-0.61341500000000004</v>
      </c>
      <c r="D36">
        <f t="shared" si="0"/>
        <v>-0.38344237000000003</v>
      </c>
      <c r="E36">
        <f t="shared" si="1"/>
        <v>0.38344237000000003</v>
      </c>
      <c r="F36">
        <f t="shared" si="2"/>
        <v>0.14702805111121692</v>
      </c>
      <c r="I36">
        <v>-0.22997263000000001</v>
      </c>
    </row>
    <row r="37" spans="1:9" x14ac:dyDescent="0.45">
      <c r="A37" t="s">
        <v>126</v>
      </c>
      <c r="B37">
        <v>-0.21756675</v>
      </c>
      <c r="C37">
        <v>-0.53849999999999998</v>
      </c>
      <c r="D37">
        <f t="shared" si="0"/>
        <v>-0.32093324999999995</v>
      </c>
      <c r="E37">
        <f t="shared" si="1"/>
        <v>0.32093324999999995</v>
      </c>
      <c r="F37">
        <f t="shared" si="2"/>
        <v>0.10299815095556247</v>
      </c>
      <c r="I37">
        <v>-0.21756675</v>
      </c>
    </row>
    <row r="38" spans="1:9" x14ac:dyDescent="0.45">
      <c r="A38" t="s">
        <v>29</v>
      </c>
      <c r="B38">
        <v>-0.35383402000000003</v>
      </c>
      <c r="C38">
        <v>-0.64366900000000005</v>
      </c>
      <c r="D38">
        <f t="shared" si="0"/>
        <v>-0.28983498000000002</v>
      </c>
      <c r="E38">
        <f t="shared" si="1"/>
        <v>0.28983498000000002</v>
      </c>
      <c r="F38">
        <f t="shared" si="2"/>
        <v>8.4004315631600407E-2</v>
      </c>
      <c r="I38">
        <v>-0.35383402000000003</v>
      </c>
    </row>
    <row r="39" spans="1:9" x14ac:dyDescent="0.45">
      <c r="A39" t="s">
        <v>30</v>
      </c>
      <c r="B39">
        <v>-0.34537582999999999</v>
      </c>
      <c r="C39">
        <v>-0.633463</v>
      </c>
      <c r="D39">
        <f t="shared" si="0"/>
        <v>-0.28808717</v>
      </c>
      <c r="E39">
        <f t="shared" si="1"/>
        <v>0.28808717</v>
      </c>
      <c r="F39">
        <f t="shared" si="2"/>
        <v>8.2994217518608901E-2</v>
      </c>
      <c r="I39">
        <v>-0.34537582999999999</v>
      </c>
    </row>
    <row r="40" spans="1:9" x14ac:dyDescent="0.45">
      <c r="A40" t="s">
        <v>31</v>
      </c>
      <c r="B40">
        <v>-0.21343644000000001</v>
      </c>
      <c r="C40">
        <v>-0.494085</v>
      </c>
      <c r="D40">
        <f t="shared" si="0"/>
        <v>-0.28064855999999999</v>
      </c>
      <c r="E40">
        <f t="shared" si="1"/>
        <v>0.28064855999999999</v>
      </c>
      <c r="F40">
        <f t="shared" si="2"/>
        <v>7.8763614230073595E-2</v>
      </c>
      <c r="I40">
        <v>-0.21343644000000001</v>
      </c>
    </row>
    <row r="41" spans="1:9" x14ac:dyDescent="0.45">
      <c r="A41" t="s">
        <v>127</v>
      </c>
      <c r="B41">
        <v>-0.11374981000000001</v>
      </c>
      <c r="C41">
        <v>-0.43954500000000002</v>
      </c>
      <c r="D41">
        <f t="shared" si="0"/>
        <v>-0.32579519000000001</v>
      </c>
      <c r="E41">
        <f t="shared" si="1"/>
        <v>0.32579519000000001</v>
      </c>
      <c r="F41">
        <f t="shared" si="2"/>
        <v>0.10614250582713611</v>
      </c>
      <c r="I41">
        <v>-0.11374981000000001</v>
      </c>
    </row>
    <row r="42" spans="1:9" x14ac:dyDescent="0.45">
      <c r="A42" t="s">
        <v>128</v>
      </c>
      <c r="B42">
        <v>-0.19622844</v>
      </c>
      <c r="C42">
        <v>-0.50787000000000004</v>
      </c>
      <c r="D42">
        <f t="shared" si="0"/>
        <v>-0.31164156000000004</v>
      </c>
      <c r="E42">
        <f t="shared" si="1"/>
        <v>0.31164156000000004</v>
      </c>
      <c r="F42">
        <f t="shared" si="2"/>
        <v>9.7120461919233625E-2</v>
      </c>
      <c r="I42">
        <v>-0.19622844</v>
      </c>
    </row>
    <row r="43" spans="1:9" x14ac:dyDescent="0.45">
      <c r="A43" t="s">
        <v>32</v>
      </c>
      <c r="B43">
        <v>-0.20336641</v>
      </c>
      <c r="C43">
        <v>-0.48280699999999999</v>
      </c>
      <c r="D43">
        <f t="shared" si="0"/>
        <v>-0.27944058999999999</v>
      </c>
      <c r="E43">
        <f t="shared" si="1"/>
        <v>0.27944058999999999</v>
      </c>
      <c r="F43">
        <f t="shared" si="2"/>
        <v>7.8087043339548093E-2</v>
      </c>
      <c r="I43">
        <v>-0.20336641</v>
      </c>
    </row>
    <row r="44" spans="1:9" x14ac:dyDescent="0.45">
      <c r="A44" t="s">
        <v>33</v>
      </c>
      <c r="B44">
        <v>-0.21495023999999999</v>
      </c>
      <c r="C44">
        <v>-0.48914400000000002</v>
      </c>
      <c r="D44">
        <f t="shared" si="0"/>
        <v>-0.27419376000000006</v>
      </c>
      <c r="E44">
        <f t="shared" si="1"/>
        <v>0.27419376000000006</v>
      </c>
      <c r="F44">
        <f t="shared" si="2"/>
        <v>7.5182218022937633E-2</v>
      </c>
      <c r="I44">
        <v>-0.21495023999999999</v>
      </c>
    </row>
    <row r="45" spans="1:9" x14ac:dyDescent="0.45">
      <c r="A45" t="s">
        <v>34</v>
      </c>
      <c r="B45">
        <v>-0.21154413999999999</v>
      </c>
      <c r="C45">
        <v>-0.46321099999999998</v>
      </c>
      <c r="D45">
        <f t="shared" si="0"/>
        <v>-0.25166685999999999</v>
      </c>
      <c r="E45">
        <f t="shared" si="1"/>
        <v>0.25166685999999999</v>
      </c>
      <c r="F45">
        <f t="shared" si="2"/>
        <v>6.3336208422259593E-2</v>
      </c>
      <c r="I45">
        <v>-0.21154413999999999</v>
      </c>
    </row>
    <row r="46" spans="1:9" x14ac:dyDescent="0.45">
      <c r="A46" t="s">
        <v>35</v>
      </c>
      <c r="B46">
        <v>-0.21022882000000001</v>
      </c>
      <c r="C46">
        <v>-0.47844199999999998</v>
      </c>
      <c r="D46">
        <f t="shared" si="0"/>
        <v>-0.26821317999999994</v>
      </c>
      <c r="E46">
        <f t="shared" si="1"/>
        <v>0.26821317999999994</v>
      </c>
      <c r="F46">
        <f t="shared" si="2"/>
        <v>7.1938309925712374E-2</v>
      </c>
      <c r="I46">
        <v>-0.21022882000000001</v>
      </c>
    </row>
    <row r="47" spans="1:9" x14ac:dyDescent="0.45">
      <c r="A47" t="s">
        <v>36</v>
      </c>
      <c r="B47">
        <v>-0.44306556000000002</v>
      </c>
      <c r="C47">
        <v>-0.55346600000000001</v>
      </c>
      <c r="D47">
        <f t="shared" si="0"/>
        <v>-0.11040043999999999</v>
      </c>
      <c r="E47">
        <f t="shared" si="1"/>
        <v>0.11040043999999999</v>
      </c>
      <c r="F47">
        <f t="shared" si="2"/>
        <v>1.2188257152193597E-2</v>
      </c>
      <c r="I47">
        <v>-0.44306556000000002</v>
      </c>
    </row>
    <row r="48" spans="1:9" x14ac:dyDescent="0.45">
      <c r="A48" t="s">
        <v>37</v>
      </c>
      <c r="B48">
        <v>-0.43483435999999998</v>
      </c>
      <c r="C48">
        <v>-0.532613</v>
      </c>
      <c r="D48">
        <f t="shared" si="0"/>
        <v>-9.7778640000000028E-2</v>
      </c>
      <c r="E48">
        <f t="shared" si="1"/>
        <v>9.7778640000000028E-2</v>
      </c>
      <c r="F48">
        <f t="shared" si="2"/>
        <v>9.5606624402496052E-3</v>
      </c>
      <c r="I48">
        <v>-0.43483435999999998</v>
      </c>
    </row>
    <row r="49" spans="1:9" x14ac:dyDescent="0.45">
      <c r="A49" t="s">
        <v>38</v>
      </c>
      <c r="B49">
        <v>-0.43138398999999999</v>
      </c>
      <c r="C49">
        <v>-0.54668300000000003</v>
      </c>
      <c r="D49">
        <f t="shared" si="0"/>
        <v>-0.11529901000000004</v>
      </c>
      <c r="E49">
        <f t="shared" si="1"/>
        <v>0.11529901000000004</v>
      </c>
      <c r="F49">
        <f t="shared" si="2"/>
        <v>1.3293861706980109E-2</v>
      </c>
      <c r="I49">
        <v>-0.43138398999999999</v>
      </c>
    </row>
    <row r="50" spans="1:9" x14ac:dyDescent="0.45">
      <c r="A50" t="s">
        <v>39</v>
      </c>
      <c r="B50">
        <v>-0.42203762</v>
      </c>
      <c r="C50">
        <v>-0.55353399999999997</v>
      </c>
      <c r="D50">
        <f t="shared" si="0"/>
        <v>-0.13149637999999997</v>
      </c>
      <c r="E50">
        <f t="shared" si="1"/>
        <v>0.13149637999999997</v>
      </c>
      <c r="F50">
        <f t="shared" si="2"/>
        <v>1.7291297953104391E-2</v>
      </c>
      <c r="I50">
        <v>-0.42203762</v>
      </c>
    </row>
    <row r="51" spans="1:9" x14ac:dyDescent="0.45">
      <c r="A51" t="s">
        <v>40</v>
      </c>
      <c r="B51">
        <v>-0.42282060999999999</v>
      </c>
      <c r="C51">
        <v>-0.55286100000000005</v>
      </c>
      <c r="D51">
        <f t="shared" si="0"/>
        <v>-0.13004039000000006</v>
      </c>
      <c r="E51">
        <f t="shared" si="1"/>
        <v>0.13004039000000006</v>
      </c>
      <c r="F51">
        <f t="shared" si="2"/>
        <v>1.6910503031352116E-2</v>
      </c>
      <c r="I51">
        <v>-0.42282060999999999</v>
      </c>
    </row>
    <row r="52" spans="1:9" x14ac:dyDescent="0.45">
      <c r="A52" t="s">
        <v>41</v>
      </c>
      <c r="B52">
        <v>-0.42927093</v>
      </c>
      <c r="C52">
        <v>-0.53984200000000004</v>
      </c>
      <c r="D52">
        <f t="shared" si="0"/>
        <v>-0.11057107000000005</v>
      </c>
      <c r="E52">
        <f t="shared" si="1"/>
        <v>0.11057107000000005</v>
      </c>
      <c r="F52">
        <f t="shared" si="2"/>
        <v>1.2225961520944911E-2</v>
      </c>
      <c r="I52">
        <v>-0.42927093</v>
      </c>
    </row>
    <row r="53" spans="1:9" x14ac:dyDescent="0.45">
      <c r="A53" t="s">
        <v>42</v>
      </c>
      <c r="B53">
        <v>-0.43049347999999998</v>
      </c>
      <c r="C53">
        <v>-0.55517000000000005</v>
      </c>
      <c r="D53">
        <f t="shared" si="0"/>
        <v>-0.12467652000000007</v>
      </c>
      <c r="E53">
        <f t="shared" si="1"/>
        <v>0.12467652000000007</v>
      </c>
      <c r="F53">
        <f t="shared" si="2"/>
        <v>1.5544234639310418E-2</v>
      </c>
      <c r="I53">
        <v>-0.43049347999999998</v>
      </c>
    </row>
    <row r="54" spans="1:9" x14ac:dyDescent="0.45">
      <c r="A54" t="s">
        <v>43</v>
      </c>
      <c r="B54">
        <v>-0.43817293000000002</v>
      </c>
      <c r="C54">
        <v>-0.54905300000000001</v>
      </c>
      <c r="D54">
        <f t="shared" si="0"/>
        <v>-0.11088007</v>
      </c>
      <c r="E54">
        <f t="shared" si="1"/>
        <v>0.11088007</v>
      </c>
      <c r="F54">
        <f t="shared" si="2"/>
        <v>1.2294389923204899E-2</v>
      </c>
      <c r="I54">
        <v>-0.43817293000000002</v>
      </c>
    </row>
    <row r="55" spans="1:9" x14ac:dyDescent="0.45">
      <c r="A55" t="s">
        <v>44</v>
      </c>
      <c r="B55">
        <v>-0.15071424999999999</v>
      </c>
      <c r="C55">
        <v>-0.56582299999999996</v>
      </c>
      <c r="D55">
        <f t="shared" si="0"/>
        <v>-0.41510874999999997</v>
      </c>
      <c r="E55">
        <f t="shared" si="1"/>
        <v>0.41510874999999997</v>
      </c>
      <c r="F55">
        <f t="shared" si="2"/>
        <v>0.17231527432656246</v>
      </c>
      <c r="I55">
        <v>-0.15071424999999999</v>
      </c>
    </row>
    <row r="56" spans="1:9" x14ac:dyDescent="0.45">
      <c r="A56" t="s">
        <v>45</v>
      </c>
      <c r="B56">
        <v>-0.14433794</v>
      </c>
      <c r="C56">
        <v>-0.59638199999999997</v>
      </c>
      <c r="D56">
        <f t="shared" si="0"/>
        <v>-0.45204405999999997</v>
      </c>
      <c r="E56">
        <f t="shared" si="1"/>
        <v>0.45204405999999997</v>
      </c>
      <c r="F56">
        <f t="shared" si="2"/>
        <v>0.20434383218128357</v>
      </c>
      <c r="I56">
        <v>-0.14433794</v>
      </c>
    </row>
    <row r="57" spans="1:9" x14ac:dyDescent="0.45">
      <c r="A57" t="s">
        <v>46</v>
      </c>
      <c r="B57">
        <v>-0.33981011999999999</v>
      </c>
      <c r="C57">
        <v>-0.58316599999999996</v>
      </c>
      <c r="D57">
        <f t="shared" si="0"/>
        <v>-0.24335587999999997</v>
      </c>
      <c r="E57">
        <f t="shared" si="1"/>
        <v>0.24335587999999997</v>
      </c>
      <c r="F57">
        <f t="shared" si="2"/>
        <v>5.9222084330574382E-2</v>
      </c>
      <c r="I57">
        <v>-0.33981011999999999</v>
      </c>
    </row>
    <row r="58" spans="1:9" x14ac:dyDescent="0.45">
      <c r="A58" t="s">
        <v>47</v>
      </c>
      <c r="B58">
        <v>-0.34796704000000001</v>
      </c>
      <c r="C58">
        <v>-0.67084299999999997</v>
      </c>
      <c r="D58">
        <f t="shared" si="0"/>
        <v>-0.32287595999999996</v>
      </c>
      <c r="E58">
        <f t="shared" si="1"/>
        <v>0.32287595999999996</v>
      </c>
      <c r="F58">
        <f t="shared" si="2"/>
        <v>0.10424888554592157</v>
      </c>
      <c r="I58">
        <v>-0.34796704000000001</v>
      </c>
    </row>
    <row r="59" spans="1:9" x14ac:dyDescent="0.45">
      <c r="A59" t="s">
        <v>48</v>
      </c>
      <c r="B59">
        <v>-0.18523949000000001</v>
      </c>
      <c r="C59">
        <v>-0.60300500000000001</v>
      </c>
      <c r="D59">
        <f t="shared" si="0"/>
        <v>-0.41776551000000001</v>
      </c>
      <c r="E59">
        <f t="shared" si="1"/>
        <v>0.41776551000000001</v>
      </c>
      <c r="F59">
        <f t="shared" si="2"/>
        <v>0.17452802134556011</v>
      </c>
      <c r="I59">
        <v>-0.18523949000000001</v>
      </c>
    </row>
    <row r="60" spans="1:9" x14ac:dyDescent="0.45">
      <c r="A60" t="s">
        <v>49</v>
      </c>
      <c r="B60">
        <v>-0.15531002999999999</v>
      </c>
      <c r="C60">
        <v>-0.46066699999999999</v>
      </c>
      <c r="D60">
        <f t="shared" si="0"/>
        <v>-0.30535697000000001</v>
      </c>
      <c r="E60">
        <f t="shared" si="1"/>
        <v>0.30535697000000001</v>
      </c>
      <c r="F60">
        <f t="shared" si="2"/>
        <v>9.3242879127580905E-2</v>
      </c>
      <c r="I60">
        <v>-0.15531002999999999</v>
      </c>
    </row>
    <row r="61" spans="1:9" x14ac:dyDescent="0.45">
      <c r="A61" t="s">
        <v>50</v>
      </c>
      <c r="B61">
        <v>-0.16771808999999999</v>
      </c>
      <c r="C61">
        <v>-0.40044099999999999</v>
      </c>
      <c r="D61">
        <f t="shared" si="0"/>
        <v>-0.23272291000000001</v>
      </c>
      <c r="E61">
        <f t="shared" si="1"/>
        <v>0.23272291000000001</v>
      </c>
      <c r="F61">
        <f t="shared" si="2"/>
        <v>5.4159952838868104E-2</v>
      </c>
      <c r="I61">
        <v>-0.16771808999999999</v>
      </c>
    </row>
    <row r="62" spans="1:9" x14ac:dyDescent="0.45">
      <c r="A62" t="s">
        <v>51</v>
      </c>
      <c r="B62">
        <v>-0.13454337</v>
      </c>
      <c r="C62">
        <v>-0.47406199999999998</v>
      </c>
      <c r="D62">
        <f t="shared" si="0"/>
        <v>-0.33951862999999999</v>
      </c>
      <c r="E62">
        <f t="shared" si="1"/>
        <v>0.33951862999999999</v>
      </c>
      <c r="F62">
        <f t="shared" si="2"/>
        <v>0.11527290011707689</v>
      </c>
      <c r="I62">
        <v>-0.13454337</v>
      </c>
    </row>
    <row r="63" spans="1:9" x14ac:dyDescent="0.45">
      <c r="A63" t="s">
        <v>52</v>
      </c>
      <c r="B63">
        <v>-0.12238313000000001</v>
      </c>
      <c r="C63">
        <v>-0.51604899999999998</v>
      </c>
      <c r="D63">
        <f t="shared" si="0"/>
        <v>-0.39366586999999997</v>
      </c>
      <c r="E63">
        <f t="shared" si="1"/>
        <v>0.39366586999999997</v>
      </c>
      <c r="F63">
        <f t="shared" si="2"/>
        <v>0.15497281720285688</v>
      </c>
      <c r="I63">
        <v>-0.12238313000000001</v>
      </c>
    </row>
    <row r="64" spans="1:9" x14ac:dyDescent="0.45">
      <c r="A64" t="s">
        <v>53</v>
      </c>
      <c r="B64">
        <v>-0.13314031000000001</v>
      </c>
      <c r="C64">
        <v>-0.51748000000000005</v>
      </c>
      <c r="D64">
        <f t="shared" si="0"/>
        <v>-0.38433969000000001</v>
      </c>
      <c r="E64">
        <f t="shared" si="1"/>
        <v>0.38433969000000001</v>
      </c>
      <c r="F64">
        <f t="shared" si="2"/>
        <v>0.14771699730929611</v>
      </c>
      <c r="I64">
        <v>-0.13314031000000001</v>
      </c>
    </row>
    <row r="65" spans="1:9" x14ac:dyDescent="0.45">
      <c r="A65" t="s">
        <v>129</v>
      </c>
      <c r="B65">
        <v>-0.22769085999999999</v>
      </c>
      <c r="C65">
        <v>-0.469642</v>
      </c>
      <c r="D65">
        <f t="shared" si="0"/>
        <v>-0.24195114000000001</v>
      </c>
      <c r="E65">
        <f t="shared" si="1"/>
        <v>0.24195114000000001</v>
      </c>
      <c r="F65">
        <f t="shared" si="2"/>
        <v>5.8540354147299606E-2</v>
      </c>
      <c r="I65">
        <v>-0.22769085999999999</v>
      </c>
    </row>
    <row r="66" spans="1:9" x14ac:dyDescent="0.45">
      <c r="A66" t="s">
        <v>130</v>
      </c>
      <c r="B66">
        <v>-0.19271547</v>
      </c>
      <c r="C66">
        <v>-0.50677700000000003</v>
      </c>
      <c r="D66">
        <f t="shared" si="0"/>
        <v>-0.31406153000000003</v>
      </c>
      <c r="E66">
        <f t="shared" si="1"/>
        <v>0.31406153000000003</v>
      </c>
      <c r="F66">
        <f t="shared" si="2"/>
        <v>9.8634644625940918E-2</v>
      </c>
      <c r="I66">
        <v>-0.19271547</v>
      </c>
    </row>
    <row r="67" spans="1:9" x14ac:dyDescent="0.45">
      <c r="A67" t="s">
        <v>54</v>
      </c>
      <c r="B67">
        <v>-0.20116202</v>
      </c>
      <c r="C67">
        <v>-0.48278100000000002</v>
      </c>
      <c r="D67">
        <f t="shared" ref="D67:D130" si="3">(C67-B67)</f>
        <v>-0.28161898000000002</v>
      </c>
      <c r="E67">
        <f t="shared" ref="E67:E130" si="4">ABS(D67)</f>
        <v>0.28161898000000002</v>
      </c>
      <c r="F67">
        <f t="shared" ref="F67:F130" si="5">E67^2</f>
        <v>7.9309249896240414E-2</v>
      </c>
      <c r="I67">
        <v>-0.20116202</v>
      </c>
    </row>
    <row r="68" spans="1:9" x14ac:dyDescent="0.45">
      <c r="A68" t="s">
        <v>55</v>
      </c>
      <c r="B68">
        <v>-0.21273679000000001</v>
      </c>
      <c r="C68">
        <v>-0.48558299999999999</v>
      </c>
      <c r="D68">
        <f t="shared" si="3"/>
        <v>-0.27284620999999998</v>
      </c>
      <c r="E68">
        <f t="shared" si="4"/>
        <v>0.27284620999999998</v>
      </c>
      <c r="F68">
        <f t="shared" si="5"/>
        <v>7.4445054311364084E-2</v>
      </c>
      <c r="I68">
        <v>-0.21273679000000001</v>
      </c>
    </row>
    <row r="69" spans="1:9" x14ac:dyDescent="0.45">
      <c r="A69" t="s">
        <v>56</v>
      </c>
      <c r="B69">
        <v>-0.20470247999999999</v>
      </c>
      <c r="C69">
        <v>-0.49150700000000003</v>
      </c>
      <c r="D69">
        <f t="shared" si="3"/>
        <v>-0.28680452000000001</v>
      </c>
      <c r="E69">
        <f t="shared" si="4"/>
        <v>0.28680452000000001</v>
      </c>
      <c r="F69">
        <f t="shared" si="5"/>
        <v>8.2256832692430407E-2</v>
      </c>
      <c r="I69">
        <v>-0.20470247999999999</v>
      </c>
    </row>
    <row r="70" spans="1:9" x14ac:dyDescent="0.45">
      <c r="A70" t="s">
        <v>57</v>
      </c>
      <c r="B70">
        <v>-0.20531977000000001</v>
      </c>
      <c r="C70">
        <v>-0.49499700000000002</v>
      </c>
      <c r="D70">
        <f t="shared" si="3"/>
        <v>-0.28967723000000001</v>
      </c>
      <c r="E70">
        <f t="shared" si="4"/>
        <v>0.28967723000000001</v>
      </c>
      <c r="F70">
        <f t="shared" si="5"/>
        <v>8.3912897580472906E-2</v>
      </c>
      <c r="I70">
        <v>-0.20531977000000001</v>
      </c>
    </row>
    <row r="71" spans="1:9" x14ac:dyDescent="0.45">
      <c r="A71" t="s">
        <v>58</v>
      </c>
      <c r="B71">
        <v>-0.18525004</v>
      </c>
      <c r="C71">
        <v>-0.60120899999999999</v>
      </c>
      <c r="D71">
        <f t="shared" si="3"/>
        <v>-0.41595895999999999</v>
      </c>
      <c r="E71">
        <f t="shared" si="4"/>
        <v>0.41595895999999999</v>
      </c>
      <c r="F71">
        <f t="shared" si="5"/>
        <v>0.17302185640428158</v>
      </c>
      <c r="I71">
        <v>-0.18525004</v>
      </c>
    </row>
    <row r="72" spans="1:9" x14ac:dyDescent="0.45">
      <c r="A72" t="s">
        <v>131</v>
      </c>
      <c r="B72">
        <v>-0.19306359000000001</v>
      </c>
      <c r="C72">
        <v>-0.49299100000000001</v>
      </c>
      <c r="D72">
        <f t="shared" si="3"/>
        <v>-0.29992741000000001</v>
      </c>
      <c r="E72">
        <f t="shared" si="4"/>
        <v>0.29992741000000001</v>
      </c>
      <c r="F72">
        <f t="shared" si="5"/>
        <v>8.9956451269308096E-2</v>
      </c>
      <c r="I72">
        <v>-0.19306359000000001</v>
      </c>
    </row>
    <row r="73" spans="1:9" x14ac:dyDescent="0.45">
      <c r="A73" t="s">
        <v>132</v>
      </c>
      <c r="B73">
        <v>-0.20027448</v>
      </c>
      <c r="C73">
        <v>-0.49116399999999999</v>
      </c>
      <c r="D73">
        <f t="shared" si="3"/>
        <v>-0.29088952000000001</v>
      </c>
      <c r="E73">
        <f t="shared" si="4"/>
        <v>0.29088952000000001</v>
      </c>
      <c r="F73">
        <f t="shared" si="5"/>
        <v>8.4616712845830402E-2</v>
      </c>
      <c r="I73">
        <v>-0.20027448</v>
      </c>
    </row>
    <row r="74" spans="1:9" x14ac:dyDescent="0.45">
      <c r="A74" t="s">
        <v>133</v>
      </c>
      <c r="B74">
        <v>-0.1008812</v>
      </c>
      <c r="C74">
        <v>0.51960600000000001</v>
      </c>
      <c r="D74">
        <f t="shared" si="3"/>
        <v>0.62048720000000002</v>
      </c>
      <c r="E74">
        <f t="shared" si="4"/>
        <v>0.62048720000000002</v>
      </c>
      <c r="F74">
        <f t="shared" si="5"/>
        <v>0.38500436536384003</v>
      </c>
      <c r="I74">
        <v>-0.1008812</v>
      </c>
    </row>
    <row r="75" spans="1:9" x14ac:dyDescent="0.45">
      <c r="A75" t="s">
        <v>59</v>
      </c>
      <c r="B75">
        <v>-0.13570098</v>
      </c>
      <c r="C75">
        <v>0.50461699999999998</v>
      </c>
      <c r="D75">
        <f t="shared" si="3"/>
        <v>0.64031797999999995</v>
      </c>
      <c r="E75">
        <f t="shared" si="4"/>
        <v>0.64031797999999995</v>
      </c>
      <c r="F75">
        <f t="shared" si="5"/>
        <v>0.41000711551128033</v>
      </c>
      <c r="I75">
        <v>-0.13570098</v>
      </c>
    </row>
    <row r="76" spans="1:9" x14ac:dyDescent="0.45">
      <c r="A76" t="s">
        <v>60</v>
      </c>
      <c r="B76">
        <v>-0.20545437999999999</v>
      </c>
      <c r="C76">
        <v>-0.47521099999999999</v>
      </c>
      <c r="D76">
        <f t="shared" si="3"/>
        <v>-0.26975662</v>
      </c>
      <c r="E76">
        <f t="shared" si="4"/>
        <v>0.26975662</v>
      </c>
      <c r="F76">
        <f t="shared" si="5"/>
        <v>7.27686340338244E-2</v>
      </c>
      <c r="I76">
        <v>-0.20545437999999999</v>
      </c>
    </row>
    <row r="77" spans="1:9" x14ac:dyDescent="0.45">
      <c r="A77" t="s">
        <v>61</v>
      </c>
      <c r="B77">
        <v>-0.21632681000000001</v>
      </c>
      <c r="C77">
        <v>-0.46771499999999999</v>
      </c>
      <c r="D77">
        <f t="shared" si="3"/>
        <v>-0.25138819000000001</v>
      </c>
      <c r="E77">
        <f t="shared" si="4"/>
        <v>0.25138819000000001</v>
      </c>
      <c r="F77">
        <f t="shared" si="5"/>
        <v>6.3196022071476107E-2</v>
      </c>
      <c r="I77">
        <v>-0.21632681000000001</v>
      </c>
    </row>
    <row r="78" spans="1:9" x14ac:dyDescent="0.45">
      <c r="A78" t="s">
        <v>62</v>
      </c>
      <c r="B78">
        <v>-0.20462727999999999</v>
      </c>
      <c r="C78">
        <v>-0.473549</v>
      </c>
      <c r="D78">
        <f t="shared" si="3"/>
        <v>-0.26892172000000003</v>
      </c>
      <c r="E78">
        <f t="shared" si="4"/>
        <v>0.26892172000000003</v>
      </c>
      <c r="F78">
        <f t="shared" si="5"/>
        <v>7.2318891487758413E-2</v>
      </c>
      <c r="I78">
        <v>-0.20462727999999999</v>
      </c>
    </row>
    <row r="79" spans="1:9" x14ac:dyDescent="0.45">
      <c r="A79" t="s">
        <v>63</v>
      </c>
      <c r="B79">
        <v>-0.20702006000000001</v>
      </c>
      <c r="C79">
        <v>-0.49499700000000002</v>
      </c>
      <c r="D79">
        <f t="shared" si="3"/>
        <v>-0.28797694000000001</v>
      </c>
      <c r="E79">
        <f t="shared" si="4"/>
        <v>0.28797694000000001</v>
      </c>
      <c r="F79">
        <f t="shared" si="5"/>
        <v>8.2930717971763615E-2</v>
      </c>
      <c r="I79">
        <v>-0.20702006000000001</v>
      </c>
    </row>
    <row r="80" spans="1:9" x14ac:dyDescent="0.45">
      <c r="A80" t="s">
        <v>64</v>
      </c>
      <c r="B80">
        <v>-0.20333330999999999</v>
      </c>
      <c r="C80">
        <v>-0.48072399999999998</v>
      </c>
      <c r="D80">
        <f t="shared" si="3"/>
        <v>-0.27739069</v>
      </c>
      <c r="E80">
        <f t="shared" si="4"/>
        <v>0.27739069</v>
      </c>
      <c r="F80">
        <f t="shared" si="5"/>
        <v>7.6945594898676098E-2</v>
      </c>
      <c r="I80">
        <v>-0.20333330999999999</v>
      </c>
    </row>
    <row r="81" spans="1:9" x14ac:dyDescent="0.45">
      <c r="A81" t="s">
        <v>65</v>
      </c>
      <c r="B81">
        <v>-0.21784086999999999</v>
      </c>
      <c r="C81">
        <v>-0.46309699999999998</v>
      </c>
      <c r="D81">
        <f t="shared" si="3"/>
        <v>-0.24525612999999999</v>
      </c>
      <c r="E81">
        <f t="shared" si="4"/>
        <v>0.24525612999999999</v>
      </c>
      <c r="F81">
        <f t="shared" si="5"/>
        <v>6.0150569302576895E-2</v>
      </c>
      <c r="I81">
        <v>-0.21784086999999999</v>
      </c>
    </row>
    <row r="82" spans="1:9" x14ac:dyDescent="0.45">
      <c r="A82" t="s">
        <v>66</v>
      </c>
      <c r="B82">
        <v>-0.21532403999999999</v>
      </c>
      <c r="C82">
        <v>-0.48893599999999998</v>
      </c>
      <c r="D82">
        <f t="shared" si="3"/>
        <v>-0.27361195999999999</v>
      </c>
      <c r="E82">
        <f t="shared" si="4"/>
        <v>0.27361195999999999</v>
      </c>
      <c r="F82">
        <f t="shared" si="5"/>
        <v>7.4863504655041588E-2</v>
      </c>
      <c r="I82">
        <v>-0.21532403999999999</v>
      </c>
    </row>
    <row r="83" spans="1:9" x14ac:dyDescent="0.45">
      <c r="A83" t="s">
        <v>67</v>
      </c>
      <c r="B83">
        <v>-0.19788738</v>
      </c>
      <c r="C83">
        <v>-0.50606600000000002</v>
      </c>
      <c r="D83">
        <f t="shared" si="3"/>
        <v>-0.30817862000000001</v>
      </c>
      <c r="E83">
        <f t="shared" si="4"/>
        <v>0.30817862000000001</v>
      </c>
      <c r="F83">
        <f t="shared" si="5"/>
        <v>9.4974061825104414E-2</v>
      </c>
      <c r="I83">
        <v>-0.19788738</v>
      </c>
    </row>
    <row r="84" spans="1:9" x14ac:dyDescent="0.45">
      <c r="A84" t="s">
        <v>134</v>
      </c>
      <c r="B84">
        <v>-0.23803260000000001</v>
      </c>
      <c r="C84">
        <v>-0.40453699999999998</v>
      </c>
      <c r="D84">
        <f t="shared" si="3"/>
        <v>-0.16650439999999997</v>
      </c>
      <c r="E84">
        <f t="shared" si="4"/>
        <v>0.16650439999999997</v>
      </c>
      <c r="F84">
        <f t="shared" si="5"/>
        <v>2.7723715219359988E-2</v>
      </c>
      <c r="I84">
        <v>-0.23803260000000001</v>
      </c>
    </row>
    <row r="85" spans="1:9" x14ac:dyDescent="0.45">
      <c r="A85" t="s">
        <v>135</v>
      </c>
      <c r="B85">
        <v>-1.9719690000000002E-2</v>
      </c>
      <c r="C85">
        <v>0.53888000000000003</v>
      </c>
      <c r="D85">
        <f t="shared" si="3"/>
        <v>0.55859968999999998</v>
      </c>
      <c r="E85">
        <f t="shared" si="4"/>
        <v>0.55859968999999998</v>
      </c>
      <c r="F85">
        <f t="shared" si="5"/>
        <v>0.31203361366809607</v>
      </c>
      <c r="I85">
        <v>-1.9719690000000002E-2</v>
      </c>
    </row>
    <row r="86" spans="1:9" x14ac:dyDescent="0.45">
      <c r="A86" t="s">
        <v>136</v>
      </c>
      <c r="B86">
        <v>-0.19529716999999999</v>
      </c>
      <c r="C86">
        <v>-0.49047299999999999</v>
      </c>
      <c r="D86">
        <f t="shared" si="3"/>
        <v>-0.29517583000000003</v>
      </c>
      <c r="E86">
        <f t="shared" si="4"/>
        <v>0.29517583000000003</v>
      </c>
      <c r="F86">
        <f t="shared" si="5"/>
        <v>8.7128770616188914E-2</v>
      </c>
      <c r="I86">
        <v>-0.19529716999999999</v>
      </c>
    </row>
    <row r="87" spans="1:9" x14ac:dyDescent="0.45">
      <c r="A87" t="s">
        <v>137</v>
      </c>
      <c r="B87">
        <v>-0.20500934000000001</v>
      </c>
      <c r="C87">
        <v>-0.50442600000000004</v>
      </c>
      <c r="D87">
        <f t="shared" si="3"/>
        <v>-0.29941666</v>
      </c>
      <c r="E87">
        <f t="shared" si="4"/>
        <v>0.29941666</v>
      </c>
      <c r="F87">
        <f t="shared" si="5"/>
        <v>8.9650336285555604E-2</v>
      </c>
      <c r="I87">
        <v>-0.20500934000000001</v>
      </c>
    </row>
    <row r="88" spans="1:9" x14ac:dyDescent="0.45">
      <c r="A88" t="s">
        <v>138</v>
      </c>
      <c r="B88">
        <v>-0.21026550999999999</v>
      </c>
      <c r="C88">
        <v>-0.48766199999999998</v>
      </c>
      <c r="D88">
        <f t="shared" si="3"/>
        <v>-0.27739649</v>
      </c>
      <c r="E88">
        <f t="shared" si="4"/>
        <v>0.27739649</v>
      </c>
      <c r="F88">
        <f t="shared" si="5"/>
        <v>7.6948812664320104E-2</v>
      </c>
      <c r="I88">
        <v>-0.21026550999999999</v>
      </c>
    </row>
    <row r="89" spans="1:9" x14ac:dyDescent="0.45">
      <c r="A89" t="s">
        <v>68</v>
      </c>
      <c r="B89">
        <v>-0.25701085000000001</v>
      </c>
      <c r="C89">
        <v>-0.45693800000000001</v>
      </c>
      <c r="D89">
        <f t="shared" si="3"/>
        <v>-0.19992715</v>
      </c>
      <c r="E89">
        <f t="shared" si="4"/>
        <v>0.19992715</v>
      </c>
      <c r="F89">
        <f t="shared" si="5"/>
        <v>3.9970865307122502E-2</v>
      </c>
      <c r="I89">
        <v>-0.25701085000000001</v>
      </c>
    </row>
    <row r="90" spans="1:9" x14ac:dyDescent="0.45">
      <c r="A90" t="s">
        <v>69</v>
      </c>
      <c r="B90">
        <v>-0.13312953</v>
      </c>
      <c r="C90">
        <v>-0.54102700000000004</v>
      </c>
      <c r="D90">
        <f t="shared" si="3"/>
        <v>-0.40789747000000004</v>
      </c>
      <c r="E90">
        <f t="shared" si="4"/>
        <v>0.40789747000000004</v>
      </c>
      <c r="F90">
        <f t="shared" si="5"/>
        <v>0.16638034603240093</v>
      </c>
      <c r="I90">
        <v>-0.13312953</v>
      </c>
    </row>
    <row r="91" spans="1:9" x14ac:dyDescent="0.45">
      <c r="A91" t="s">
        <v>70</v>
      </c>
      <c r="B91">
        <v>-0.13926626</v>
      </c>
      <c r="C91">
        <v>-0.51290199999999997</v>
      </c>
      <c r="D91">
        <f t="shared" si="3"/>
        <v>-0.37363573999999999</v>
      </c>
      <c r="E91">
        <f t="shared" si="4"/>
        <v>0.37363573999999999</v>
      </c>
      <c r="F91">
        <f t="shared" si="5"/>
        <v>0.13960366620534759</v>
      </c>
      <c r="I91">
        <v>-0.13926626</v>
      </c>
    </row>
    <row r="92" spans="1:9" x14ac:dyDescent="0.45">
      <c r="A92" t="s">
        <v>71</v>
      </c>
      <c r="B92">
        <v>-0.12205955</v>
      </c>
      <c r="C92">
        <v>-0.53401299999999996</v>
      </c>
      <c r="D92">
        <f t="shared" si="3"/>
        <v>-0.41195344999999994</v>
      </c>
      <c r="E92">
        <f t="shared" si="4"/>
        <v>0.41195344999999994</v>
      </c>
      <c r="F92">
        <f t="shared" si="5"/>
        <v>0.16970564496690246</v>
      </c>
      <c r="I92">
        <v>-0.12205955</v>
      </c>
    </row>
    <row r="93" spans="1:9" x14ac:dyDescent="0.45">
      <c r="A93" t="s">
        <v>72</v>
      </c>
      <c r="B93">
        <v>-0.19630659</v>
      </c>
      <c r="C93">
        <v>-0.600769</v>
      </c>
      <c r="D93">
        <f t="shared" si="3"/>
        <v>-0.40446240999999999</v>
      </c>
      <c r="E93">
        <f t="shared" si="4"/>
        <v>0.40446240999999999</v>
      </c>
      <c r="F93">
        <f t="shared" si="5"/>
        <v>0.16358984110300809</v>
      </c>
      <c r="I93">
        <v>-0.19630659</v>
      </c>
    </row>
    <row r="94" spans="1:9" x14ac:dyDescent="0.45">
      <c r="A94" t="s">
        <v>73</v>
      </c>
      <c r="B94">
        <v>-0.1722794</v>
      </c>
      <c r="C94">
        <v>-0.52664999999999995</v>
      </c>
      <c r="D94">
        <f t="shared" si="3"/>
        <v>-0.35437059999999998</v>
      </c>
      <c r="E94">
        <f t="shared" si="4"/>
        <v>0.35437059999999998</v>
      </c>
      <c r="F94">
        <f t="shared" si="5"/>
        <v>0.12557852214435999</v>
      </c>
      <c r="I94">
        <v>-0.1722794</v>
      </c>
    </row>
    <row r="95" spans="1:9" x14ac:dyDescent="0.45">
      <c r="A95" t="s">
        <v>74</v>
      </c>
      <c r="B95">
        <v>-0.17747927999999999</v>
      </c>
      <c r="C95">
        <v>-0.511602</v>
      </c>
      <c r="D95">
        <f t="shared" si="3"/>
        <v>-0.33412271999999998</v>
      </c>
      <c r="E95">
        <f t="shared" si="4"/>
        <v>0.33412271999999998</v>
      </c>
      <c r="F95">
        <f t="shared" si="5"/>
        <v>0.11163799202019839</v>
      </c>
      <c r="I95">
        <v>-0.17747927999999999</v>
      </c>
    </row>
    <row r="96" spans="1:9" x14ac:dyDescent="0.45">
      <c r="A96" t="s">
        <v>75</v>
      </c>
      <c r="B96">
        <v>-0.17304175999999999</v>
      </c>
      <c r="C96">
        <v>-0.52855099999999999</v>
      </c>
      <c r="D96">
        <f t="shared" si="3"/>
        <v>-0.35550924</v>
      </c>
      <c r="E96">
        <f t="shared" si="4"/>
        <v>0.35550924</v>
      </c>
      <c r="F96">
        <f t="shared" si="5"/>
        <v>0.1263868197253776</v>
      </c>
      <c r="I96">
        <v>-0.17304175999999999</v>
      </c>
    </row>
    <row r="97" spans="1:9" x14ac:dyDescent="0.45">
      <c r="A97" t="s">
        <v>76</v>
      </c>
      <c r="B97">
        <v>-0.16717561</v>
      </c>
      <c r="C97">
        <v>-0.50868199999999997</v>
      </c>
      <c r="D97">
        <f t="shared" si="3"/>
        <v>-0.34150638999999994</v>
      </c>
      <c r="E97">
        <f t="shared" si="4"/>
        <v>0.34150638999999994</v>
      </c>
      <c r="F97">
        <f t="shared" si="5"/>
        <v>0.11662661441083205</v>
      </c>
      <c r="I97">
        <v>-0.16717561</v>
      </c>
    </row>
    <row r="98" spans="1:9" x14ac:dyDescent="0.45">
      <c r="A98" t="s">
        <v>77</v>
      </c>
      <c r="B98">
        <v>-0.1734773</v>
      </c>
      <c r="C98">
        <v>-0.50785100000000005</v>
      </c>
      <c r="D98">
        <f t="shared" si="3"/>
        <v>-0.33437370000000005</v>
      </c>
      <c r="E98">
        <f t="shared" si="4"/>
        <v>0.33437370000000005</v>
      </c>
      <c r="F98">
        <f t="shared" si="5"/>
        <v>0.11180577125169003</v>
      </c>
      <c r="I98">
        <v>-0.1734773</v>
      </c>
    </row>
    <row r="99" spans="1:9" x14ac:dyDescent="0.45">
      <c r="A99" t="s">
        <v>78</v>
      </c>
      <c r="B99">
        <v>-0.33746388999999999</v>
      </c>
      <c r="C99">
        <v>-0.55025299999999999</v>
      </c>
      <c r="D99">
        <f t="shared" si="3"/>
        <v>-0.21278911</v>
      </c>
      <c r="E99">
        <f t="shared" si="4"/>
        <v>0.21278911</v>
      </c>
      <c r="F99">
        <f t="shared" si="5"/>
        <v>4.52792053345921E-2</v>
      </c>
      <c r="I99">
        <v>-0.33746388999999999</v>
      </c>
    </row>
    <row r="100" spans="1:9" x14ac:dyDescent="0.45">
      <c r="A100" t="s">
        <v>79</v>
      </c>
      <c r="B100">
        <v>-0.34365537000000002</v>
      </c>
      <c r="C100">
        <v>-0.58030400000000004</v>
      </c>
      <c r="D100">
        <f t="shared" si="3"/>
        <v>-0.23664863000000003</v>
      </c>
      <c r="E100">
        <f t="shared" si="4"/>
        <v>0.23664863000000003</v>
      </c>
      <c r="F100">
        <f t="shared" si="5"/>
        <v>5.6002574080876916E-2</v>
      </c>
      <c r="I100">
        <v>-0.34365537000000002</v>
      </c>
    </row>
    <row r="101" spans="1:9" x14ac:dyDescent="0.45">
      <c r="A101" t="s">
        <v>80</v>
      </c>
      <c r="B101">
        <v>-0.35896267999999998</v>
      </c>
      <c r="C101">
        <v>-0.55626900000000001</v>
      </c>
      <c r="D101">
        <f t="shared" si="3"/>
        <v>-0.19730632000000004</v>
      </c>
      <c r="E101">
        <f t="shared" si="4"/>
        <v>0.19730632000000004</v>
      </c>
      <c r="F101">
        <f t="shared" si="5"/>
        <v>3.8929783911942413E-2</v>
      </c>
      <c r="I101">
        <v>-0.35896267999999998</v>
      </c>
    </row>
    <row r="102" spans="1:9" x14ac:dyDescent="0.45">
      <c r="A102" t="s">
        <v>81</v>
      </c>
      <c r="B102">
        <v>-0.26321277999999998</v>
      </c>
      <c r="C102">
        <v>-0.59123000000000003</v>
      </c>
      <c r="D102">
        <f t="shared" si="3"/>
        <v>-0.32801722000000005</v>
      </c>
      <c r="E102">
        <f t="shared" si="4"/>
        <v>0.32801722000000005</v>
      </c>
      <c r="F102">
        <f t="shared" si="5"/>
        <v>0.10759529661652843</v>
      </c>
      <c r="I102">
        <v>-0.26321277999999998</v>
      </c>
    </row>
    <row r="103" spans="1:9" x14ac:dyDescent="0.45">
      <c r="A103" t="s">
        <v>82</v>
      </c>
      <c r="B103">
        <v>-0.35174768000000001</v>
      </c>
      <c r="C103">
        <v>-0.589445</v>
      </c>
      <c r="D103">
        <f t="shared" si="3"/>
        <v>-0.23769731999999999</v>
      </c>
      <c r="E103">
        <f t="shared" si="4"/>
        <v>0.23769731999999999</v>
      </c>
      <c r="F103">
        <f t="shared" si="5"/>
        <v>5.6500015935182397E-2</v>
      </c>
      <c r="I103">
        <v>-0.35174768000000001</v>
      </c>
    </row>
    <row r="104" spans="1:9" x14ac:dyDescent="0.45">
      <c r="A104" t="s">
        <v>83</v>
      </c>
      <c r="B104">
        <v>-0.34621450999999998</v>
      </c>
      <c r="C104">
        <v>-0.56525800000000004</v>
      </c>
      <c r="D104">
        <f t="shared" si="3"/>
        <v>-0.21904349000000006</v>
      </c>
      <c r="E104">
        <f t="shared" si="4"/>
        <v>0.21904349000000006</v>
      </c>
      <c r="F104">
        <f t="shared" si="5"/>
        <v>4.7980050511380129E-2</v>
      </c>
      <c r="I104">
        <v>-0.34621450999999998</v>
      </c>
    </row>
    <row r="105" spans="1:9" x14ac:dyDescent="0.45">
      <c r="A105" t="s">
        <v>84</v>
      </c>
      <c r="B105">
        <v>-0.21994742</v>
      </c>
      <c r="C105">
        <v>-0.48782199999999998</v>
      </c>
      <c r="D105">
        <f t="shared" si="3"/>
        <v>-0.26787457999999997</v>
      </c>
      <c r="E105">
        <f t="shared" si="4"/>
        <v>0.26787457999999997</v>
      </c>
      <c r="F105">
        <f t="shared" si="5"/>
        <v>7.1756790610176382E-2</v>
      </c>
      <c r="I105">
        <v>-0.21994742</v>
      </c>
    </row>
    <row r="106" spans="1:9" x14ac:dyDescent="0.45">
      <c r="A106" t="s">
        <v>139</v>
      </c>
      <c r="B106">
        <v>-0.11420158</v>
      </c>
      <c r="C106">
        <v>-0.43741600000000003</v>
      </c>
      <c r="D106">
        <f t="shared" si="3"/>
        <v>-0.32321442</v>
      </c>
      <c r="E106">
        <f t="shared" si="4"/>
        <v>0.32321442</v>
      </c>
      <c r="F106">
        <f t="shared" si="5"/>
        <v>0.1044675612959364</v>
      </c>
      <c r="I106">
        <v>-0.11420158</v>
      </c>
    </row>
    <row r="107" spans="1:9" x14ac:dyDescent="0.45">
      <c r="A107" t="s">
        <v>140</v>
      </c>
      <c r="B107">
        <v>-0.19068684</v>
      </c>
      <c r="C107">
        <v>-0.50872099999999998</v>
      </c>
      <c r="D107">
        <f t="shared" si="3"/>
        <v>-0.31803415999999995</v>
      </c>
      <c r="E107">
        <f t="shared" si="4"/>
        <v>0.31803415999999995</v>
      </c>
      <c r="F107">
        <f t="shared" si="5"/>
        <v>0.10114572692690557</v>
      </c>
      <c r="I107">
        <v>-0.19068684</v>
      </c>
    </row>
    <row r="108" spans="1:9" x14ac:dyDescent="0.45">
      <c r="A108" t="s">
        <v>85</v>
      </c>
      <c r="B108">
        <v>-0.20999242000000001</v>
      </c>
      <c r="C108">
        <v>-0.48811300000000002</v>
      </c>
      <c r="D108">
        <f t="shared" si="3"/>
        <v>-0.27812058000000001</v>
      </c>
      <c r="E108">
        <f t="shared" si="4"/>
        <v>0.27812058000000001</v>
      </c>
      <c r="F108">
        <f t="shared" si="5"/>
        <v>7.7351057019536401E-2</v>
      </c>
      <c r="I108">
        <v>-0.20999242000000001</v>
      </c>
    </row>
    <row r="109" spans="1:9" x14ac:dyDescent="0.45">
      <c r="A109" t="s">
        <v>86</v>
      </c>
      <c r="B109">
        <v>-0.21067768000000001</v>
      </c>
      <c r="C109">
        <v>-0.478883</v>
      </c>
      <c r="D109">
        <f t="shared" si="3"/>
        <v>-0.26820531999999997</v>
      </c>
      <c r="E109">
        <f t="shared" si="4"/>
        <v>0.26820531999999997</v>
      </c>
      <c r="F109">
        <f t="shared" si="5"/>
        <v>7.193409367630238E-2</v>
      </c>
      <c r="I109">
        <v>-0.21067768000000001</v>
      </c>
    </row>
    <row r="110" spans="1:9" x14ac:dyDescent="0.45">
      <c r="A110" t="s">
        <v>87</v>
      </c>
      <c r="B110">
        <v>-0.22502569</v>
      </c>
      <c r="C110">
        <v>-0.49068099999999998</v>
      </c>
      <c r="D110">
        <f t="shared" si="3"/>
        <v>-0.26565530999999998</v>
      </c>
      <c r="E110">
        <f t="shared" si="4"/>
        <v>0.26565530999999998</v>
      </c>
      <c r="F110">
        <f t="shared" si="5"/>
        <v>7.0572743731196083E-2</v>
      </c>
      <c r="I110">
        <v>-0.22502569</v>
      </c>
    </row>
    <row r="111" spans="1:9" x14ac:dyDescent="0.45">
      <c r="A111" t="s">
        <v>88</v>
      </c>
      <c r="B111">
        <v>-0.19965600999999999</v>
      </c>
      <c r="C111">
        <v>-0.47098899999999999</v>
      </c>
      <c r="D111">
        <f t="shared" si="3"/>
        <v>-0.27133299</v>
      </c>
      <c r="E111">
        <f t="shared" si="4"/>
        <v>0.27133299</v>
      </c>
      <c r="F111">
        <f t="shared" si="5"/>
        <v>7.3621591462340097E-2</v>
      </c>
      <c r="I111">
        <v>-0.19965600999999999</v>
      </c>
    </row>
    <row r="112" spans="1:9" x14ac:dyDescent="0.45">
      <c r="A112" t="s">
        <v>89</v>
      </c>
      <c r="B112">
        <v>-0.23817637999999999</v>
      </c>
      <c r="C112">
        <v>-0.47480099999999997</v>
      </c>
      <c r="D112">
        <f t="shared" si="3"/>
        <v>-0.23662461999999998</v>
      </c>
      <c r="E112">
        <f t="shared" si="4"/>
        <v>0.23662461999999998</v>
      </c>
      <c r="F112">
        <f t="shared" si="5"/>
        <v>5.5991210790144394E-2</v>
      </c>
      <c r="I112">
        <v>-0.23817637999999999</v>
      </c>
    </row>
    <row r="113" spans="1:9" x14ac:dyDescent="0.45">
      <c r="A113" t="s">
        <v>90</v>
      </c>
      <c r="B113">
        <v>-0.41307389999999999</v>
      </c>
      <c r="C113">
        <v>-0.54049000000000003</v>
      </c>
      <c r="D113">
        <f t="shared" si="3"/>
        <v>-0.12741610000000003</v>
      </c>
      <c r="E113">
        <f t="shared" si="4"/>
        <v>0.12741610000000003</v>
      </c>
      <c r="F113">
        <f t="shared" si="5"/>
        <v>1.6234862539210009E-2</v>
      </c>
      <c r="I113">
        <v>-0.41307389999999999</v>
      </c>
    </row>
    <row r="114" spans="1:9" x14ac:dyDescent="0.45">
      <c r="A114" t="s">
        <v>91</v>
      </c>
      <c r="B114">
        <v>-0.44803578999999999</v>
      </c>
      <c r="C114">
        <v>-0.53799300000000005</v>
      </c>
      <c r="D114">
        <f t="shared" si="3"/>
        <v>-8.9957210000000065E-2</v>
      </c>
      <c r="E114">
        <f t="shared" si="4"/>
        <v>8.9957210000000065E-2</v>
      </c>
      <c r="F114">
        <f t="shared" si="5"/>
        <v>8.0922996309841112E-3</v>
      </c>
      <c r="I114">
        <v>-0.44803578999999999</v>
      </c>
    </row>
    <row r="115" spans="1:9" x14ac:dyDescent="0.45">
      <c r="A115" t="s">
        <v>92</v>
      </c>
      <c r="B115">
        <v>-0.43684152999999998</v>
      </c>
      <c r="C115">
        <v>-0.54566499999999996</v>
      </c>
      <c r="D115">
        <f t="shared" si="3"/>
        <v>-0.10882346999999998</v>
      </c>
      <c r="E115">
        <f t="shared" si="4"/>
        <v>0.10882346999999998</v>
      </c>
      <c r="F115">
        <f t="shared" si="5"/>
        <v>1.1842547622840895E-2</v>
      </c>
      <c r="I115">
        <v>-0.43684152999999998</v>
      </c>
    </row>
    <row r="116" spans="1:9" x14ac:dyDescent="0.45">
      <c r="A116" t="s">
        <v>93</v>
      </c>
      <c r="B116">
        <v>-0.43229961</v>
      </c>
      <c r="C116">
        <v>-0.54105199999999998</v>
      </c>
      <c r="D116">
        <f t="shared" si="3"/>
        <v>-0.10875238999999998</v>
      </c>
      <c r="E116">
        <f t="shared" si="4"/>
        <v>0.10875238999999998</v>
      </c>
      <c r="F116">
        <f t="shared" si="5"/>
        <v>1.1827082330712094E-2</v>
      </c>
      <c r="I116">
        <v>-0.43229961</v>
      </c>
    </row>
    <row r="117" spans="1:9" x14ac:dyDescent="0.45">
      <c r="A117" t="s">
        <v>94</v>
      </c>
      <c r="B117">
        <v>-0.43413065000000001</v>
      </c>
      <c r="C117">
        <v>-0.54796699999999998</v>
      </c>
      <c r="D117">
        <f t="shared" si="3"/>
        <v>-0.11383634999999998</v>
      </c>
      <c r="E117">
        <f t="shared" si="4"/>
        <v>0.11383634999999998</v>
      </c>
      <c r="F117">
        <f t="shared" si="5"/>
        <v>1.2958714581322495E-2</v>
      </c>
      <c r="I117">
        <v>-0.43413065000000001</v>
      </c>
    </row>
    <row r="118" spans="1:9" x14ac:dyDescent="0.45">
      <c r="A118" t="s">
        <v>95</v>
      </c>
      <c r="B118">
        <v>-0.41907203999999998</v>
      </c>
      <c r="C118">
        <v>-0.54389799999999999</v>
      </c>
      <c r="D118">
        <f t="shared" si="3"/>
        <v>-0.12482596000000001</v>
      </c>
      <c r="E118">
        <f t="shared" si="4"/>
        <v>0.12482596000000001</v>
      </c>
      <c r="F118">
        <f t="shared" si="5"/>
        <v>1.5581520289921604E-2</v>
      </c>
      <c r="I118">
        <v>-0.41907203999999998</v>
      </c>
    </row>
    <row r="119" spans="1:9" x14ac:dyDescent="0.45">
      <c r="A119" t="s">
        <v>96</v>
      </c>
      <c r="B119">
        <v>-0.43115257000000001</v>
      </c>
      <c r="C119">
        <v>-0.55642899999999995</v>
      </c>
      <c r="D119">
        <f t="shared" si="3"/>
        <v>-0.12527642999999994</v>
      </c>
      <c r="E119">
        <f t="shared" si="4"/>
        <v>0.12527642999999994</v>
      </c>
      <c r="F119">
        <f t="shared" si="5"/>
        <v>1.5694183913544886E-2</v>
      </c>
      <c r="I119">
        <v>-0.43115257000000001</v>
      </c>
    </row>
    <row r="120" spans="1:9" x14ac:dyDescent="0.45">
      <c r="A120" t="s">
        <v>97</v>
      </c>
      <c r="B120">
        <v>-0.43641912999999999</v>
      </c>
      <c r="C120">
        <v>-0.55017099999999997</v>
      </c>
      <c r="D120">
        <f t="shared" si="3"/>
        <v>-0.11375186999999998</v>
      </c>
      <c r="E120">
        <f t="shared" si="4"/>
        <v>0.11375186999999998</v>
      </c>
      <c r="F120">
        <f t="shared" si="5"/>
        <v>1.2939487928496895E-2</v>
      </c>
      <c r="I120">
        <v>-0.43641912999999999</v>
      </c>
    </row>
    <row r="121" spans="1:9" x14ac:dyDescent="0.45">
      <c r="A121" t="s">
        <v>98</v>
      </c>
      <c r="B121">
        <v>-0.14410564000000001</v>
      </c>
      <c r="C121">
        <v>-0.56792699999999996</v>
      </c>
      <c r="D121">
        <f t="shared" si="3"/>
        <v>-0.42382135999999992</v>
      </c>
      <c r="E121">
        <f t="shared" si="4"/>
        <v>0.42382135999999992</v>
      </c>
      <c r="F121">
        <f t="shared" si="5"/>
        <v>0.17962454519224955</v>
      </c>
      <c r="I121">
        <v>-0.14410564000000001</v>
      </c>
    </row>
    <row r="122" spans="1:9" x14ac:dyDescent="0.45">
      <c r="A122" t="s">
        <v>99</v>
      </c>
      <c r="B122">
        <v>-0.1729328</v>
      </c>
      <c r="C122">
        <v>-0.58398700000000003</v>
      </c>
      <c r="D122">
        <f t="shared" si="3"/>
        <v>-0.41105420000000004</v>
      </c>
      <c r="E122">
        <f t="shared" si="4"/>
        <v>0.41105420000000004</v>
      </c>
      <c r="F122">
        <f t="shared" si="5"/>
        <v>0.16896555533764002</v>
      </c>
      <c r="I122">
        <v>-0.1729328</v>
      </c>
    </row>
    <row r="123" spans="1:9" x14ac:dyDescent="0.45">
      <c r="A123" t="s">
        <v>100</v>
      </c>
      <c r="B123">
        <v>-0.31227339999999998</v>
      </c>
      <c r="C123">
        <v>-0.57484299999999999</v>
      </c>
      <c r="D123">
        <f t="shared" si="3"/>
        <v>-0.26256960000000001</v>
      </c>
      <c r="E123">
        <f t="shared" si="4"/>
        <v>0.26256960000000001</v>
      </c>
      <c r="F123">
        <f t="shared" si="5"/>
        <v>6.8942794844160007E-2</v>
      </c>
      <c r="I123">
        <v>-0.31227339999999998</v>
      </c>
    </row>
    <row r="124" spans="1:9" x14ac:dyDescent="0.45">
      <c r="A124" t="s">
        <v>101</v>
      </c>
      <c r="B124">
        <v>-0.31877761999999998</v>
      </c>
      <c r="C124">
        <v>-0.675535</v>
      </c>
      <c r="D124">
        <f t="shared" si="3"/>
        <v>-0.35675738000000001</v>
      </c>
      <c r="E124">
        <f t="shared" si="4"/>
        <v>0.35675738000000001</v>
      </c>
      <c r="F124">
        <f t="shared" si="5"/>
        <v>0.1272758281844644</v>
      </c>
      <c r="I124">
        <v>-0.31877761999999998</v>
      </c>
    </row>
    <row r="125" spans="1:9" x14ac:dyDescent="0.45">
      <c r="A125" t="s">
        <v>102</v>
      </c>
      <c r="B125">
        <v>-0.13686478999999999</v>
      </c>
      <c r="C125">
        <v>-0.40859499999999999</v>
      </c>
      <c r="D125">
        <f t="shared" si="3"/>
        <v>-0.27173020999999997</v>
      </c>
      <c r="E125">
        <f t="shared" si="4"/>
        <v>0.27173020999999997</v>
      </c>
      <c r="F125">
        <f t="shared" si="5"/>
        <v>7.3837307026644081E-2</v>
      </c>
      <c r="I125">
        <v>-0.13686478999999999</v>
      </c>
    </row>
    <row r="126" spans="1:9" x14ac:dyDescent="0.45">
      <c r="A126" t="s">
        <v>103</v>
      </c>
      <c r="B126">
        <v>-0.13112278999999999</v>
      </c>
      <c r="C126">
        <v>-0.491313</v>
      </c>
      <c r="D126">
        <f t="shared" si="3"/>
        <v>-0.36019021000000001</v>
      </c>
      <c r="E126">
        <f t="shared" si="4"/>
        <v>0.36019021000000001</v>
      </c>
      <c r="F126">
        <f t="shared" si="5"/>
        <v>0.1297369873798441</v>
      </c>
      <c r="I126">
        <v>-0.13112278999999999</v>
      </c>
    </row>
    <row r="127" spans="1:9" x14ac:dyDescent="0.45">
      <c r="A127" t="s">
        <v>104</v>
      </c>
      <c r="B127">
        <v>-0.12212412</v>
      </c>
      <c r="C127">
        <v>-0.491226</v>
      </c>
      <c r="D127">
        <f t="shared" si="3"/>
        <v>-0.36910187999999999</v>
      </c>
      <c r="E127">
        <f t="shared" si="4"/>
        <v>0.36910187999999999</v>
      </c>
      <c r="F127">
        <f t="shared" si="5"/>
        <v>0.13623619781953439</v>
      </c>
      <c r="I127">
        <v>-0.12212412</v>
      </c>
    </row>
    <row r="128" spans="1:9" x14ac:dyDescent="0.45">
      <c r="A128" t="s">
        <v>105</v>
      </c>
      <c r="B128">
        <v>-0.14232766999999999</v>
      </c>
      <c r="C128">
        <v>-0.494168</v>
      </c>
      <c r="D128">
        <f t="shared" si="3"/>
        <v>-0.35184033000000003</v>
      </c>
      <c r="E128">
        <f t="shared" si="4"/>
        <v>0.35184033000000003</v>
      </c>
      <c r="F128">
        <f t="shared" si="5"/>
        <v>0.12379161781450893</v>
      </c>
      <c r="I128">
        <v>-0.14232766999999999</v>
      </c>
    </row>
    <row r="129" spans="1:9" x14ac:dyDescent="0.45">
      <c r="A129" t="s">
        <v>106</v>
      </c>
      <c r="B129">
        <v>-0.12712490000000001</v>
      </c>
      <c r="C129">
        <v>-0.46635399999999999</v>
      </c>
      <c r="D129">
        <f t="shared" si="3"/>
        <v>-0.33922909999999995</v>
      </c>
      <c r="E129">
        <f t="shared" si="4"/>
        <v>0.33922909999999995</v>
      </c>
      <c r="F129">
        <f t="shared" si="5"/>
        <v>0.11507638228680997</v>
      </c>
      <c r="I129">
        <v>-0.12712490000000001</v>
      </c>
    </row>
    <row r="130" spans="1:9" x14ac:dyDescent="0.45">
      <c r="A130" t="s">
        <v>141</v>
      </c>
      <c r="B130">
        <v>-0.22515358999999999</v>
      </c>
      <c r="C130">
        <v>-0.46896500000000002</v>
      </c>
      <c r="D130">
        <f t="shared" si="3"/>
        <v>-0.24381141000000003</v>
      </c>
      <c r="E130">
        <f t="shared" si="4"/>
        <v>0.24381141000000003</v>
      </c>
      <c r="F130">
        <f t="shared" si="5"/>
        <v>5.9444003646188119E-2</v>
      </c>
      <c r="I130">
        <v>-0.22515358999999999</v>
      </c>
    </row>
    <row r="131" spans="1:9" x14ac:dyDescent="0.45">
      <c r="A131" t="s">
        <v>142</v>
      </c>
      <c r="B131">
        <v>-0.19518381000000001</v>
      </c>
      <c r="C131">
        <v>-0.51566299999999998</v>
      </c>
      <c r="D131">
        <f t="shared" ref="D131:D137" si="6">(C131-B131)</f>
        <v>-0.32047918999999997</v>
      </c>
      <c r="E131">
        <f t="shared" ref="E131:E137" si="7">ABS(D131)</f>
        <v>0.32047918999999997</v>
      </c>
      <c r="F131">
        <f t="shared" ref="F131:F137" si="8">E131^2</f>
        <v>0.10270691122305609</v>
      </c>
      <c r="I131">
        <v>-0.19518381000000001</v>
      </c>
    </row>
    <row r="132" spans="1:9" x14ac:dyDescent="0.45">
      <c r="A132" t="s">
        <v>107</v>
      </c>
      <c r="B132">
        <v>-0.19818456000000001</v>
      </c>
      <c r="C132">
        <v>-0.48048099999999999</v>
      </c>
      <c r="D132">
        <f t="shared" si="6"/>
        <v>-0.28229643999999998</v>
      </c>
      <c r="E132">
        <f t="shared" si="7"/>
        <v>0.28229643999999998</v>
      </c>
      <c r="F132">
        <f t="shared" si="8"/>
        <v>7.9691280036673584E-2</v>
      </c>
      <c r="I132">
        <v>-0.19818456000000001</v>
      </c>
    </row>
    <row r="133" spans="1:9" x14ac:dyDescent="0.45">
      <c r="A133" t="s">
        <v>108</v>
      </c>
      <c r="B133">
        <v>-0.21703006</v>
      </c>
      <c r="C133">
        <v>-0.47456500000000001</v>
      </c>
      <c r="D133">
        <f t="shared" si="6"/>
        <v>-0.25753493999999999</v>
      </c>
      <c r="E133">
        <f t="shared" si="7"/>
        <v>0.25753493999999999</v>
      </c>
      <c r="F133">
        <f t="shared" si="8"/>
        <v>6.6324245320803596E-2</v>
      </c>
      <c r="I133">
        <v>-0.21703006</v>
      </c>
    </row>
    <row r="134" spans="1:9" x14ac:dyDescent="0.45">
      <c r="A134" t="s">
        <v>109</v>
      </c>
      <c r="B134">
        <v>-0.22782988000000001</v>
      </c>
      <c r="C134">
        <v>-0.48604199999999997</v>
      </c>
      <c r="D134">
        <f t="shared" si="6"/>
        <v>-0.25821211999999993</v>
      </c>
      <c r="E134">
        <f t="shared" si="7"/>
        <v>0.25821211999999993</v>
      </c>
      <c r="F134">
        <f t="shared" si="8"/>
        <v>6.6673498914894366E-2</v>
      </c>
      <c r="I134">
        <v>-0.22782988000000001</v>
      </c>
    </row>
    <row r="135" spans="1:9" x14ac:dyDescent="0.45">
      <c r="A135" t="s">
        <v>110</v>
      </c>
      <c r="B135">
        <v>-0.20546623</v>
      </c>
      <c r="C135">
        <v>-0.48912299999999997</v>
      </c>
      <c r="D135">
        <f t="shared" si="6"/>
        <v>-0.28365677</v>
      </c>
      <c r="E135">
        <f t="shared" si="7"/>
        <v>0.28365677</v>
      </c>
      <c r="F135">
        <f t="shared" si="8"/>
        <v>8.0461163166832897E-2</v>
      </c>
      <c r="I135">
        <v>-0.20546623</v>
      </c>
    </row>
    <row r="136" spans="1:9" x14ac:dyDescent="0.45">
      <c r="A136" t="s">
        <v>111</v>
      </c>
      <c r="B136">
        <v>-0.15426295000000001</v>
      </c>
      <c r="C136">
        <v>-0.53796100000000002</v>
      </c>
      <c r="D136">
        <f t="shared" si="6"/>
        <v>-0.38369805000000001</v>
      </c>
      <c r="E136">
        <f t="shared" si="7"/>
        <v>0.38369805000000001</v>
      </c>
      <c r="F136">
        <f t="shared" si="8"/>
        <v>0.14722419357380251</v>
      </c>
      <c r="I136">
        <v>-0.15426295000000001</v>
      </c>
    </row>
    <row r="137" spans="1:9" x14ac:dyDescent="0.45">
      <c r="A137" t="s">
        <v>112</v>
      </c>
      <c r="B137">
        <v>-0.15512173000000001</v>
      </c>
      <c r="C137">
        <v>-0.53485300000000002</v>
      </c>
      <c r="D137">
        <f t="shared" si="6"/>
        <v>-0.37973127000000001</v>
      </c>
      <c r="E137">
        <f t="shared" si="7"/>
        <v>0.37973127000000001</v>
      </c>
      <c r="F137">
        <f t="shared" si="8"/>
        <v>0.14419583741581291</v>
      </c>
      <c r="I137">
        <v>-0.15512173000000001</v>
      </c>
    </row>
    <row r="138" spans="1:9" x14ac:dyDescent="0.45">
      <c r="D138">
        <f>AVERAGE(D2:D137)</f>
        <v>-0.24693490455882361</v>
      </c>
      <c r="E138">
        <f>AVERAGE(E2:E137)</f>
        <v>0.29272270926470595</v>
      </c>
      <c r="F138">
        <f>SQRT(AVERAGE(F2:F137))</f>
        <v>0.31060720443470163</v>
      </c>
    </row>
    <row r="139" spans="1:9" x14ac:dyDescent="0.45">
      <c r="B139">
        <f>MIN(B2:B137)</f>
        <v>-0.44803578999999999</v>
      </c>
      <c r="C139">
        <f>MIN(C2:C137)</f>
        <v>-0.675535</v>
      </c>
    </row>
    <row r="140" spans="1:9" x14ac:dyDescent="0.45">
      <c r="B140">
        <f>MAX(B2:B137)</f>
        <v>-1.9719690000000002E-2</v>
      </c>
      <c r="C140">
        <f>MAX(C2:C137)</f>
        <v>0.65151700000000001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0D08-CBB7-405B-BCB3-C29EE44B7D11}">
  <dimension ref="A1:AU138"/>
  <sheetViews>
    <sheetView tabSelected="1" workbookViewId="0">
      <selection activeCell="N4" sqref="N4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149</v>
      </c>
      <c r="C1" s="2" t="s">
        <v>150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-0.19611919999999999</v>
      </c>
      <c r="C2">
        <v>-0.52226700000000004</v>
      </c>
      <c r="D2">
        <f>(C2-B2)</f>
        <v>-0.32614780000000004</v>
      </c>
      <c r="E2">
        <f>ABS(D2)</f>
        <v>0.32614780000000004</v>
      </c>
      <c r="F2">
        <f>E2^2</f>
        <v>0.10637238744484002</v>
      </c>
      <c r="G2">
        <f>CORREL(B2:B131,C2:C131)</f>
        <v>0.35352411877146278</v>
      </c>
      <c r="H2">
        <f>G2^2</f>
        <v>0.12497930255313933</v>
      </c>
      <c r="I2">
        <v>-0.19611919999999999</v>
      </c>
    </row>
    <row r="3" spans="1:47" x14ac:dyDescent="0.45">
      <c r="A3" t="s">
        <v>114</v>
      </c>
      <c r="B3">
        <v>-0.19313621</v>
      </c>
      <c r="C3">
        <v>-0.49792700000000001</v>
      </c>
      <c r="D3">
        <f t="shared" ref="D3:D65" si="0">(C3-B3)</f>
        <v>-0.30479078999999998</v>
      </c>
      <c r="E3">
        <f t="shared" ref="E3:E65" si="1">ABS(D3)</f>
        <v>0.30479078999999998</v>
      </c>
      <c r="F3">
        <f t="shared" ref="F3:F65" si="2">E3^2</f>
        <v>9.2897425668824085E-2</v>
      </c>
      <c r="I3">
        <v>-0.19313621</v>
      </c>
    </row>
    <row r="4" spans="1:47" x14ac:dyDescent="0.45">
      <c r="A4" t="s">
        <v>115</v>
      </c>
      <c r="B4">
        <v>-0.20642392000000001</v>
      </c>
      <c r="C4">
        <v>-0.46945300000000001</v>
      </c>
      <c r="D4">
        <f t="shared" si="0"/>
        <v>-0.26302908000000003</v>
      </c>
      <c r="E4">
        <f t="shared" si="1"/>
        <v>0.26302908000000003</v>
      </c>
      <c r="F4">
        <f t="shared" si="2"/>
        <v>6.9184296925646413E-2</v>
      </c>
      <c r="I4">
        <v>-0.20642392000000001</v>
      </c>
    </row>
    <row r="5" spans="1:47" x14ac:dyDescent="0.45">
      <c r="A5" t="s">
        <v>116</v>
      </c>
      <c r="B5">
        <v>-0.16065057999999999</v>
      </c>
      <c r="C5">
        <v>-0.54535800000000001</v>
      </c>
      <c r="D5">
        <f t="shared" si="0"/>
        <v>-0.38470742000000002</v>
      </c>
      <c r="E5">
        <f t="shared" si="1"/>
        <v>0.38470742000000002</v>
      </c>
      <c r="F5">
        <f t="shared" si="2"/>
        <v>0.1479997990030564</v>
      </c>
      <c r="I5">
        <v>-0.16065057999999999</v>
      </c>
    </row>
    <row r="6" spans="1:47" x14ac:dyDescent="0.45">
      <c r="A6" t="s">
        <v>117</v>
      </c>
      <c r="B6">
        <v>-0.10334967</v>
      </c>
      <c r="C6">
        <v>0.50151400000000002</v>
      </c>
      <c r="D6">
        <f t="shared" si="0"/>
        <v>0.60486367000000008</v>
      </c>
      <c r="E6">
        <f t="shared" si="1"/>
        <v>0.60486367000000008</v>
      </c>
      <c r="F6">
        <f t="shared" si="2"/>
        <v>0.36586005928586901</v>
      </c>
      <c r="I6">
        <v>-0.10334967</v>
      </c>
    </row>
    <row r="7" spans="1:47" x14ac:dyDescent="0.45">
      <c r="A7" t="s">
        <v>118</v>
      </c>
      <c r="B7">
        <v>-0.16365012000000001</v>
      </c>
      <c r="C7">
        <v>-0.542188</v>
      </c>
      <c r="D7">
        <f t="shared" si="0"/>
        <v>-0.37853787999999999</v>
      </c>
      <c r="E7">
        <f t="shared" si="1"/>
        <v>0.37853787999999999</v>
      </c>
      <c r="F7">
        <f t="shared" si="2"/>
        <v>0.1432909265948944</v>
      </c>
      <c r="I7">
        <v>-0.16365012000000001</v>
      </c>
    </row>
    <row r="8" spans="1:47" x14ac:dyDescent="0.45">
      <c r="A8" t="s">
        <v>7</v>
      </c>
      <c r="B8">
        <v>-0.20872014999999999</v>
      </c>
      <c r="C8">
        <v>-0.47303800000000001</v>
      </c>
      <c r="D8">
        <f t="shared" si="0"/>
        <v>-0.26431785000000002</v>
      </c>
      <c r="E8">
        <f t="shared" si="1"/>
        <v>0.26431785000000002</v>
      </c>
      <c r="F8">
        <f t="shared" si="2"/>
        <v>6.9863925828622511E-2</v>
      </c>
      <c r="I8">
        <v>-0.20872014999999999</v>
      </c>
    </row>
    <row r="9" spans="1:47" x14ac:dyDescent="0.45">
      <c r="A9" t="s">
        <v>8</v>
      </c>
      <c r="B9">
        <v>-0.20674939000000001</v>
      </c>
      <c r="C9">
        <v>-0.472354</v>
      </c>
      <c r="D9">
        <f t="shared" si="0"/>
        <v>-0.26560461000000002</v>
      </c>
      <c r="E9">
        <f t="shared" si="1"/>
        <v>0.26560461000000002</v>
      </c>
      <c r="F9">
        <f t="shared" si="2"/>
        <v>7.0545808853252109E-2</v>
      </c>
      <c r="I9">
        <v>-0.20674939000000001</v>
      </c>
    </row>
    <row r="10" spans="1:47" x14ac:dyDescent="0.45">
      <c r="A10" t="s">
        <v>9</v>
      </c>
      <c r="B10">
        <v>-0.19941571</v>
      </c>
      <c r="C10">
        <v>-0.46499000000000001</v>
      </c>
      <c r="D10">
        <f t="shared" si="0"/>
        <v>-0.26557428999999999</v>
      </c>
      <c r="E10">
        <f t="shared" si="1"/>
        <v>0.26557428999999999</v>
      </c>
      <c r="F10">
        <f t="shared" si="2"/>
        <v>7.0529703509004102E-2</v>
      </c>
      <c r="I10">
        <v>-0.19941571</v>
      </c>
    </row>
    <row r="11" spans="1:47" x14ac:dyDescent="0.45">
      <c r="A11" t="s">
        <v>10</v>
      </c>
      <c r="B11">
        <v>-0.20927240999999999</v>
      </c>
      <c r="C11">
        <v>-0.479294</v>
      </c>
      <c r="D11">
        <f t="shared" si="0"/>
        <v>-0.27002159000000003</v>
      </c>
      <c r="E11">
        <f t="shared" si="1"/>
        <v>0.27002159000000003</v>
      </c>
      <c r="F11">
        <f t="shared" si="2"/>
        <v>7.2911659066128121E-2</v>
      </c>
      <c r="I11">
        <v>-0.20927240999999999</v>
      </c>
    </row>
    <row r="12" spans="1:47" x14ac:dyDescent="0.45">
      <c r="A12" t="s">
        <v>11</v>
      </c>
      <c r="B12">
        <v>-0.20737170999999999</v>
      </c>
      <c r="C12">
        <v>-0.48513899999999999</v>
      </c>
      <c r="D12">
        <f t="shared" si="0"/>
        <v>-0.27776729</v>
      </c>
      <c r="E12">
        <f t="shared" si="1"/>
        <v>0.27776729</v>
      </c>
      <c r="F12">
        <f t="shared" si="2"/>
        <v>7.7154667393944096E-2</v>
      </c>
      <c r="I12">
        <v>-0.20737170999999999</v>
      </c>
    </row>
    <row r="13" spans="1:47" x14ac:dyDescent="0.45">
      <c r="A13" t="s">
        <v>12</v>
      </c>
      <c r="B13">
        <v>-0.23109350000000001</v>
      </c>
      <c r="C13">
        <v>-0.44108999999999998</v>
      </c>
      <c r="D13">
        <f t="shared" si="0"/>
        <v>-0.20999649999999997</v>
      </c>
      <c r="E13">
        <f t="shared" si="1"/>
        <v>0.20999649999999997</v>
      </c>
      <c r="F13">
        <f t="shared" si="2"/>
        <v>4.409853001224999E-2</v>
      </c>
      <c r="I13">
        <v>-0.23109350000000001</v>
      </c>
    </row>
    <row r="14" spans="1:47" x14ac:dyDescent="0.45">
      <c r="A14" t="s">
        <v>13</v>
      </c>
      <c r="B14">
        <v>-0.20722120999999999</v>
      </c>
      <c r="C14">
        <v>-0.48500500000000002</v>
      </c>
      <c r="D14">
        <f t="shared" si="0"/>
        <v>-0.27778379000000003</v>
      </c>
      <c r="E14">
        <f t="shared" si="1"/>
        <v>0.27778379000000003</v>
      </c>
      <c r="F14">
        <f t="shared" si="2"/>
        <v>7.7163833986764116E-2</v>
      </c>
      <c r="I14">
        <v>-0.20722120999999999</v>
      </c>
    </row>
    <row r="15" spans="1:47" x14ac:dyDescent="0.45">
      <c r="A15" t="s">
        <v>119</v>
      </c>
      <c r="B15">
        <v>-0.20356895999999999</v>
      </c>
      <c r="C15">
        <v>-0.50834999999999997</v>
      </c>
      <c r="D15">
        <f t="shared" si="0"/>
        <v>-0.30478103999999995</v>
      </c>
      <c r="E15">
        <f t="shared" si="1"/>
        <v>0.30478103999999995</v>
      </c>
      <c r="F15">
        <f t="shared" si="2"/>
        <v>9.2891482343481574E-2</v>
      </c>
      <c r="I15">
        <v>-0.20356895999999999</v>
      </c>
      <c r="AU15" s="1"/>
    </row>
    <row r="16" spans="1:47" x14ac:dyDescent="0.45">
      <c r="A16" t="s">
        <v>14</v>
      </c>
      <c r="B16">
        <v>-0.20035869000000001</v>
      </c>
      <c r="C16">
        <v>-0.49335200000000001</v>
      </c>
      <c r="D16">
        <f t="shared" si="0"/>
        <v>-0.29299331000000001</v>
      </c>
      <c r="E16">
        <f t="shared" si="1"/>
        <v>0.29299331000000001</v>
      </c>
      <c r="F16">
        <f t="shared" si="2"/>
        <v>8.5845079704756105E-2</v>
      </c>
      <c r="I16">
        <v>-0.20035869000000001</v>
      </c>
      <c r="AU16" s="1"/>
    </row>
    <row r="17" spans="1:47" x14ac:dyDescent="0.45">
      <c r="A17" t="s">
        <v>120</v>
      </c>
      <c r="B17">
        <v>-0.1889989</v>
      </c>
      <c r="C17">
        <v>-0.54543799999999998</v>
      </c>
      <c r="D17">
        <f t="shared" si="0"/>
        <v>-0.35643910000000001</v>
      </c>
      <c r="E17">
        <f t="shared" si="1"/>
        <v>0.35643910000000001</v>
      </c>
      <c r="F17">
        <f t="shared" si="2"/>
        <v>0.12704883200881001</v>
      </c>
      <c r="I17">
        <v>-0.1889989</v>
      </c>
      <c r="AU17" s="1"/>
    </row>
    <row r="18" spans="1:47" x14ac:dyDescent="0.45">
      <c r="A18" t="s">
        <v>121</v>
      </c>
      <c r="B18">
        <v>-0.19770392000000001</v>
      </c>
      <c r="C18">
        <v>-0.52129499999999995</v>
      </c>
      <c r="D18">
        <f t="shared" si="0"/>
        <v>-0.32359107999999992</v>
      </c>
      <c r="E18">
        <f t="shared" si="1"/>
        <v>0.32359107999999992</v>
      </c>
      <c r="F18">
        <f t="shared" si="2"/>
        <v>0.10471118705556635</v>
      </c>
      <c r="I18">
        <v>-0.19770392000000001</v>
      </c>
      <c r="AU18" s="1"/>
    </row>
    <row r="19" spans="1:47" x14ac:dyDescent="0.45">
      <c r="A19" t="s">
        <v>123</v>
      </c>
      <c r="B19">
        <v>-0.19566813999999999</v>
      </c>
      <c r="C19">
        <v>-0.49011399999999999</v>
      </c>
      <c r="D19">
        <f t="shared" si="0"/>
        <v>-0.29444586</v>
      </c>
      <c r="E19">
        <f t="shared" si="1"/>
        <v>0.29444586</v>
      </c>
      <c r="F19">
        <f t="shared" si="2"/>
        <v>8.66983644711396E-2</v>
      </c>
      <c r="I19">
        <v>-0.19566813999999999</v>
      </c>
    </row>
    <row r="20" spans="1:47" x14ac:dyDescent="0.45">
      <c r="A20" t="s">
        <v>124</v>
      </c>
      <c r="B20">
        <v>-0.19879793000000001</v>
      </c>
      <c r="C20">
        <v>-0.51865899999999998</v>
      </c>
      <c r="D20">
        <f t="shared" si="0"/>
        <v>-0.31986106999999997</v>
      </c>
      <c r="E20">
        <f t="shared" si="1"/>
        <v>0.31986106999999997</v>
      </c>
      <c r="F20">
        <f t="shared" si="2"/>
        <v>0.10231110410154488</v>
      </c>
      <c r="I20">
        <v>-0.19879793000000001</v>
      </c>
    </row>
    <row r="21" spans="1:47" x14ac:dyDescent="0.45">
      <c r="A21" t="s">
        <v>125</v>
      </c>
      <c r="B21">
        <v>-0.20385766</v>
      </c>
      <c r="C21">
        <v>-0.49992999999999999</v>
      </c>
      <c r="D21">
        <f t="shared" si="0"/>
        <v>-0.29607233999999999</v>
      </c>
      <c r="E21">
        <f t="shared" si="1"/>
        <v>0.29607233999999999</v>
      </c>
      <c r="F21">
        <f t="shared" si="2"/>
        <v>8.7658830513075589E-2</v>
      </c>
      <c r="I21">
        <v>-0.20385766</v>
      </c>
    </row>
    <row r="22" spans="1:47" x14ac:dyDescent="0.45">
      <c r="A22" t="s">
        <v>15</v>
      </c>
      <c r="B22">
        <v>-0.21048708999999999</v>
      </c>
      <c r="C22">
        <v>-0.47004699999999999</v>
      </c>
      <c r="D22">
        <f t="shared" si="0"/>
        <v>-0.25955991</v>
      </c>
      <c r="E22">
        <f t="shared" si="1"/>
        <v>0.25955991</v>
      </c>
      <c r="F22">
        <f t="shared" si="2"/>
        <v>6.7371346879208108E-2</v>
      </c>
      <c r="I22">
        <v>-0.21048708999999999</v>
      </c>
    </row>
    <row r="23" spans="1:47" x14ac:dyDescent="0.45">
      <c r="A23" t="s">
        <v>16</v>
      </c>
      <c r="B23">
        <v>-0.13075603999999999</v>
      </c>
      <c r="C23">
        <v>-0.51812400000000003</v>
      </c>
      <c r="D23">
        <f t="shared" si="0"/>
        <v>-0.38736796000000007</v>
      </c>
      <c r="E23">
        <f t="shared" si="1"/>
        <v>0.38736796000000007</v>
      </c>
      <c r="F23">
        <f t="shared" si="2"/>
        <v>0.15005393643456166</v>
      </c>
      <c r="I23">
        <v>-0.13075603999999999</v>
      </c>
    </row>
    <row r="24" spans="1:47" x14ac:dyDescent="0.45">
      <c r="A24" t="s">
        <v>17</v>
      </c>
      <c r="B24">
        <v>-0.1232562</v>
      </c>
      <c r="C24">
        <v>-0.51717599999999997</v>
      </c>
      <c r="D24">
        <f t="shared" si="0"/>
        <v>-0.39391979999999999</v>
      </c>
      <c r="E24">
        <f t="shared" si="1"/>
        <v>0.39391979999999999</v>
      </c>
      <c r="F24">
        <f t="shared" si="2"/>
        <v>0.15517280883203999</v>
      </c>
      <c r="I24">
        <v>-0.1232562</v>
      </c>
    </row>
    <row r="25" spans="1:47" x14ac:dyDescent="0.45">
      <c r="A25" t="s">
        <v>18</v>
      </c>
      <c r="B25">
        <v>-0.18396693</v>
      </c>
      <c r="C25">
        <v>-0.54117099999999996</v>
      </c>
      <c r="D25">
        <f t="shared" si="0"/>
        <v>-0.35720406999999998</v>
      </c>
      <c r="E25">
        <f t="shared" si="1"/>
        <v>0.35720406999999998</v>
      </c>
      <c r="F25">
        <f t="shared" si="2"/>
        <v>0.12759474762456488</v>
      </c>
      <c r="I25">
        <v>-0.18396693</v>
      </c>
    </row>
    <row r="26" spans="1:47" x14ac:dyDescent="0.45">
      <c r="A26" t="s">
        <v>19</v>
      </c>
      <c r="B26">
        <v>-0.19893559</v>
      </c>
      <c r="C26">
        <v>-0.590364</v>
      </c>
      <c r="D26">
        <f t="shared" si="0"/>
        <v>-0.39142841</v>
      </c>
      <c r="E26">
        <f t="shared" si="1"/>
        <v>0.39142841</v>
      </c>
      <c r="F26">
        <f t="shared" si="2"/>
        <v>0.1532162001551281</v>
      </c>
      <c r="I26">
        <v>-0.19893559</v>
      </c>
    </row>
    <row r="27" spans="1:47" x14ac:dyDescent="0.45">
      <c r="A27" t="s">
        <v>20</v>
      </c>
      <c r="B27">
        <v>-0.17300489999999999</v>
      </c>
      <c r="C27">
        <v>-0.52918699999999996</v>
      </c>
      <c r="D27">
        <f t="shared" si="0"/>
        <v>-0.35618209999999995</v>
      </c>
      <c r="E27">
        <f t="shared" si="1"/>
        <v>0.35618209999999995</v>
      </c>
      <c r="F27">
        <f t="shared" si="2"/>
        <v>0.12686568836040996</v>
      </c>
      <c r="I27">
        <v>-0.17300489999999999</v>
      </c>
    </row>
    <row r="28" spans="1:47" x14ac:dyDescent="0.45">
      <c r="A28" t="s">
        <v>21</v>
      </c>
      <c r="B28">
        <v>-0.17400662</v>
      </c>
      <c r="C28">
        <v>-0.52348099999999997</v>
      </c>
      <c r="D28">
        <f t="shared" si="0"/>
        <v>-0.34947437999999997</v>
      </c>
      <c r="E28">
        <f t="shared" si="1"/>
        <v>0.34947437999999997</v>
      </c>
      <c r="F28">
        <f t="shared" si="2"/>
        <v>0.12213234227638438</v>
      </c>
      <c r="I28">
        <v>-0.17400662</v>
      </c>
    </row>
    <row r="29" spans="1:47" x14ac:dyDescent="0.45">
      <c r="A29" t="s">
        <v>22</v>
      </c>
      <c r="B29">
        <v>-0.17815464</v>
      </c>
      <c r="C29">
        <v>-0.52610900000000005</v>
      </c>
      <c r="D29">
        <f t="shared" si="0"/>
        <v>-0.34795436000000002</v>
      </c>
      <c r="E29">
        <f t="shared" si="1"/>
        <v>0.34795436000000002</v>
      </c>
      <c r="F29">
        <f t="shared" si="2"/>
        <v>0.12107223664300962</v>
      </c>
      <c r="I29">
        <v>-0.17815464</v>
      </c>
    </row>
    <row r="30" spans="1:47" x14ac:dyDescent="0.45">
      <c r="A30" t="s">
        <v>23</v>
      </c>
      <c r="B30">
        <v>-0.23261862999999999</v>
      </c>
      <c r="C30">
        <v>-0.53124700000000002</v>
      </c>
      <c r="D30">
        <f t="shared" si="0"/>
        <v>-0.29862837000000003</v>
      </c>
      <c r="E30">
        <f t="shared" si="1"/>
        <v>0.29862837000000003</v>
      </c>
      <c r="F30">
        <f t="shared" si="2"/>
        <v>8.9178903368856921E-2</v>
      </c>
      <c r="I30">
        <v>-0.23261862999999999</v>
      </c>
    </row>
    <row r="31" spans="1:47" x14ac:dyDescent="0.45">
      <c r="A31" t="s">
        <v>24</v>
      </c>
      <c r="B31">
        <v>-0.17155222000000001</v>
      </c>
      <c r="C31">
        <v>-0.51482099999999997</v>
      </c>
      <c r="D31">
        <f t="shared" si="0"/>
        <v>-0.34326877999999994</v>
      </c>
      <c r="E31">
        <f t="shared" si="1"/>
        <v>0.34326877999999994</v>
      </c>
      <c r="F31">
        <f t="shared" si="2"/>
        <v>0.11783345532268837</v>
      </c>
      <c r="I31">
        <v>-0.17155222000000001</v>
      </c>
    </row>
    <row r="32" spans="1:47" x14ac:dyDescent="0.45">
      <c r="A32" t="s">
        <v>25</v>
      </c>
      <c r="B32">
        <v>-0.34138048999999998</v>
      </c>
      <c r="C32">
        <v>-0.56865900000000003</v>
      </c>
      <c r="D32">
        <f t="shared" si="0"/>
        <v>-0.22727851000000004</v>
      </c>
      <c r="E32">
        <f t="shared" si="1"/>
        <v>0.22727851000000004</v>
      </c>
      <c r="F32">
        <f t="shared" si="2"/>
        <v>5.1655521107820124E-2</v>
      </c>
      <c r="I32">
        <v>-0.34138048999999998</v>
      </c>
    </row>
    <row r="33" spans="1:9" x14ac:dyDescent="0.45">
      <c r="A33" t="s">
        <v>26</v>
      </c>
      <c r="B33">
        <v>-0.34797551999999998</v>
      </c>
      <c r="C33">
        <v>-0.62880100000000005</v>
      </c>
      <c r="D33">
        <f t="shared" si="0"/>
        <v>-0.28082548000000007</v>
      </c>
      <c r="E33">
        <f t="shared" si="1"/>
        <v>0.28082548000000007</v>
      </c>
      <c r="F33">
        <f t="shared" si="2"/>
        <v>7.8862950217230443E-2</v>
      </c>
      <c r="I33">
        <v>-0.34797551999999998</v>
      </c>
    </row>
    <row r="34" spans="1:9" x14ac:dyDescent="0.45">
      <c r="A34" t="s">
        <v>27</v>
      </c>
      <c r="B34">
        <v>-0.34379694999999999</v>
      </c>
      <c r="C34">
        <v>-0.62762200000000001</v>
      </c>
      <c r="D34">
        <f t="shared" si="0"/>
        <v>-0.28382505000000002</v>
      </c>
      <c r="E34">
        <f t="shared" si="1"/>
        <v>0.28382505000000002</v>
      </c>
      <c r="F34">
        <f t="shared" si="2"/>
        <v>8.0556659007502515E-2</v>
      </c>
      <c r="I34">
        <v>-0.34379694999999999</v>
      </c>
    </row>
    <row r="35" spans="1:9" x14ac:dyDescent="0.45">
      <c r="A35" t="s">
        <v>28</v>
      </c>
      <c r="B35">
        <v>-0.22159532000000001</v>
      </c>
      <c r="C35">
        <v>-0.60420799999999997</v>
      </c>
      <c r="D35">
        <f t="shared" si="0"/>
        <v>-0.38261267999999993</v>
      </c>
      <c r="E35">
        <f t="shared" si="1"/>
        <v>0.38261267999999993</v>
      </c>
      <c r="F35">
        <f t="shared" si="2"/>
        <v>0.14639246289678234</v>
      </c>
      <c r="I35">
        <v>-0.22159532000000001</v>
      </c>
    </row>
    <row r="36" spans="1:9" x14ac:dyDescent="0.45">
      <c r="A36" t="s">
        <v>126</v>
      </c>
      <c r="B36">
        <v>-0.22501979</v>
      </c>
      <c r="C36">
        <v>-0.55620000000000003</v>
      </c>
      <c r="D36">
        <f t="shared" si="0"/>
        <v>-0.33118021000000003</v>
      </c>
      <c r="E36">
        <f t="shared" si="1"/>
        <v>0.33118021000000003</v>
      </c>
      <c r="F36">
        <f t="shared" si="2"/>
        <v>0.10968033149564411</v>
      </c>
      <c r="I36">
        <v>-0.22501979</v>
      </c>
    </row>
    <row r="37" spans="1:9" x14ac:dyDescent="0.45">
      <c r="A37" t="s">
        <v>29</v>
      </c>
      <c r="B37">
        <v>-0.34665947000000003</v>
      </c>
      <c r="C37">
        <v>-0.64222699999999999</v>
      </c>
      <c r="D37">
        <f t="shared" si="0"/>
        <v>-0.29556752999999997</v>
      </c>
      <c r="E37">
        <f t="shared" si="1"/>
        <v>0.29556752999999997</v>
      </c>
      <c r="F37">
        <f t="shared" si="2"/>
        <v>8.7360164790300884E-2</v>
      </c>
      <c r="I37">
        <v>-0.34665947000000003</v>
      </c>
    </row>
    <row r="38" spans="1:9" x14ac:dyDescent="0.45">
      <c r="A38" t="s">
        <v>30</v>
      </c>
      <c r="B38">
        <v>-0.35251865999999998</v>
      </c>
      <c r="C38">
        <v>-0.61476799999999998</v>
      </c>
      <c r="D38">
        <f t="shared" si="0"/>
        <v>-0.26224934</v>
      </c>
      <c r="E38">
        <f t="shared" si="1"/>
        <v>0.26224934</v>
      </c>
      <c r="F38">
        <f t="shared" si="2"/>
        <v>6.8774716330435595E-2</v>
      </c>
      <c r="I38">
        <v>-0.35251865999999998</v>
      </c>
    </row>
    <row r="39" spans="1:9" x14ac:dyDescent="0.45">
      <c r="A39" t="s">
        <v>31</v>
      </c>
      <c r="B39">
        <v>-0.22682601999999999</v>
      </c>
      <c r="C39">
        <v>-0.480236</v>
      </c>
      <c r="D39">
        <f t="shared" si="0"/>
        <v>-0.25340998000000003</v>
      </c>
      <c r="E39">
        <f t="shared" si="1"/>
        <v>0.25340998000000003</v>
      </c>
      <c r="F39">
        <f t="shared" si="2"/>
        <v>6.4216617963600411E-2</v>
      </c>
      <c r="I39">
        <v>-0.22682601999999999</v>
      </c>
    </row>
    <row r="40" spans="1:9" x14ac:dyDescent="0.45">
      <c r="A40" t="s">
        <v>127</v>
      </c>
      <c r="B40">
        <v>-0.12140561</v>
      </c>
      <c r="C40">
        <v>-0.43779600000000002</v>
      </c>
      <c r="D40">
        <f t="shared" si="0"/>
        <v>-0.31639039000000002</v>
      </c>
      <c r="E40">
        <f t="shared" si="1"/>
        <v>0.31639039000000002</v>
      </c>
      <c r="F40">
        <f t="shared" si="2"/>
        <v>0.10010287888435211</v>
      </c>
      <c r="I40">
        <v>-0.12140561</v>
      </c>
    </row>
    <row r="41" spans="1:9" x14ac:dyDescent="0.45">
      <c r="A41" t="s">
        <v>128</v>
      </c>
      <c r="B41">
        <v>-0.19259239</v>
      </c>
      <c r="C41">
        <v>-0.50934199999999996</v>
      </c>
      <c r="D41">
        <f t="shared" si="0"/>
        <v>-0.31674960999999996</v>
      </c>
      <c r="E41">
        <f t="shared" si="1"/>
        <v>0.31674960999999996</v>
      </c>
      <c r="F41">
        <f t="shared" si="2"/>
        <v>0.10033031543515207</v>
      </c>
      <c r="I41">
        <v>-0.19259239</v>
      </c>
    </row>
    <row r="42" spans="1:9" x14ac:dyDescent="0.45">
      <c r="A42" t="s">
        <v>32</v>
      </c>
      <c r="B42">
        <v>-0.20007607999999999</v>
      </c>
      <c r="C42">
        <v>-0.49674099999999999</v>
      </c>
      <c r="D42">
        <f t="shared" si="0"/>
        <v>-0.29666492</v>
      </c>
      <c r="E42">
        <f t="shared" si="1"/>
        <v>0.29666492</v>
      </c>
      <c r="F42">
        <f t="shared" si="2"/>
        <v>8.8010074758606394E-2</v>
      </c>
      <c r="I42">
        <v>-0.20007607999999999</v>
      </c>
    </row>
    <row r="43" spans="1:9" x14ac:dyDescent="0.45">
      <c r="A43" t="s">
        <v>33</v>
      </c>
      <c r="B43">
        <v>-0.19769184000000001</v>
      </c>
      <c r="C43">
        <v>-0.491087</v>
      </c>
      <c r="D43">
        <f t="shared" si="0"/>
        <v>-0.29339515999999999</v>
      </c>
      <c r="E43">
        <f t="shared" si="1"/>
        <v>0.29339515999999999</v>
      </c>
      <c r="F43">
        <f t="shared" si="2"/>
        <v>8.6080719911425588E-2</v>
      </c>
      <c r="I43">
        <v>-0.19769184000000001</v>
      </c>
    </row>
    <row r="44" spans="1:9" x14ac:dyDescent="0.45">
      <c r="A44" t="s">
        <v>34</v>
      </c>
      <c r="B44">
        <v>-0.20929669000000001</v>
      </c>
      <c r="C44">
        <v>-0.483711</v>
      </c>
      <c r="D44">
        <f t="shared" si="0"/>
        <v>-0.27441430999999999</v>
      </c>
      <c r="E44">
        <f t="shared" si="1"/>
        <v>0.27441430999999999</v>
      </c>
      <c r="F44">
        <f t="shared" si="2"/>
        <v>7.5303213532776095E-2</v>
      </c>
      <c r="I44">
        <v>-0.20929669000000001</v>
      </c>
    </row>
    <row r="45" spans="1:9" x14ac:dyDescent="0.45">
      <c r="A45" t="s">
        <v>35</v>
      </c>
      <c r="B45">
        <v>-0.21430328000000001</v>
      </c>
      <c r="C45">
        <v>-0.49758799999999997</v>
      </c>
      <c r="D45">
        <f t="shared" si="0"/>
        <v>-0.28328471999999993</v>
      </c>
      <c r="E45">
        <f t="shared" si="1"/>
        <v>0.28328471999999993</v>
      </c>
      <c r="F45">
        <f t="shared" si="2"/>
        <v>8.0250232585478365E-2</v>
      </c>
      <c r="I45">
        <v>-0.21430328000000001</v>
      </c>
    </row>
    <row r="46" spans="1:9" x14ac:dyDescent="0.45">
      <c r="A46" t="s">
        <v>36</v>
      </c>
      <c r="B46">
        <v>-0.41855596</v>
      </c>
      <c r="C46">
        <v>-0.55200400000000005</v>
      </c>
      <c r="D46">
        <f t="shared" si="0"/>
        <v>-0.13344804000000005</v>
      </c>
      <c r="E46">
        <f t="shared" si="1"/>
        <v>0.13344804000000005</v>
      </c>
      <c r="F46">
        <f t="shared" si="2"/>
        <v>1.7808379379841612E-2</v>
      </c>
      <c r="I46">
        <v>-0.41855596</v>
      </c>
    </row>
    <row r="47" spans="1:9" x14ac:dyDescent="0.45">
      <c r="A47" t="s">
        <v>37</v>
      </c>
      <c r="B47">
        <v>-0.43491110999999999</v>
      </c>
      <c r="C47">
        <v>-0.52700100000000005</v>
      </c>
      <c r="D47">
        <f t="shared" si="0"/>
        <v>-9.2089890000000063E-2</v>
      </c>
      <c r="E47">
        <f t="shared" si="1"/>
        <v>9.2089890000000063E-2</v>
      </c>
      <c r="F47">
        <f t="shared" si="2"/>
        <v>8.4805478402121114E-3</v>
      </c>
      <c r="I47">
        <v>-0.43491110999999999</v>
      </c>
    </row>
    <row r="48" spans="1:9" x14ac:dyDescent="0.45">
      <c r="A48" t="s">
        <v>38</v>
      </c>
      <c r="B48">
        <v>-0.42584751999999998</v>
      </c>
      <c r="C48">
        <v>-0.55632599999999999</v>
      </c>
      <c r="D48">
        <f t="shared" si="0"/>
        <v>-0.13047848000000001</v>
      </c>
      <c r="E48">
        <f t="shared" si="1"/>
        <v>0.13047848000000001</v>
      </c>
      <c r="F48">
        <f t="shared" si="2"/>
        <v>1.70246337431104E-2</v>
      </c>
      <c r="I48">
        <v>-0.42584751999999998</v>
      </c>
    </row>
    <row r="49" spans="1:9" x14ac:dyDescent="0.45">
      <c r="A49" t="s">
        <v>39</v>
      </c>
      <c r="B49">
        <v>-0.44027927</v>
      </c>
      <c r="C49">
        <v>-0.55669400000000002</v>
      </c>
      <c r="D49">
        <f t="shared" si="0"/>
        <v>-0.11641473000000002</v>
      </c>
      <c r="E49">
        <f t="shared" si="1"/>
        <v>0.11641473000000002</v>
      </c>
      <c r="F49">
        <f t="shared" si="2"/>
        <v>1.3552389360972906E-2</v>
      </c>
      <c r="I49">
        <v>-0.44027927</v>
      </c>
    </row>
    <row r="50" spans="1:9" x14ac:dyDescent="0.45">
      <c r="A50" t="s">
        <v>40</v>
      </c>
      <c r="B50">
        <v>-0.44960679999999997</v>
      </c>
      <c r="C50">
        <v>-0.54124399999999995</v>
      </c>
      <c r="D50">
        <f t="shared" si="0"/>
        <v>-9.1637199999999974E-2</v>
      </c>
      <c r="E50">
        <f t="shared" si="1"/>
        <v>9.1637199999999974E-2</v>
      </c>
      <c r="F50">
        <f t="shared" si="2"/>
        <v>8.3973764238399959E-3</v>
      </c>
      <c r="I50">
        <v>-0.44960679999999997</v>
      </c>
    </row>
    <row r="51" spans="1:9" x14ac:dyDescent="0.45">
      <c r="A51" t="s">
        <v>41</v>
      </c>
      <c r="B51">
        <v>-0.42964733999999999</v>
      </c>
      <c r="C51">
        <v>-0.52801500000000001</v>
      </c>
      <c r="D51">
        <f t="shared" si="0"/>
        <v>-9.8367660000000023E-2</v>
      </c>
      <c r="E51">
        <f t="shared" si="1"/>
        <v>9.8367660000000023E-2</v>
      </c>
      <c r="F51">
        <f t="shared" si="2"/>
        <v>9.6761965338756049E-3</v>
      </c>
      <c r="I51">
        <v>-0.42964733999999999</v>
      </c>
    </row>
    <row r="52" spans="1:9" x14ac:dyDescent="0.45">
      <c r="A52" t="s">
        <v>42</v>
      </c>
      <c r="B52">
        <v>-0.43673851000000002</v>
      </c>
      <c r="C52">
        <v>-0.55021100000000001</v>
      </c>
      <c r="D52">
        <f t="shared" si="0"/>
        <v>-0.11347248999999998</v>
      </c>
      <c r="E52">
        <f t="shared" si="1"/>
        <v>0.11347248999999998</v>
      </c>
      <c r="F52">
        <f t="shared" si="2"/>
        <v>1.2876005986800096E-2</v>
      </c>
      <c r="I52">
        <v>-0.43673851000000002</v>
      </c>
    </row>
    <row r="53" spans="1:9" x14ac:dyDescent="0.45">
      <c r="A53" t="s">
        <v>43</v>
      </c>
      <c r="B53">
        <v>-0.43448256000000002</v>
      </c>
      <c r="C53">
        <v>-0.55469599999999997</v>
      </c>
      <c r="D53">
        <f t="shared" si="0"/>
        <v>-0.12021343999999995</v>
      </c>
      <c r="E53">
        <f t="shared" si="1"/>
        <v>0.12021343999999995</v>
      </c>
      <c r="F53">
        <f t="shared" si="2"/>
        <v>1.4451271156633588E-2</v>
      </c>
      <c r="I53">
        <v>-0.43448256000000002</v>
      </c>
    </row>
    <row r="54" spans="1:9" x14ac:dyDescent="0.45">
      <c r="A54" t="s">
        <v>44</v>
      </c>
      <c r="B54">
        <v>-0.15855664999999999</v>
      </c>
      <c r="C54">
        <v>-0.56295799999999996</v>
      </c>
      <c r="D54">
        <f t="shared" si="0"/>
        <v>-0.40440134999999999</v>
      </c>
      <c r="E54">
        <f t="shared" si="1"/>
        <v>0.40440134999999999</v>
      </c>
      <c r="F54">
        <f t="shared" si="2"/>
        <v>0.16354045188182251</v>
      </c>
      <c r="I54">
        <v>-0.15855664999999999</v>
      </c>
    </row>
    <row r="55" spans="1:9" x14ac:dyDescent="0.45">
      <c r="A55" t="s">
        <v>45</v>
      </c>
      <c r="B55">
        <v>-0.17854285</v>
      </c>
      <c r="C55">
        <v>-0.56954000000000005</v>
      </c>
      <c r="D55">
        <f t="shared" si="0"/>
        <v>-0.39099715000000002</v>
      </c>
      <c r="E55">
        <f t="shared" si="1"/>
        <v>0.39099715000000002</v>
      </c>
      <c r="F55">
        <f t="shared" si="2"/>
        <v>0.15287877130812252</v>
      </c>
      <c r="I55">
        <v>-0.17854285</v>
      </c>
    </row>
    <row r="56" spans="1:9" x14ac:dyDescent="0.45">
      <c r="A56" t="s">
        <v>46</v>
      </c>
      <c r="B56">
        <v>-0.30874850999999998</v>
      </c>
      <c r="C56">
        <v>-0.586696</v>
      </c>
      <c r="D56">
        <f t="shared" si="0"/>
        <v>-0.27794749000000002</v>
      </c>
      <c r="E56">
        <f t="shared" si="1"/>
        <v>0.27794749000000002</v>
      </c>
      <c r="F56">
        <f t="shared" si="2"/>
        <v>7.7254807197300115E-2</v>
      </c>
      <c r="I56">
        <v>-0.30874850999999998</v>
      </c>
    </row>
    <row r="57" spans="1:9" x14ac:dyDescent="0.45">
      <c r="A57" t="s">
        <v>47</v>
      </c>
      <c r="B57">
        <v>-0.34069829000000001</v>
      </c>
      <c r="C57">
        <v>-0.64628200000000002</v>
      </c>
      <c r="D57">
        <f t="shared" si="0"/>
        <v>-0.30558371000000001</v>
      </c>
      <c r="E57">
        <f t="shared" si="1"/>
        <v>0.30558371000000001</v>
      </c>
      <c r="F57">
        <f t="shared" si="2"/>
        <v>9.3381403817364109E-2</v>
      </c>
      <c r="I57">
        <v>-0.34069829000000001</v>
      </c>
    </row>
    <row r="58" spans="1:9" x14ac:dyDescent="0.45">
      <c r="A58" t="s">
        <v>48</v>
      </c>
      <c r="B58">
        <v>-0.18547762000000001</v>
      </c>
      <c r="C58">
        <v>-0.60162400000000005</v>
      </c>
      <c r="D58">
        <f t="shared" si="0"/>
        <v>-0.41614638000000004</v>
      </c>
      <c r="E58">
        <f t="shared" si="1"/>
        <v>0.41614638000000004</v>
      </c>
      <c r="F58">
        <f t="shared" si="2"/>
        <v>0.17317780958710444</v>
      </c>
      <c r="I58">
        <v>-0.18547762000000001</v>
      </c>
    </row>
    <row r="59" spans="1:9" x14ac:dyDescent="0.45">
      <c r="A59" t="s">
        <v>49</v>
      </c>
      <c r="B59">
        <v>-0.13905171</v>
      </c>
      <c r="C59">
        <v>-0.451409</v>
      </c>
      <c r="D59">
        <f t="shared" si="0"/>
        <v>-0.31235729000000001</v>
      </c>
      <c r="E59">
        <f t="shared" si="1"/>
        <v>0.31235729000000001</v>
      </c>
      <c r="F59">
        <f t="shared" si="2"/>
        <v>9.7567076616144111E-2</v>
      </c>
      <c r="I59">
        <v>-0.13905171</v>
      </c>
    </row>
    <row r="60" spans="1:9" x14ac:dyDescent="0.45">
      <c r="A60" t="s">
        <v>50</v>
      </c>
      <c r="B60">
        <v>-0.11599449000000001</v>
      </c>
      <c r="C60">
        <v>-0.46715000000000001</v>
      </c>
      <c r="D60">
        <f t="shared" si="0"/>
        <v>-0.35115551</v>
      </c>
      <c r="E60">
        <f t="shared" si="1"/>
        <v>0.35115551</v>
      </c>
      <c r="F60">
        <f t="shared" si="2"/>
        <v>0.12331019220336011</v>
      </c>
      <c r="I60">
        <v>-0.11599449000000001</v>
      </c>
    </row>
    <row r="61" spans="1:9" x14ac:dyDescent="0.45">
      <c r="A61" t="s">
        <v>51</v>
      </c>
      <c r="B61">
        <v>-0.10821840000000001</v>
      </c>
      <c r="C61">
        <v>-0.440444</v>
      </c>
      <c r="D61">
        <f t="shared" si="0"/>
        <v>-0.33222560000000001</v>
      </c>
      <c r="E61">
        <f t="shared" si="1"/>
        <v>0.33222560000000001</v>
      </c>
      <c r="F61">
        <f t="shared" si="2"/>
        <v>0.11037384929536001</v>
      </c>
      <c r="I61">
        <v>-0.10821840000000001</v>
      </c>
    </row>
    <row r="62" spans="1:9" x14ac:dyDescent="0.45">
      <c r="A62" t="s">
        <v>52</v>
      </c>
      <c r="B62">
        <v>-0.13989064000000001</v>
      </c>
      <c r="C62">
        <v>-0.50615299999999996</v>
      </c>
      <c r="D62">
        <f t="shared" si="0"/>
        <v>-0.36626235999999995</v>
      </c>
      <c r="E62">
        <f t="shared" si="1"/>
        <v>0.36626235999999995</v>
      </c>
      <c r="F62">
        <f t="shared" si="2"/>
        <v>0.13414811635276958</v>
      </c>
      <c r="I62">
        <v>-0.13989064000000001</v>
      </c>
    </row>
    <row r="63" spans="1:9" x14ac:dyDescent="0.45">
      <c r="A63" t="s">
        <v>53</v>
      </c>
      <c r="B63">
        <v>-0.12421607</v>
      </c>
      <c r="C63">
        <v>-0.51057300000000005</v>
      </c>
      <c r="D63">
        <f t="shared" si="0"/>
        <v>-0.38635693000000004</v>
      </c>
      <c r="E63">
        <f t="shared" si="1"/>
        <v>0.38635693000000004</v>
      </c>
      <c r="F63">
        <f t="shared" si="2"/>
        <v>0.14927167735902494</v>
      </c>
      <c r="I63">
        <v>-0.12421607</v>
      </c>
    </row>
    <row r="64" spans="1:9" x14ac:dyDescent="0.45">
      <c r="A64" t="s">
        <v>129</v>
      </c>
      <c r="B64">
        <v>-0.22549242</v>
      </c>
      <c r="C64">
        <v>-0.46556700000000001</v>
      </c>
      <c r="D64">
        <f t="shared" si="0"/>
        <v>-0.24007458000000001</v>
      </c>
      <c r="E64">
        <f t="shared" si="1"/>
        <v>0.24007458000000001</v>
      </c>
      <c r="F64">
        <f t="shared" si="2"/>
        <v>5.7635803962176407E-2</v>
      </c>
      <c r="I64">
        <v>-0.22549242</v>
      </c>
    </row>
    <row r="65" spans="1:9" x14ac:dyDescent="0.45">
      <c r="A65" t="s">
        <v>130</v>
      </c>
      <c r="B65">
        <v>-0.19724116999999999</v>
      </c>
      <c r="C65">
        <v>-0.51439100000000004</v>
      </c>
      <c r="D65">
        <f t="shared" si="0"/>
        <v>-0.31714983000000008</v>
      </c>
      <c r="E65">
        <f t="shared" si="1"/>
        <v>0.31714983000000008</v>
      </c>
      <c r="F65">
        <f t="shared" si="2"/>
        <v>0.10058401466902894</v>
      </c>
      <c r="I65">
        <v>-0.19724116999999999</v>
      </c>
    </row>
    <row r="66" spans="1:9" x14ac:dyDescent="0.45">
      <c r="A66" t="s">
        <v>54</v>
      </c>
      <c r="B66">
        <v>-0.21813895999999999</v>
      </c>
      <c r="C66">
        <v>-0.48460999999999999</v>
      </c>
      <c r="D66">
        <f t="shared" ref="D66:D128" si="3">(C66-B66)</f>
        <v>-0.26647103999999999</v>
      </c>
      <c r="E66">
        <f t="shared" ref="E66:E128" si="4">ABS(D66)</f>
        <v>0.26647103999999999</v>
      </c>
      <c r="F66">
        <f t="shared" ref="F66:F128" si="5">E66^2</f>
        <v>7.1006815158681597E-2</v>
      </c>
      <c r="I66">
        <v>-0.21813895999999999</v>
      </c>
    </row>
    <row r="67" spans="1:9" x14ac:dyDescent="0.45">
      <c r="A67" t="s">
        <v>55</v>
      </c>
      <c r="B67">
        <v>-0.21677384</v>
      </c>
      <c r="C67">
        <v>-0.463945</v>
      </c>
      <c r="D67">
        <f t="shared" si="3"/>
        <v>-0.24717116</v>
      </c>
      <c r="E67">
        <f t="shared" si="4"/>
        <v>0.24717116</v>
      </c>
      <c r="F67">
        <f t="shared" si="5"/>
        <v>6.1093582335745598E-2</v>
      </c>
      <c r="I67">
        <v>-0.21677384</v>
      </c>
    </row>
    <row r="68" spans="1:9" x14ac:dyDescent="0.45">
      <c r="A68" t="s">
        <v>56</v>
      </c>
      <c r="B68">
        <v>-0.22357336</v>
      </c>
      <c r="C68">
        <v>-0.47628900000000002</v>
      </c>
      <c r="D68">
        <f t="shared" si="3"/>
        <v>-0.25271564000000002</v>
      </c>
      <c r="E68">
        <f t="shared" si="4"/>
        <v>0.25271564000000002</v>
      </c>
      <c r="F68">
        <f t="shared" si="5"/>
        <v>6.3865194700609612E-2</v>
      </c>
      <c r="I68">
        <v>-0.22357336</v>
      </c>
    </row>
    <row r="69" spans="1:9" x14ac:dyDescent="0.45">
      <c r="A69" t="s">
        <v>57</v>
      </c>
      <c r="B69">
        <v>-0.22189296</v>
      </c>
      <c r="C69">
        <v>-0.49737599999999998</v>
      </c>
      <c r="D69">
        <f t="shared" si="3"/>
        <v>-0.27548304000000001</v>
      </c>
      <c r="E69">
        <f t="shared" si="4"/>
        <v>0.27548304000000001</v>
      </c>
      <c r="F69">
        <f t="shared" si="5"/>
        <v>7.5890905327641603E-2</v>
      </c>
      <c r="I69">
        <v>-0.22189296</v>
      </c>
    </row>
    <row r="70" spans="1:9" x14ac:dyDescent="0.45">
      <c r="A70" t="s">
        <v>58</v>
      </c>
      <c r="B70">
        <v>-0.18829319</v>
      </c>
      <c r="C70">
        <v>-0.59961699999999996</v>
      </c>
      <c r="D70">
        <f t="shared" si="3"/>
        <v>-0.41132380999999996</v>
      </c>
      <c r="E70">
        <f t="shared" si="4"/>
        <v>0.41132380999999996</v>
      </c>
      <c r="F70">
        <f t="shared" si="5"/>
        <v>0.16918727667291605</v>
      </c>
      <c r="I70">
        <v>-0.18829319</v>
      </c>
    </row>
    <row r="71" spans="1:9" x14ac:dyDescent="0.45">
      <c r="A71" t="s">
        <v>131</v>
      </c>
      <c r="B71">
        <v>-0.19443115</v>
      </c>
      <c r="C71">
        <v>-0.499886</v>
      </c>
      <c r="D71">
        <f t="shared" si="3"/>
        <v>-0.30545485</v>
      </c>
      <c r="E71">
        <f t="shared" si="4"/>
        <v>0.30545485</v>
      </c>
      <c r="F71">
        <f t="shared" si="5"/>
        <v>9.3302665388522499E-2</v>
      </c>
      <c r="I71">
        <v>-0.19443115</v>
      </c>
    </row>
    <row r="72" spans="1:9" x14ac:dyDescent="0.45">
      <c r="A72" t="s">
        <v>132</v>
      </c>
      <c r="B72">
        <v>-0.19868448</v>
      </c>
      <c r="C72">
        <v>-0.48581000000000002</v>
      </c>
      <c r="D72">
        <f t="shared" si="3"/>
        <v>-0.28712552000000002</v>
      </c>
      <c r="E72">
        <f t="shared" si="4"/>
        <v>0.28712552000000002</v>
      </c>
      <c r="F72">
        <f t="shared" si="5"/>
        <v>8.2441064235270409E-2</v>
      </c>
      <c r="I72">
        <v>-0.19868448</v>
      </c>
    </row>
    <row r="73" spans="1:9" x14ac:dyDescent="0.45">
      <c r="A73" t="s">
        <v>133</v>
      </c>
      <c r="B73">
        <v>-9.7219659999999999E-2</v>
      </c>
      <c r="C73">
        <v>0.50170899999999996</v>
      </c>
      <c r="D73">
        <f t="shared" si="3"/>
        <v>0.59892866</v>
      </c>
      <c r="E73">
        <f t="shared" si="4"/>
        <v>0.59892866</v>
      </c>
      <c r="F73">
        <f t="shared" si="5"/>
        <v>0.35871553976939557</v>
      </c>
      <c r="I73">
        <v>-9.7219659999999999E-2</v>
      </c>
    </row>
    <row r="74" spans="1:9" x14ac:dyDescent="0.45">
      <c r="A74" t="s">
        <v>59</v>
      </c>
      <c r="B74">
        <v>-0.10372078999999999</v>
      </c>
      <c r="C74">
        <v>0.43781700000000001</v>
      </c>
      <c r="D74">
        <f t="shared" si="3"/>
        <v>0.54153779000000002</v>
      </c>
      <c r="E74">
        <f t="shared" si="4"/>
        <v>0.54153779000000002</v>
      </c>
      <c r="F74">
        <f t="shared" si="5"/>
        <v>0.2932631779980841</v>
      </c>
      <c r="I74">
        <v>-0.10372078999999999</v>
      </c>
    </row>
    <row r="75" spans="1:9" x14ac:dyDescent="0.45">
      <c r="A75" t="s">
        <v>60</v>
      </c>
      <c r="B75">
        <v>-0.19331593</v>
      </c>
      <c r="C75">
        <v>-0.47886200000000001</v>
      </c>
      <c r="D75">
        <f t="shared" si="3"/>
        <v>-0.28554606999999999</v>
      </c>
      <c r="E75">
        <f t="shared" si="4"/>
        <v>0.28554606999999999</v>
      </c>
      <c r="F75">
        <f t="shared" si="5"/>
        <v>8.1536558092444894E-2</v>
      </c>
      <c r="I75">
        <v>-0.19331593</v>
      </c>
    </row>
    <row r="76" spans="1:9" x14ac:dyDescent="0.45">
      <c r="A76" t="s">
        <v>61</v>
      </c>
      <c r="B76">
        <v>-0.20141555999999999</v>
      </c>
      <c r="C76">
        <v>-0.47276200000000002</v>
      </c>
      <c r="D76">
        <f t="shared" si="3"/>
        <v>-0.27134644000000002</v>
      </c>
      <c r="E76">
        <f t="shared" si="4"/>
        <v>0.27134644000000002</v>
      </c>
      <c r="F76">
        <f t="shared" si="5"/>
        <v>7.3628890500673616E-2</v>
      </c>
      <c r="I76">
        <v>-0.20141555999999999</v>
      </c>
    </row>
    <row r="77" spans="1:9" x14ac:dyDescent="0.45">
      <c r="A77" t="s">
        <v>62</v>
      </c>
      <c r="B77">
        <v>-0.19525345999999999</v>
      </c>
      <c r="C77">
        <v>-0.463698</v>
      </c>
      <c r="D77">
        <f t="shared" si="3"/>
        <v>-0.26844454000000001</v>
      </c>
      <c r="E77">
        <f t="shared" si="4"/>
        <v>0.26844454000000001</v>
      </c>
      <c r="F77">
        <f t="shared" si="5"/>
        <v>7.2062471055811608E-2</v>
      </c>
      <c r="I77">
        <v>-0.19525345999999999</v>
      </c>
    </row>
    <row r="78" spans="1:9" x14ac:dyDescent="0.45">
      <c r="A78" t="s">
        <v>63</v>
      </c>
      <c r="B78">
        <v>-0.20637021999999999</v>
      </c>
      <c r="C78">
        <v>-0.48454000000000003</v>
      </c>
      <c r="D78">
        <f t="shared" si="3"/>
        <v>-0.27816978000000003</v>
      </c>
      <c r="E78">
        <f t="shared" si="4"/>
        <v>0.27816978000000003</v>
      </c>
      <c r="F78">
        <f t="shared" si="5"/>
        <v>7.7378426505248413E-2</v>
      </c>
      <c r="I78">
        <v>-0.20637021999999999</v>
      </c>
    </row>
    <row r="79" spans="1:9" x14ac:dyDescent="0.45">
      <c r="A79" t="s">
        <v>64</v>
      </c>
      <c r="B79">
        <v>-0.19764831999999999</v>
      </c>
      <c r="C79">
        <v>-0.46523700000000001</v>
      </c>
      <c r="D79">
        <f t="shared" si="3"/>
        <v>-0.26758868000000002</v>
      </c>
      <c r="E79">
        <f t="shared" si="4"/>
        <v>0.26758868000000002</v>
      </c>
      <c r="F79">
        <f t="shared" si="5"/>
        <v>7.1603701664142413E-2</v>
      </c>
      <c r="I79">
        <v>-0.19764831999999999</v>
      </c>
    </row>
    <row r="80" spans="1:9" x14ac:dyDescent="0.45">
      <c r="A80" t="s">
        <v>65</v>
      </c>
      <c r="B80">
        <v>-0.19869843000000001</v>
      </c>
      <c r="C80">
        <v>-0.452378</v>
      </c>
      <c r="D80">
        <f t="shared" si="3"/>
        <v>-0.25367956999999997</v>
      </c>
      <c r="E80">
        <f t="shared" si="4"/>
        <v>0.25367956999999997</v>
      </c>
      <c r="F80">
        <f t="shared" si="5"/>
        <v>6.4353324235384882E-2</v>
      </c>
      <c r="I80">
        <v>-0.19869843000000001</v>
      </c>
    </row>
    <row r="81" spans="1:9" x14ac:dyDescent="0.45">
      <c r="A81" t="s">
        <v>66</v>
      </c>
      <c r="B81">
        <v>-0.19925951</v>
      </c>
      <c r="C81">
        <v>-0.46203</v>
      </c>
      <c r="D81">
        <f t="shared" si="3"/>
        <v>-0.26277048999999997</v>
      </c>
      <c r="E81">
        <f t="shared" si="4"/>
        <v>0.26277048999999997</v>
      </c>
      <c r="F81">
        <f t="shared" si="5"/>
        <v>6.9048330414840084E-2</v>
      </c>
      <c r="I81">
        <v>-0.19925951</v>
      </c>
    </row>
    <row r="82" spans="1:9" x14ac:dyDescent="0.45">
      <c r="A82" t="s">
        <v>67</v>
      </c>
      <c r="B82">
        <v>-0.20030154999999999</v>
      </c>
      <c r="C82">
        <v>-0.49332599999999999</v>
      </c>
      <c r="D82">
        <f t="shared" si="3"/>
        <v>-0.29302444999999999</v>
      </c>
      <c r="E82">
        <f t="shared" si="4"/>
        <v>0.29302444999999999</v>
      </c>
      <c r="F82">
        <f t="shared" si="5"/>
        <v>8.5863328297802494E-2</v>
      </c>
      <c r="I82">
        <v>-0.20030154999999999</v>
      </c>
    </row>
    <row r="83" spans="1:9" x14ac:dyDescent="0.45">
      <c r="A83" t="s">
        <v>134</v>
      </c>
      <c r="B83">
        <v>-0.16330285999999999</v>
      </c>
      <c r="C83">
        <v>-0.52982300000000004</v>
      </c>
      <c r="D83">
        <f t="shared" si="3"/>
        <v>-0.36652014000000005</v>
      </c>
      <c r="E83">
        <f t="shared" si="4"/>
        <v>0.36652014000000005</v>
      </c>
      <c r="F83">
        <f t="shared" si="5"/>
        <v>0.13433701302561962</v>
      </c>
      <c r="I83">
        <v>-0.16330285999999999</v>
      </c>
    </row>
    <row r="84" spans="1:9" x14ac:dyDescent="0.45">
      <c r="A84" t="s">
        <v>136</v>
      </c>
      <c r="B84">
        <v>-0.21821387</v>
      </c>
      <c r="C84">
        <v>-0.494697</v>
      </c>
      <c r="D84">
        <f t="shared" si="3"/>
        <v>-0.27648313000000002</v>
      </c>
      <c r="E84">
        <f t="shared" si="4"/>
        <v>0.27648313000000002</v>
      </c>
      <c r="F84">
        <f t="shared" si="5"/>
        <v>7.6442921174596917E-2</v>
      </c>
      <c r="I84">
        <v>-0.21821387</v>
      </c>
    </row>
    <row r="85" spans="1:9" x14ac:dyDescent="0.45">
      <c r="A85" t="s">
        <v>137</v>
      </c>
      <c r="B85">
        <v>-0.20467262999999999</v>
      </c>
      <c r="C85">
        <v>-0.524949</v>
      </c>
      <c r="D85">
        <f t="shared" si="3"/>
        <v>-0.32027636999999998</v>
      </c>
      <c r="E85">
        <f t="shared" si="4"/>
        <v>0.32027636999999998</v>
      </c>
      <c r="F85">
        <f t="shared" si="5"/>
        <v>0.10257695318037688</v>
      </c>
      <c r="I85">
        <v>-0.20467262999999999</v>
      </c>
    </row>
    <row r="86" spans="1:9" x14ac:dyDescent="0.45">
      <c r="A86" t="s">
        <v>138</v>
      </c>
      <c r="B86">
        <v>-0.20959812999999999</v>
      </c>
      <c r="C86">
        <v>-0.51310999999999996</v>
      </c>
      <c r="D86">
        <f t="shared" si="3"/>
        <v>-0.30351186999999996</v>
      </c>
      <c r="E86">
        <f t="shared" si="4"/>
        <v>0.30351186999999996</v>
      </c>
      <c r="F86">
        <f t="shared" si="5"/>
        <v>9.2119455230896874E-2</v>
      </c>
      <c r="I86">
        <v>-0.20959812999999999</v>
      </c>
    </row>
    <row r="87" spans="1:9" x14ac:dyDescent="0.45">
      <c r="A87" t="s">
        <v>68</v>
      </c>
      <c r="B87">
        <v>-0.25376178999999999</v>
      </c>
      <c r="C87">
        <v>-0.494778</v>
      </c>
      <c r="D87">
        <f t="shared" si="3"/>
        <v>-0.24101621000000001</v>
      </c>
      <c r="E87">
        <f t="shared" si="4"/>
        <v>0.24101621000000001</v>
      </c>
      <c r="F87">
        <f t="shared" si="5"/>
        <v>5.8088813482764103E-2</v>
      </c>
      <c r="I87">
        <v>-0.25376178999999999</v>
      </c>
    </row>
    <row r="88" spans="1:9" x14ac:dyDescent="0.45">
      <c r="A88" t="s">
        <v>69</v>
      </c>
      <c r="B88">
        <v>-0.13067688999999999</v>
      </c>
      <c r="C88">
        <v>-0.53975799999999996</v>
      </c>
      <c r="D88">
        <f t="shared" si="3"/>
        <v>-0.40908110999999997</v>
      </c>
      <c r="E88">
        <f t="shared" si="4"/>
        <v>0.40908110999999997</v>
      </c>
      <c r="F88">
        <f t="shared" si="5"/>
        <v>0.16734735455883207</v>
      </c>
      <c r="I88">
        <v>-0.13067688999999999</v>
      </c>
    </row>
    <row r="89" spans="1:9" x14ac:dyDescent="0.45">
      <c r="A89" t="s">
        <v>70</v>
      </c>
      <c r="B89">
        <v>-0.18114126999999999</v>
      </c>
      <c r="C89">
        <v>-0.54915499999999995</v>
      </c>
      <c r="D89">
        <f t="shared" si="3"/>
        <v>-0.36801372999999993</v>
      </c>
      <c r="E89">
        <f t="shared" si="4"/>
        <v>0.36801372999999993</v>
      </c>
      <c r="F89">
        <f t="shared" si="5"/>
        <v>0.13543410546851284</v>
      </c>
      <c r="I89">
        <v>-0.18114126999999999</v>
      </c>
    </row>
    <row r="90" spans="1:9" x14ac:dyDescent="0.45">
      <c r="A90" t="s">
        <v>71</v>
      </c>
      <c r="B90">
        <v>-0.12442678</v>
      </c>
      <c r="C90">
        <v>-0.53792300000000004</v>
      </c>
      <c r="D90">
        <f t="shared" si="3"/>
        <v>-0.41349622000000003</v>
      </c>
      <c r="E90">
        <f t="shared" si="4"/>
        <v>0.41349622000000003</v>
      </c>
      <c r="F90">
        <f t="shared" si="5"/>
        <v>0.17097912395428841</v>
      </c>
      <c r="I90">
        <v>-0.12442678</v>
      </c>
    </row>
    <row r="91" spans="1:9" x14ac:dyDescent="0.45">
      <c r="A91" t="s">
        <v>72</v>
      </c>
      <c r="B91">
        <v>-0.19649672000000001</v>
      </c>
      <c r="C91">
        <v>-0.58566600000000002</v>
      </c>
      <c r="D91">
        <f t="shared" si="3"/>
        <v>-0.38916928000000001</v>
      </c>
      <c r="E91">
        <f t="shared" si="4"/>
        <v>0.38916928000000001</v>
      </c>
      <c r="F91">
        <f t="shared" si="5"/>
        <v>0.15145272849571839</v>
      </c>
      <c r="I91">
        <v>-0.19649672000000001</v>
      </c>
    </row>
    <row r="92" spans="1:9" x14ac:dyDescent="0.45">
      <c r="A92" t="s">
        <v>73</v>
      </c>
      <c r="B92">
        <v>-0.17578641</v>
      </c>
      <c r="C92">
        <v>-0.50698600000000005</v>
      </c>
      <c r="D92">
        <f t="shared" si="3"/>
        <v>-0.33119959000000004</v>
      </c>
      <c r="E92">
        <f t="shared" si="4"/>
        <v>0.33119959000000004</v>
      </c>
      <c r="F92">
        <f t="shared" si="5"/>
        <v>0.10969316841616814</v>
      </c>
      <c r="I92">
        <v>-0.17578641</v>
      </c>
    </row>
    <row r="93" spans="1:9" x14ac:dyDescent="0.45">
      <c r="A93" t="s">
        <v>74</v>
      </c>
      <c r="B93">
        <v>-0.17189946</v>
      </c>
      <c r="C93">
        <v>-0.52429800000000004</v>
      </c>
      <c r="D93">
        <f t="shared" si="3"/>
        <v>-0.35239854000000004</v>
      </c>
      <c r="E93">
        <f t="shared" si="4"/>
        <v>0.35239854000000004</v>
      </c>
      <c r="F93">
        <f t="shared" si="5"/>
        <v>0.12418473099413163</v>
      </c>
      <c r="I93">
        <v>-0.17189946</v>
      </c>
    </row>
    <row r="94" spans="1:9" x14ac:dyDescent="0.45">
      <c r="A94" t="s">
        <v>75</v>
      </c>
      <c r="B94">
        <v>-0.18284323</v>
      </c>
      <c r="C94">
        <v>-0.50888500000000003</v>
      </c>
      <c r="D94">
        <f t="shared" si="3"/>
        <v>-0.32604177000000001</v>
      </c>
      <c r="E94">
        <f t="shared" si="4"/>
        <v>0.32604177000000001</v>
      </c>
      <c r="F94">
        <f t="shared" si="5"/>
        <v>0.1063032357847329</v>
      </c>
      <c r="I94">
        <v>-0.18284323</v>
      </c>
    </row>
    <row r="95" spans="1:9" x14ac:dyDescent="0.45">
      <c r="A95" t="s">
        <v>76</v>
      </c>
      <c r="B95">
        <v>-0.17952525999999999</v>
      </c>
      <c r="C95">
        <v>-0.51438799999999996</v>
      </c>
      <c r="D95">
        <f t="shared" si="3"/>
        <v>-0.33486273999999994</v>
      </c>
      <c r="E95">
        <f t="shared" si="4"/>
        <v>0.33486273999999994</v>
      </c>
      <c r="F95">
        <f t="shared" si="5"/>
        <v>0.11213305464030755</v>
      </c>
      <c r="I95">
        <v>-0.17952525999999999</v>
      </c>
    </row>
    <row r="96" spans="1:9" x14ac:dyDescent="0.45">
      <c r="A96" t="s">
        <v>77</v>
      </c>
      <c r="B96">
        <v>-0.17485431000000001</v>
      </c>
      <c r="C96">
        <v>-0.527841</v>
      </c>
      <c r="D96">
        <f t="shared" si="3"/>
        <v>-0.35298668999999999</v>
      </c>
      <c r="E96">
        <f t="shared" si="4"/>
        <v>0.35298668999999999</v>
      </c>
      <c r="F96">
        <f t="shared" si="5"/>
        <v>0.1245996033171561</v>
      </c>
      <c r="I96">
        <v>-0.17485431000000001</v>
      </c>
    </row>
    <row r="97" spans="1:9" x14ac:dyDescent="0.45">
      <c r="A97" t="s">
        <v>78</v>
      </c>
      <c r="B97">
        <v>-0.33926170999999999</v>
      </c>
      <c r="C97">
        <v>-0.59438199999999997</v>
      </c>
      <c r="D97">
        <f t="shared" si="3"/>
        <v>-0.25512028999999997</v>
      </c>
      <c r="E97">
        <f t="shared" si="4"/>
        <v>0.25512028999999997</v>
      </c>
      <c r="F97">
        <f t="shared" si="5"/>
        <v>6.5086362369684084E-2</v>
      </c>
      <c r="I97">
        <v>-0.33926170999999999</v>
      </c>
    </row>
    <row r="98" spans="1:9" x14ac:dyDescent="0.45">
      <c r="A98" t="s">
        <v>79</v>
      </c>
      <c r="B98">
        <v>-0.34390489000000002</v>
      </c>
      <c r="C98">
        <v>-0.59370599999999996</v>
      </c>
      <c r="D98">
        <f t="shared" si="3"/>
        <v>-0.24980110999999994</v>
      </c>
      <c r="E98">
        <f t="shared" si="4"/>
        <v>0.24980110999999994</v>
      </c>
      <c r="F98">
        <f t="shared" si="5"/>
        <v>6.240059455723207E-2</v>
      </c>
      <c r="I98">
        <v>-0.34390489000000002</v>
      </c>
    </row>
    <row r="99" spans="1:9" x14ac:dyDescent="0.45">
      <c r="A99" t="s">
        <v>80</v>
      </c>
      <c r="B99">
        <v>-0.36027194000000001</v>
      </c>
      <c r="C99">
        <v>-0.61595100000000003</v>
      </c>
      <c r="D99">
        <f t="shared" si="3"/>
        <v>-0.25567906000000001</v>
      </c>
      <c r="E99">
        <f t="shared" si="4"/>
        <v>0.25567906000000001</v>
      </c>
      <c r="F99">
        <f t="shared" si="5"/>
        <v>6.5371781722483605E-2</v>
      </c>
      <c r="I99">
        <v>-0.36027194000000001</v>
      </c>
    </row>
    <row r="100" spans="1:9" x14ac:dyDescent="0.45">
      <c r="A100" t="s">
        <v>81</v>
      </c>
      <c r="B100">
        <v>-0.27927296000000001</v>
      </c>
      <c r="C100">
        <v>-0.497114</v>
      </c>
      <c r="D100">
        <f t="shared" si="3"/>
        <v>-0.21784103999999999</v>
      </c>
      <c r="E100">
        <f t="shared" si="4"/>
        <v>0.21784103999999999</v>
      </c>
      <c r="F100">
        <f t="shared" si="5"/>
        <v>4.7454718708281593E-2</v>
      </c>
      <c r="I100">
        <v>-0.27927296000000001</v>
      </c>
    </row>
    <row r="101" spans="1:9" x14ac:dyDescent="0.45">
      <c r="A101" t="s">
        <v>82</v>
      </c>
      <c r="B101">
        <v>-0.32339963999999999</v>
      </c>
      <c r="C101">
        <v>-0.56945900000000005</v>
      </c>
      <c r="D101">
        <f t="shared" si="3"/>
        <v>-0.24605936000000006</v>
      </c>
      <c r="E101">
        <f t="shared" si="4"/>
        <v>0.24605936000000006</v>
      </c>
      <c r="F101">
        <f t="shared" si="5"/>
        <v>6.0545208643609627E-2</v>
      </c>
      <c r="I101">
        <v>-0.32339963999999999</v>
      </c>
    </row>
    <row r="102" spans="1:9" x14ac:dyDescent="0.45">
      <c r="A102" t="s">
        <v>83</v>
      </c>
      <c r="B102">
        <v>-0.34205952000000001</v>
      </c>
      <c r="C102">
        <v>-0.64469799999999999</v>
      </c>
      <c r="D102">
        <f t="shared" si="3"/>
        <v>-0.30263847999999999</v>
      </c>
      <c r="E102">
        <f t="shared" si="4"/>
        <v>0.30263847999999999</v>
      </c>
      <c r="F102">
        <f t="shared" si="5"/>
        <v>9.1590049576710394E-2</v>
      </c>
      <c r="I102">
        <v>-0.34205952000000001</v>
      </c>
    </row>
    <row r="103" spans="1:9" x14ac:dyDescent="0.45">
      <c r="A103" t="s">
        <v>84</v>
      </c>
      <c r="B103">
        <v>-0.20321966</v>
      </c>
      <c r="C103">
        <v>-0.46623300000000001</v>
      </c>
      <c r="D103">
        <f t="shared" si="3"/>
        <v>-0.26301333999999998</v>
      </c>
      <c r="E103">
        <f t="shared" si="4"/>
        <v>0.26301333999999998</v>
      </c>
      <c r="F103">
        <f t="shared" si="5"/>
        <v>6.9176017017955588E-2</v>
      </c>
      <c r="I103">
        <v>-0.20321966</v>
      </c>
    </row>
    <row r="104" spans="1:9" x14ac:dyDescent="0.45">
      <c r="A104" t="s">
        <v>139</v>
      </c>
      <c r="B104">
        <v>-0.12043595999999999</v>
      </c>
      <c r="C104">
        <v>-0.453322</v>
      </c>
      <c r="D104">
        <f t="shared" si="3"/>
        <v>-0.33288603999999999</v>
      </c>
      <c r="E104">
        <f t="shared" si="4"/>
        <v>0.33288603999999999</v>
      </c>
      <c r="F104">
        <f t="shared" si="5"/>
        <v>0.11081311562688159</v>
      </c>
      <c r="I104">
        <v>-0.12043595999999999</v>
      </c>
    </row>
    <row r="105" spans="1:9" x14ac:dyDescent="0.45">
      <c r="A105" t="s">
        <v>140</v>
      </c>
      <c r="B105">
        <v>-0.19789372</v>
      </c>
      <c r="C105">
        <v>-0.51150499999999999</v>
      </c>
      <c r="D105">
        <f t="shared" si="3"/>
        <v>-0.31361127999999999</v>
      </c>
      <c r="E105">
        <f t="shared" si="4"/>
        <v>0.31361127999999999</v>
      </c>
      <c r="F105">
        <f t="shared" si="5"/>
        <v>9.8352034943238395E-2</v>
      </c>
      <c r="I105">
        <v>-0.19789372</v>
      </c>
    </row>
    <row r="106" spans="1:9" x14ac:dyDescent="0.45">
      <c r="A106" t="s">
        <v>85</v>
      </c>
      <c r="B106">
        <v>-0.20276373</v>
      </c>
      <c r="C106">
        <v>-0.47358800000000001</v>
      </c>
      <c r="D106">
        <f t="shared" si="3"/>
        <v>-0.27082426999999998</v>
      </c>
      <c r="E106">
        <f t="shared" si="4"/>
        <v>0.27082426999999998</v>
      </c>
      <c r="F106">
        <f t="shared" si="5"/>
        <v>7.3345785221032883E-2</v>
      </c>
      <c r="I106">
        <v>-0.20276373</v>
      </c>
    </row>
    <row r="107" spans="1:9" x14ac:dyDescent="0.45">
      <c r="A107" t="s">
        <v>86</v>
      </c>
      <c r="B107">
        <v>-0.19734918000000001</v>
      </c>
      <c r="C107">
        <v>-0.48627999999999999</v>
      </c>
      <c r="D107">
        <f t="shared" si="3"/>
        <v>-0.28893081999999998</v>
      </c>
      <c r="E107">
        <f t="shared" si="4"/>
        <v>0.28893081999999998</v>
      </c>
      <c r="F107">
        <f t="shared" si="5"/>
        <v>8.3481018745872382E-2</v>
      </c>
      <c r="I107">
        <v>-0.19734918000000001</v>
      </c>
    </row>
    <row r="108" spans="1:9" x14ac:dyDescent="0.45">
      <c r="A108" t="s">
        <v>87</v>
      </c>
      <c r="B108">
        <v>-0.20068862000000001</v>
      </c>
      <c r="C108">
        <v>-0.47109499999999999</v>
      </c>
      <c r="D108">
        <f t="shared" si="3"/>
        <v>-0.27040637999999995</v>
      </c>
      <c r="E108">
        <f t="shared" si="4"/>
        <v>0.27040637999999995</v>
      </c>
      <c r="F108">
        <f t="shared" si="5"/>
        <v>7.3119610344704378E-2</v>
      </c>
      <c r="I108">
        <v>-0.20068862000000001</v>
      </c>
    </row>
    <row r="109" spans="1:9" x14ac:dyDescent="0.45">
      <c r="A109" t="s">
        <v>88</v>
      </c>
      <c r="B109">
        <v>-0.20686556</v>
      </c>
      <c r="C109">
        <v>-0.45084299999999999</v>
      </c>
      <c r="D109">
        <f t="shared" si="3"/>
        <v>-0.24397743999999999</v>
      </c>
      <c r="E109">
        <f t="shared" si="4"/>
        <v>0.24397743999999999</v>
      </c>
      <c r="F109">
        <f t="shared" si="5"/>
        <v>5.9524991228953598E-2</v>
      </c>
      <c r="I109">
        <v>-0.20686556</v>
      </c>
    </row>
    <row r="110" spans="1:9" x14ac:dyDescent="0.45">
      <c r="A110" t="s">
        <v>89</v>
      </c>
      <c r="B110">
        <v>-0.20606548999999999</v>
      </c>
      <c r="C110">
        <v>-0.49916500000000003</v>
      </c>
      <c r="D110">
        <f t="shared" si="3"/>
        <v>-0.29309951000000001</v>
      </c>
      <c r="E110">
        <f t="shared" si="4"/>
        <v>0.29309951000000001</v>
      </c>
      <c r="F110">
        <f t="shared" si="5"/>
        <v>8.5907322762240099E-2</v>
      </c>
      <c r="I110">
        <v>-0.20606548999999999</v>
      </c>
    </row>
    <row r="111" spans="1:9" x14ac:dyDescent="0.45">
      <c r="A111" t="s">
        <v>90</v>
      </c>
      <c r="B111">
        <v>-0.45360471000000002</v>
      </c>
      <c r="C111">
        <v>-0.53476000000000001</v>
      </c>
      <c r="D111">
        <f t="shared" si="3"/>
        <v>-8.1155289999999991E-2</v>
      </c>
      <c r="E111">
        <f t="shared" si="4"/>
        <v>8.1155289999999991E-2</v>
      </c>
      <c r="F111">
        <f t="shared" si="5"/>
        <v>6.5861810949840987E-3</v>
      </c>
      <c r="I111">
        <v>-0.45360471000000002</v>
      </c>
    </row>
    <row r="112" spans="1:9" x14ac:dyDescent="0.45">
      <c r="A112" t="s">
        <v>91</v>
      </c>
      <c r="B112">
        <v>-0.41991961999999999</v>
      </c>
      <c r="C112">
        <v>-0.53406900000000002</v>
      </c>
      <c r="D112">
        <f t="shared" si="3"/>
        <v>-0.11414938000000002</v>
      </c>
      <c r="E112">
        <f t="shared" si="4"/>
        <v>0.11414938000000002</v>
      </c>
      <c r="F112">
        <f t="shared" si="5"/>
        <v>1.3030080954384404E-2</v>
      </c>
      <c r="I112">
        <v>-0.41991961999999999</v>
      </c>
    </row>
    <row r="113" spans="1:9" x14ac:dyDescent="0.45">
      <c r="A113" t="s">
        <v>92</v>
      </c>
      <c r="B113">
        <v>-0.43084201</v>
      </c>
      <c r="C113">
        <v>-0.538663</v>
      </c>
      <c r="D113">
        <f t="shared" si="3"/>
        <v>-0.10782099000000001</v>
      </c>
      <c r="E113">
        <f t="shared" si="4"/>
        <v>0.10782099000000001</v>
      </c>
      <c r="F113">
        <f t="shared" si="5"/>
        <v>1.16253658845801E-2</v>
      </c>
      <c r="I113">
        <v>-0.43084201</v>
      </c>
    </row>
    <row r="114" spans="1:9" x14ac:dyDescent="0.45">
      <c r="A114" t="s">
        <v>93</v>
      </c>
      <c r="B114">
        <v>-0.43527481000000001</v>
      </c>
      <c r="C114">
        <v>-0.54958099999999999</v>
      </c>
      <c r="D114">
        <f t="shared" si="3"/>
        <v>-0.11430618999999997</v>
      </c>
      <c r="E114">
        <f t="shared" si="4"/>
        <v>0.11430618999999997</v>
      </c>
      <c r="F114">
        <f t="shared" si="5"/>
        <v>1.3065905072316093E-2</v>
      </c>
      <c r="I114">
        <v>-0.43527481000000001</v>
      </c>
    </row>
    <row r="115" spans="1:9" x14ac:dyDescent="0.45">
      <c r="A115" t="s">
        <v>94</v>
      </c>
      <c r="B115">
        <v>-0.43693019999999999</v>
      </c>
      <c r="C115">
        <v>-0.55419300000000005</v>
      </c>
      <c r="D115">
        <f t="shared" si="3"/>
        <v>-0.11726280000000006</v>
      </c>
      <c r="E115">
        <f t="shared" si="4"/>
        <v>0.11726280000000006</v>
      </c>
      <c r="F115">
        <f t="shared" si="5"/>
        <v>1.3750564263840014E-2</v>
      </c>
      <c r="I115">
        <v>-0.43693019999999999</v>
      </c>
    </row>
    <row r="116" spans="1:9" x14ac:dyDescent="0.45">
      <c r="A116" t="s">
        <v>95</v>
      </c>
      <c r="B116">
        <v>-0.42150989999999999</v>
      </c>
      <c r="C116">
        <v>-0.52423699999999995</v>
      </c>
      <c r="D116">
        <f t="shared" si="3"/>
        <v>-0.10272709999999996</v>
      </c>
      <c r="E116">
        <f t="shared" si="4"/>
        <v>0.10272709999999996</v>
      </c>
      <c r="F116">
        <f t="shared" si="5"/>
        <v>1.0552857074409993E-2</v>
      </c>
      <c r="I116">
        <v>-0.42150989999999999</v>
      </c>
    </row>
    <row r="117" spans="1:9" x14ac:dyDescent="0.45">
      <c r="A117" t="s">
        <v>96</v>
      </c>
      <c r="B117">
        <v>-0.40806625000000002</v>
      </c>
      <c r="C117">
        <v>-0.54621799999999998</v>
      </c>
      <c r="D117">
        <f t="shared" si="3"/>
        <v>-0.13815174999999996</v>
      </c>
      <c r="E117">
        <f t="shared" si="4"/>
        <v>0.13815174999999996</v>
      </c>
      <c r="F117">
        <f t="shared" si="5"/>
        <v>1.908590602806249E-2</v>
      </c>
      <c r="I117">
        <v>-0.40806625000000002</v>
      </c>
    </row>
    <row r="118" spans="1:9" x14ac:dyDescent="0.45">
      <c r="A118" t="s">
        <v>97</v>
      </c>
      <c r="B118">
        <v>-0.45122140999999999</v>
      </c>
      <c r="C118">
        <v>-0.54933699999999996</v>
      </c>
      <c r="D118">
        <f t="shared" si="3"/>
        <v>-9.8115589999999975E-2</v>
      </c>
      <c r="E118">
        <f t="shared" si="4"/>
        <v>9.8115589999999975E-2</v>
      </c>
      <c r="F118">
        <f t="shared" si="5"/>
        <v>9.6266690010480948E-3</v>
      </c>
      <c r="I118">
        <v>-0.45122140999999999</v>
      </c>
    </row>
    <row r="119" spans="1:9" x14ac:dyDescent="0.45">
      <c r="A119" t="s">
        <v>98</v>
      </c>
      <c r="B119">
        <v>-0.16496019000000001</v>
      </c>
      <c r="C119">
        <v>-0.56623900000000005</v>
      </c>
      <c r="D119">
        <f t="shared" si="3"/>
        <v>-0.40127881000000004</v>
      </c>
      <c r="E119">
        <f t="shared" si="4"/>
        <v>0.40127881000000004</v>
      </c>
      <c r="F119">
        <f t="shared" si="5"/>
        <v>0.16102468335501613</v>
      </c>
      <c r="I119">
        <v>-0.16496019000000001</v>
      </c>
    </row>
    <row r="120" spans="1:9" x14ac:dyDescent="0.45">
      <c r="A120" t="s">
        <v>99</v>
      </c>
      <c r="B120">
        <v>-0.15048887999999999</v>
      </c>
      <c r="C120">
        <v>-0.59020099999999998</v>
      </c>
      <c r="D120">
        <f t="shared" si="3"/>
        <v>-0.43971211999999998</v>
      </c>
      <c r="E120">
        <f t="shared" si="4"/>
        <v>0.43971211999999998</v>
      </c>
      <c r="F120">
        <f t="shared" si="5"/>
        <v>0.19334674847489439</v>
      </c>
      <c r="I120">
        <v>-0.15048887999999999</v>
      </c>
    </row>
    <row r="121" spans="1:9" x14ac:dyDescent="0.45">
      <c r="A121" t="s">
        <v>100</v>
      </c>
      <c r="B121">
        <v>-0.34099123999999997</v>
      </c>
      <c r="C121">
        <v>-0.59522399999999998</v>
      </c>
      <c r="D121">
        <f t="shared" si="3"/>
        <v>-0.25423276</v>
      </c>
      <c r="E121">
        <f t="shared" si="4"/>
        <v>0.25423276</v>
      </c>
      <c r="F121">
        <f t="shared" si="5"/>
        <v>6.4634296257217602E-2</v>
      </c>
      <c r="I121">
        <v>-0.34099123999999997</v>
      </c>
    </row>
    <row r="122" spans="1:9" x14ac:dyDescent="0.45">
      <c r="A122" t="s">
        <v>101</v>
      </c>
      <c r="B122">
        <v>-0.34630585000000003</v>
      </c>
      <c r="C122">
        <v>-0.72437499999999999</v>
      </c>
      <c r="D122">
        <f t="shared" si="3"/>
        <v>-0.37806914999999996</v>
      </c>
      <c r="E122">
        <f t="shared" si="4"/>
        <v>0.37806914999999996</v>
      </c>
      <c r="F122">
        <f t="shared" si="5"/>
        <v>0.14293628218172247</v>
      </c>
      <c r="I122">
        <v>-0.34630585000000003</v>
      </c>
    </row>
    <row r="123" spans="1:9" x14ac:dyDescent="0.45">
      <c r="A123" t="s">
        <v>102</v>
      </c>
      <c r="B123">
        <v>-0.11007399</v>
      </c>
      <c r="C123">
        <v>-0.493923</v>
      </c>
      <c r="D123">
        <f t="shared" si="3"/>
        <v>-0.38384900999999999</v>
      </c>
      <c r="E123">
        <f t="shared" si="4"/>
        <v>0.38384900999999999</v>
      </c>
      <c r="F123">
        <f t="shared" si="5"/>
        <v>0.14734006247798009</v>
      </c>
      <c r="I123">
        <v>-0.11007399</v>
      </c>
    </row>
    <row r="124" spans="1:9" x14ac:dyDescent="0.45">
      <c r="A124" t="s">
        <v>103</v>
      </c>
      <c r="B124">
        <v>-0.13879389</v>
      </c>
      <c r="C124">
        <v>-0.38900000000000001</v>
      </c>
      <c r="D124">
        <f t="shared" si="3"/>
        <v>-0.25020611000000004</v>
      </c>
      <c r="E124">
        <f t="shared" si="4"/>
        <v>0.25020611000000004</v>
      </c>
      <c r="F124">
        <f t="shared" si="5"/>
        <v>6.2603097481332123E-2</v>
      </c>
      <c r="I124">
        <v>-0.13879389</v>
      </c>
    </row>
    <row r="125" spans="1:9" x14ac:dyDescent="0.45">
      <c r="A125" t="s">
        <v>104</v>
      </c>
      <c r="B125">
        <v>-0.12708282000000001</v>
      </c>
      <c r="C125">
        <v>-0.50897499999999996</v>
      </c>
      <c r="D125">
        <f t="shared" si="3"/>
        <v>-0.38189217999999991</v>
      </c>
      <c r="E125">
        <f t="shared" si="4"/>
        <v>0.38189217999999991</v>
      </c>
      <c r="F125">
        <f t="shared" si="5"/>
        <v>0.14584163714515233</v>
      </c>
      <c r="I125">
        <v>-0.12708282000000001</v>
      </c>
    </row>
    <row r="126" spans="1:9" x14ac:dyDescent="0.45">
      <c r="A126" t="s">
        <v>105</v>
      </c>
      <c r="B126">
        <v>-0.13400591000000001</v>
      </c>
      <c r="C126">
        <v>-0.482099</v>
      </c>
      <c r="D126">
        <f t="shared" si="3"/>
        <v>-0.34809308999999999</v>
      </c>
      <c r="E126">
        <f t="shared" si="4"/>
        <v>0.34809308999999999</v>
      </c>
      <c r="F126">
        <f t="shared" si="5"/>
        <v>0.1211687993057481</v>
      </c>
      <c r="I126">
        <v>-0.13400591000000001</v>
      </c>
    </row>
    <row r="127" spans="1:9" x14ac:dyDescent="0.45">
      <c r="A127" t="s">
        <v>106</v>
      </c>
      <c r="B127">
        <v>-0.13033942000000001</v>
      </c>
      <c r="C127">
        <v>-0.46689000000000003</v>
      </c>
      <c r="D127">
        <f t="shared" si="3"/>
        <v>-0.33655058000000004</v>
      </c>
      <c r="E127">
        <f t="shared" si="4"/>
        <v>0.33655058000000004</v>
      </c>
      <c r="F127">
        <f t="shared" si="5"/>
        <v>0.11326629289833642</v>
      </c>
      <c r="I127">
        <v>-0.13033942000000001</v>
      </c>
    </row>
    <row r="128" spans="1:9" x14ac:dyDescent="0.45">
      <c r="A128" t="s">
        <v>141</v>
      </c>
      <c r="B128">
        <v>-0.22438796</v>
      </c>
      <c r="C128">
        <v>-0.46668900000000002</v>
      </c>
      <c r="D128">
        <f t="shared" si="3"/>
        <v>-0.24230104000000002</v>
      </c>
      <c r="E128">
        <f t="shared" si="4"/>
        <v>0.24230104000000002</v>
      </c>
      <c r="F128">
        <f t="shared" si="5"/>
        <v>5.870979398508161E-2</v>
      </c>
      <c r="I128">
        <v>-0.22438796</v>
      </c>
    </row>
    <row r="129" spans="1:9" x14ac:dyDescent="0.45">
      <c r="A129" t="s">
        <v>142</v>
      </c>
      <c r="B129">
        <v>-0.19245222000000001</v>
      </c>
      <c r="C129">
        <v>-0.51212299999999999</v>
      </c>
      <c r="D129">
        <f t="shared" ref="D129:D135" si="6">(C129-B129)</f>
        <v>-0.31967077999999999</v>
      </c>
      <c r="E129">
        <f t="shared" ref="E129:E135" si="7">ABS(D129)</f>
        <v>0.31967077999999999</v>
      </c>
      <c r="F129">
        <f t="shared" ref="F129:F135" si="8">E129^2</f>
        <v>0.1021894075858084</v>
      </c>
      <c r="I129">
        <v>-0.19245222000000001</v>
      </c>
    </row>
    <row r="130" spans="1:9" x14ac:dyDescent="0.45">
      <c r="A130" t="s">
        <v>107</v>
      </c>
      <c r="B130">
        <v>-0.20041545999999999</v>
      </c>
      <c r="C130">
        <v>-0.46979799999999999</v>
      </c>
      <c r="D130">
        <f t="shared" si="6"/>
        <v>-0.26938254</v>
      </c>
      <c r="E130">
        <f t="shared" si="7"/>
        <v>0.26938254</v>
      </c>
      <c r="F130">
        <f t="shared" si="8"/>
        <v>7.2566952856851608E-2</v>
      </c>
      <c r="I130">
        <v>-0.20041545999999999</v>
      </c>
    </row>
    <row r="131" spans="1:9" x14ac:dyDescent="0.45">
      <c r="A131" t="s">
        <v>108</v>
      </c>
      <c r="B131">
        <v>-0.20361804</v>
      </c>
      <c r="C131">
        <v>-0.46439000000000002</v>
      </c>
      <c r="D131">
        <f t="shared" si="6"/>
        <v>-0.26077196000000002</v>
      </c>
      <c r="E131">
        <f t="shared" si="7"/>
        <v>0.26077196000000002</v>
      </c>
      <c r="F131">
        <f t="shared" si="8"/>
        <v>6.8002015122241619E-2</v>
      </c>
      <c r="I131">
        <v>-0.20361804</v>
      </c>
    </row>
    <row r="132" spans="1:9" x14ac:dyDescent="0.45">
      <c r="A132" t="s">
        <v>109</v>
      </c>
      <c r="B132">
        <v>-0.20651016</v>
      </c>
      <c r="C132">
        <v>-0.48615999999999998</v>
      </c>
      <c r="D132">
        <f t="shared" si="6"/>
        <v>-0.27964983999999998</v>
      </c>
      <c r="E132">
        <f t="shared" si="7"/>
        <v>0.27964983999999998</v>
      </c>
      <c r="F132">
        <f t="shared" si="8"/>
        <v>7.8204033012025595E-2</v>
      </c>
      <c r="I132">
        <v>-0.20651016</v>
      </c>
    </row>
    <row r="133" spans="1:9" x14ac:dyDescent="0.45">
      <c r="A133" t="s">
        <v>110</v>
      </c>
      <c r="B133">
        <v>-0.2183185</v>
      </c>
      <c r="C133">
        <v>-0.48591099999999998</v>
      </c>
      <c r="D133">
        <f t="shared" si="6"/>
        <v>-0.26759250000000001</v>
      </c>
      <c r="E133">
        <f t="shared" si="7"/>
        <v>0.26759250000000001</v>
      </c>
      <c r="F133">
        <f t="shared" si="8"/>
        <v>7.1605746056250003E-2</v>
      </c>
      <c r="I133">
        <v>-0.2183185</v>
      </c>
    </row>
    <row r="134" spans="1:9" x14ac:dyDescent="0.45">
      <c r="A134" t="s">
        <v>111</v>
      </c>
      <c r="B134">
        <v>-0.15239912</v>
      </c>
      <c r="C134">
        <v>-0.53456300000000001</v>
      </c>
      <c r="D134">
        <f t="shared" si="6"/>
        <v>-0.38216388000000001</v>
      </c>
      <c r="E134">
        <f t="shared" si="7"/>
        <v>0.38216388000000001</v>
      </c>
      <c r="F134">
        <f t="shared" si="8"/>
        <v>0.14604923117665441</v>
      </c>
      <c r="I134">
        <v>-0.15239912</v>
      </c>
    </row>
    <row r="135" spans="1:9" x14ac:dyDescent="0.45">
      <c r="A135" t="s">
        <v>112</v>
      </c>
      <c r="B135">
        <v>-0.15153141000000001</v>
      </c>
      <c r="C135">
        <v>-0.53708</v>
      </c>
      <c r="D135">
        <f t="shared" si="6"/>
        <v>-0.38554858999999997</v>
      </c>
      <c r="E135">
        <f t="shared" si="7"/>
        <v>0.38554858999999997</v>
      </c>
      <c r="F135">
        <f t="shared" si="8"/>
        <v>0.14864771525098808</v>
      </c>
      <c r="I135">
        <v>-0.15153141000000001</v>
      </c>
    </row>
    <row r="136" spans="1:9" x14ac:dyDescent="0.45">
      <c r="D136">
        <f>AVERAGE(D2:D135)</f>
        <v>-0.26701987783582093</v>
      </c>
      <c r="E136">
        <f>AVERAGE(E2:E135)</f>
        <v>0.29306958111940301</v>
      </c>
      <c r="F136">
        <f>SQRT(AVERAGE(F2:F135))</f>
        <v>0.30725141211197315</v>
      </c>
    </row>
    <row r="137" spans="1:9" x14ac:dyDescent="0.45">
      <c r="B137">
        <f>MIN(B2:B135)</f>
        <v>-0.45360471000000002</v>
      </c>
      <c r="C137">
        <f>MIN(C2:C135)</f>
        <v>-0.72437499999999999</v>
      </c>
    </row>
    <row r="138" spans="1:9" x14ac:dyDescent="0.45">
      <c r="B138">
        <f>MAX(B2:B135)</f>
        <v>-9.7219659999999999E-2</v>
      </c>
      <c r="C138">
        <f>MAX(C2:C135)</f>
        <v>0.50170899999999996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xTB vs DFT q0</vt:lpstr>
      <vt:lpstr>xTB vs DFT q3</vt:lpstr>
      <vt:lpstr>xTB vs DFT q1</vt:lpstr>
      <vt:lpstr>xTB vs DFT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2026-06-08T12:10:33Z</dcterms:modified>
</cp:coreProperties>
</file>