
<file path=[Content_Types].xml><?xml version="1.0" encoding="utf-8"?>
<Types xmlns="http://schemas.openxmlformats.org/package/2006/content-types">
  <Default Extension="bin" ContentType="application/vnd.openxmlformats-officedocument.oleObject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7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8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indianinstituteofscience-my.sharepoint.com/personal/arushityagi_iisc_ac_in/Documents/Desktop/PhD_2025/SMILES_project/P1_updated_work_in_this/SMILES_project/xTB_22may2026/Descriptors/"/>
    </mc:Choice>
  </mc:AlternateContent>
  <xr:revisionPtr revIDLastSave="2738" documentId="13_ncr:1_{C2F42A1A-F3AD-459C-B9F6-1A17F21557F3}" xr6:coauthVersionLast="47" xr6:coauthVersionMax="47" xr10:uidLastSave="{ECC0DC69-FA14-4C10-990F-FE613BA8BCEC}"/>
  <bookViews>
    <workbookView xWindow="-98" yWindow="-98" windowWidth="19396" windowHeight="11596" xr2:uid="{00000000-000D-0000-FFFF-FFFF00000000}"/>
  </bookViews>
  <sheets>
    <sheet name="xTB" sheetId="32" r:id="rId1"/>
    <sheet name="DFT" sheetId="31" r:id="rId2"/>
    <sheet name="C-Cu-C angle alpha" sheetId="26" r:id="rId3"/>
    <sheet name="N1-Cu-C angle beta1" sheetId="36" r:id="rId4"/>
    <sheet name="N2-Cu-C angle beta2" sheetId="37" r:id="rId5"/>
    <sheet name="Bite angle theta wo outliers" sheetId="38" r:id="rId6"/>
    <sheet name="Bite angle theta with outliers" sheetId="33" r:id="rId7"/>
    <sheet name="L27g-xTB vs DFT " sheetId="45" r:id="rId8"/>
    <sheet name="L50g-xTB vs DFT" sheetId="49" r:id="rId9"/>
    <sheet name="L10g-xtb vs DFT" sheetId="4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P4" i="45" l="1"/>
  <c r="AQ4" i="45"/>
  <c r="AC4" i="45"/>
  <c r="AC6" i="45"/>
  <c r="AC7" i="45"/>
  <c r="AC16" i="40"/>
  <c r="C19" i="40"/>
  <c r="C18" i="40"/>
  <c r="B19" i="40"/>
  <c r="B18" i="40"/>
  <c r="AO20" i="49"/>
  <c r="AN20" i="49"/>
  <c r="AB20" i="49"/>
  <c r="AA20" i="49"/>
  <c r="N20" i="49"/>
  <c r="M20" i="49"/>
  <c r="C20" i="49"/>
  <c r="B20" i="49"/>
  <c r="AO19" i="49"/>
  <c r="AN19" i="49"/>
  <c r="AB19" i="49"/>
  <c r="AA19" i="49"/>
  <c r="N19" i="49"/>
  <c r="M19" i="49"/>
  <c r="C19" i="49"/>
  <c r="B19" i="49"/>
  <c r="AP17" i="49"/>
  <c r="AC17" i="49"/>
  <c r="O17" i="49"/>
  <c r="D17" i="49"/>
  <c r="AP16" i="49"/>
  <c r="AC16" i="49"/>
  <c r="O16" i="49"/>
  <c r="D16" i="49"/>
  <c r="AP15" i="49"/>
  <c r="AC15" i="49"/>
  <c r="O15" i="49"/>
  <c r="D15" i="49"/>
  <c r="AP14" i="49"/>
  <c r="AC14" i="49"/>
  <c r="O14" i="49"/>
  <c r="D14" i="49"/>
  <c r="AP13" i="49"/>
  <c r="AC13" i="49"/>
  <c r="O13" i="49"/>
  <c r="D13" i="49"/>
  <c r="AP12" i="49"/>
  <c r="AC12" i="49"/>
  <c r="O12" i="49"/>
  <c r="D12" i="49"/>
  <c r="AP11" i="49"/>
  <c r="AC11" i="49"/>
  <c r="O11" i="49"/>
  <c r="D11" i="49"/>
  <c r="AP10" i="49"/>
  <c r="AC10" i="49"/>
  <c r="O10" i="49"/>
  <c r="D10" i="49"/>
  <c r="AP9" i="49"/>
  <c r="AC9" i="49"/>
  <c r="O9" i="49"/>
  <c r="D9" i="49"/>
  <c r="AP8" i="49"/>
  <c r="AC8" i="49"/>
  <c r="O8" i="49"/>
  <c r="D8" i="49"/>
  <c r="AP7" i="49"/>
  <c r="AC7" i="49"/>
  <c r="O7" i="49"/>
  <c r="D7" i="49"/>
  <c r="AP6" i="49"/>
  <c r="AC6" i="49"/>
  <c r="O6" i="49"/>
  <c r="D6" i="49"/>
  <c r="AP5" i="49"/>
  <c r="AC5" i="49"/>
  <c r="O5" i="49"/>
  <c r="D5" i="49"/>
  <c r="AP4" i="49"/>
  <c r="AC4" i="49"/>
  <c r="O4" i="49"/>
  <c r="D4" i="49"/>
  <c r="AP3" i="49"/>
  <c r="AC3" i="49"/>
  <c r="O3" i="49"/>
  <c r="D3" i="49"/>
  <c r="AS2" i="49"/>
  <c r="AP2" i="49"/>
  <c r="AF2" i="49"/>
  <c r="AC2" i="49"/>
  <c r="R2" i="49"/>
  <c r="O2" i="49"/>
  <c r="G2" i="49"/>
  <c r="D2" i="49"/>
  <c r="D4" i="45"/>
  <c r="O4" i="45"/>
  <c r="C20" i="45"/>
  <c r="B20" i="45"/>
  <c r="C19" i="45"/>
  <c r="B19" i="45"/>
  <c r="D6" i="45"/>
  <c r="O6" i="45"/>
  <c r="AP6" i="45"/>
  <c r="AO20" i="45"/>
  <c r="AN20" i="45"/>
  <c r="AB20" i="45"/>
  <c r="AA20" i="45"/>
  <c r="N20" i="45"/>
  <c r="M20" i="45"/>
  <c r="AO19" i="45"/>
  <c r="AN19" i="45"/>
  <c r="AB19" i="45"/>
  <c r="AA19" i="45"/>
  <c r="N19" i="45"/>
  <c r="M19" i="45"/>
  <c r="AP17" i="45"/>
  <c r="AC17" i="45"/>
  <c r="O17" i="45"/>
  <c r="D17" i="45"/>
  <c r="AP16" i="45"/>
  <c r="AC16" i="45"/>
  <c r="O16" i="45"/>
  <c r="D16" i="45"/>
  <c r="AP15" i="45"/>
  <c r="AC15" i="45"/>
  <c r="O15" i="45"/>
  <c r="D15" i="45"/>
  <c r="AP14" i="45"/>
  <c r="AC14" i="45"/>
  <c r="O14" i="45"/>
  <c r="D14" i="45"/>
  <c r="AP13" i="45"/>
  <c r="AC13" i="45"/>
  <c r="O13" i="45"/>
  <c r="D13" i="45"/>
  <c r="AP12" i="45"/>
  <c r="AC12" i="45"/>
  <c r="O12" i="45"/>
  <c r="D12" i="45"/>
  <c r="AP11" i="45"/>
  <c r="AC11" i="45"/>
  <c r="O11" i="45"/>
  <c r="D11" i="45"/>
  <c r="AP10" i="45"/>
  <c r="AC10" i="45"/>
  <c r="O10" i="45"/>
  <c r="D10" i="45"/>
  <c r="AP9" i="45"/>
  <c r="AC9" i="45"/>
  <c r="O9" i="45"/>
  <c r="D9" i="45"/>
  <c r="AP8" i="45"/>
  <c r="AC8" i="45"/>
  <c r="O8" i="45"/>
  <c r="D8" i="45"/>
  <c r="AP7" i="45"/>
  <c r="O7" i="45"/>
  <c r="D7" i="45"/>
  <c r="AP5" i="45"/>
  <c r="AC5" i="45"/>
  <c r="O5" i="45"/>
  <c r="D5" i="45"/>
  <c r="AP3" i="45"/>
  <c r="AC3" i="45"/>
  <c r="O3" i="45"/>
  <c r="D3" i="45"/>
  <c r="AS2" i="45"/>
  <c r="AP2" i="45"/>
  <c r="AF2" i="45"/>
  <c r="AC2" i="45"/>
  <c r="R2" i="45"/>
  <c r="O2" i="45"/>
  <c r="G2" i="45"/>
  <c r="D2" i="45"/>
  <c r="D16" i="40"/>
  <c r="O16" i="40"/>
  <c r="AP16" i="40"/>
  <c r="AO19" i="40"/>
  <c r="AN19" i="40"/>
  <c r="AO18" i="40"/>
  <c r="AN18" i="40"/>
  <c r="AP15" i="40"/>
  <c r="AP14" i="40"/>
  <c r="AP13" i="40"/>
  <c r="AP12" i="40"/>
  <c r="AP11" i="40"/>
  <c r="AP10" i="40"/>
  <c r="AP9" i="40"/>
  <c r="AP8" i="40"/>
  <c r="AP7" i="40"/>
  <c r="AP6" i="40"/>
  <c r="AP5" i="40"/>
  <c r="AP4" i="40"/>
  <c r="AP3" i="40"/>
  <c r="AS2" i="40"/>
  <c r="AP2" i="40"/>
  <c r="AB19" i="40"/>
  <c r="AA19" i="40"/>
  <c r="AB18" i="40"/>
  <c r="AA18" i="40"/>
  <c r="AC15" i="40"/>
  <c r="AC14" i="40"/>
  <c r="AC13" i="40"/>
  <c r="AC12" i="40"/>
  <c r="AC11" i="40"/>
  <c r="AC10" i="40"/>
  <c r="AC9" i="40"/>
  <c r="AC8" i="40"/>
  <c r="AC7" i="40"/>
  <c r="AC6" i="40"/>
  <c r="AC5" i="40"/>
  <c r="AC4" i="40"/>
  <c r="AC3" i="40"/>
  <c r="AF2" i="40"/>
  <c r="AC2" i="40"/>
  <c r="M19" i="40"/>
  <c r="N19" i="40"/>
  <c r="N18" i="40"/>
  <c r="M18" i="40"/>
  <c r="O15" i="40"/>
  <c r="O14" i="40"/>
  <c r="O13" i="40"/>
  <c r="O12" i="40"/>
  <c r="O11" i="40"/>
  <c r="O10" i="40"/>
  <c r="O9" i="40"/>
  <c r="O8" i="40"/>
  <c r="O7" i="40"/>
  <c r="O6" i="40"/>
  <c r="O5" i="40"/>
  <c r="O4" i="40"/>
  <c r="O3" i="40"/>
  <c r="R2" i="40"/>
  <c r="O2" i="40"/>
  <c r="G2" i="40"/>
  <c r="D3" i="40"/>
  <c r="D4" i="40"/>
  <c r="D5" i="40"/>
  <c r="D6" i="40"/>
  <c r="D7" i="40"/>
  <c r="D8" i="40"/>
  <c r="D9" i="40"/>
  <c r="D10" i="40"/>
  <c r="D11" i="40"/>
  <c r="D12" i="40"/>
  <c r="D13" i="40"/>
  <c r="D14" i="40"/>
  <c r="D15" i="40"/>
  <c r="D2" i="40"/>
  <c r="C135" i="38"/>
  <c r="B135" i="38"/>
  <c r="C134" i="38"/>
  <c r="B134" i="38"/>
  <c r="D132" i="38"/>
  <c r="E132" i="38" s="1"/>
  <c r="F132" i="38" s="1"/>
  <c r="D131" i="38"/>
  <c r="E131" i="38" s="1"/>
  <c r="F131" i="38" s="1"/>
  <c r="D130" i="38"/>
  <c r="E130" i="38" s="1"/>
  <c r="F130" i="38" s="1"/>
  <c r="D129" i="38"/>
  <c r="E129" i="38" s="1"/>
  <c r="F129" i="38" s="1"/>
  <c r="D128" i="38"/>
  <c r="E128" i="38" s="1"/>
  <c r="F128" i="38" s="1"/>
  <c r="D127" i="38"/>
  <c r="E127" i="38" s="1"/>
  <c r="F127" i="38" s="1"/>
  <c r="D126" i="38"/>
  <c r="E126" i="38" s="1"/>
  <c r="F126" i="38" s="1"/>
  <c r="D125" i="38"/>
  <c r="E125" i="38" s="1"/>
  <c r="F125" i="38" s="1"/>
  <c r="D124" i="38"/>
  <c r="E124" i="38" s="1"/>
  <c r="F124" i="38" s="1"/>
  <c r="D123" i="38"/>
  <c r="E123" i="38" s="1"/>
  <c r="F123" i="38" s="1"/>
  <c r="D122" i="38"/>
  <c r="E122" i="38" s="1"/>
  <c r="F122" i="38" s="1"/>
  <c r="D121" i="38"/>
  <c r="E121" i="38" s="1"/>
  <c r="F121" i="38" s="1"/>
  <c r="D120" i="38"/>
  <c r="E120" i="38" s="1"/>
  <c r="F120" i="38" s="1"/>
  <c r="D119" i="38"/>
  <c r="E119" i="38" s="1"/>
  <c r="F119" i="38" s="1"/>
  <c r="D118" i="38"/>
  <c r="E118" i="38" s="1"/>
  <c r="F118" i="38" s="1"/>
  <c r="D117" i="38"/>
  <c r="E117" i="38" s="1"/>
  <c r="F117" i="38" s="1"/>
  <c r="D116" i="38"/>
  <c r="E116" i="38" s="1"/>
  <c r="F116" i="38" s="1"/>
  <c r="D115" i="38"/>
  <c r="E115" i="38" s="1"/>
  <c r="F115" i="38" s="1"/>
  <c r="D114" i="38"/>
  <c r="E114" i="38" s="1"/>
  <c r="F114" i="38" s="1"/>
  <c r="D113" i="38"/>
  <c r="E113" i="38" s="1"/>
  <c r="F113" i="38" s="1"/>
  <c r="D112" i="38"/>
  <c r="E112" i="38" s="1"/>
  <c r="F112" i="38" s="1"/>
  <c r="D111" i="38"/>
  <c r="E111" i="38" s="1"/>
  <c r="F111" i="38" s="1"/>
  <c r="D110" i="38"/>
  <c r="E110" i="38" s="1"/>
  <c r="F110" i="38" s="1"/>
  <c r="D109" i="38"/>
  <c r="E109" i="38" s="1"/>
  <c r="F109" i="38" s="1"/>
  <c r="D108" i="38"/>
  <c r="E108" i="38" s="1"/>
  <c r="F108" i="38" s="1"/>
  <c r="D107" i="38"/>
  <c r="E107" i="38" s="1"/>
  <c r="F107" i="38" s="1"/>
  <c r="D106" i="38"/>
  <c r="E106" i="38" s="1"/>
  <c r="F106" i="38" s="1"/>
  <c r="D105" i="38"/>
  <c r="E105" i="38" s="1"/>
  <c r="F105" i="38" s="1"/>
  <c r="D104" i="38"/>
  <c r="E104" i="38" s="1"/>
  <c r="F104" i="38" s="1"/>
  <c r="D103" i="38"/>
  <c r="E103" i="38" s="1"/>
  <c r="F103" i="38" s="1"/>
  <c r="D102" i="38"/>
  <c r="E102" i="38" s="1"/>
  <c r="F102" i="38" s="1"/>
  <c r="D101" i="38"/>
  <c r="E101" i="38" s="1"/>
  <c r="F101" i="38" s="1"/>
  <c r="D100" i="38"/>
  <c r="E100" i="38" s="1"/>
  <c r="F100" i="38" s="1"/>
  <c r="D99" i="38"/>
  <c r="E99" i="38" s="1"/>
  <c r="F99" i="38" s="1"/>
  <c r="D98" i="38"/>
  <c r="E98" i="38" s="1"/>
  <c r="F98" i="38" s="1"/>
  <c r="D97" i="38"/>
  <c r="E97" i="38" s="1"/>
  <c r="F97" i="38" s="1"/>
  <c r="D96" i="38"/>
  <c r="E96" i="38" s="1"/>
  <c r="F96" i="38" s="1"/>
  <c r="D95" i="38"/>
  <c r="E95" i="38" s="1"/>
  <c r="F95" i="38" s="1"/>
  <c r="D94" i="38"/>
  <c r="E94" i="38" s="1"/>
  <c r="F94" i="38" s="1"/>
  <c r="D93" i="38"/>
  <c r="E93" i="38" s="1"/>
  <c r="F93" i="38" s="1"/>
  <c r="D92" i="38"/>
  <c r="E92" i="38" s="1"/>
  <c r="F92" i="38" s="1"/>
  <c r="D91" i="38"/>
  <c r="E91" i="38" s="1"/>
  <c r="F91" i="38" s="1"/>
  <c r="D90" i="38"/>
  <c r="E90" i="38" s="1"/>
  <c r="F90" i="38" s="1"/>
  <c r="D89" i="38"/>
  <c r="E89" i="38" s="1"/>
  <c r="F89" i="38" s="1"/>
  <c r="D88" i="38"/>
  <c r="E88" i="38" s="1"/>
  <c r="F88" i="38" s="1"/>
  <c r="D87" i="38"/>
  <c r="E87" i="38" s="1"/>
  <c r="F87" i="38" s="1"/>
  <c r="D86" i="38"/>
  <c r="E86" i="38" s="1"/>
  <c r="F86" i="38" s="1"/>
  <c r="D85" i="38"/>
  <c r="E85" i="38" s="1"/>
  <c r="F85" i="38" s="1"/>
  <c r="D84" i="38"/>
  <c r="E84" i="38" s="1"/>
  <c r="F84" i="38" s="1"/>
  <c r="D83" i="38"/>
  <c r="E83" i="38" s="1"/>
  <c r="F83" i="38" s="1"/>
  <c r="D82" i="38"/>
  <c r="E82" i="38" s="1"/>
  <c r="F82" i="38" s="1"/>
  <c r="D81" i="38"/>
  <c r="E81" i="38" s="1"/>
  <c r="F81" i="38" s="1"/>
  <c r="D80" i="38"/>
  <c r="E80" i="38" s="1"/>
  <c r="F80" i="38" s="1"/>
  <c r="D79" i="38"/>
  <c r="E79" i="38" s="1"/>
  <c r="F79" i="38" s="1"/>
  <c r="D78" i="38"/>
  <c r="E78" i="38" s="1"/>
  <c r="F78" i="38" s="1"/>
  <c r="D77" i="38"/>
  <c r="E77" i="38" s="1"/>
  <c r="F77" i="38" s="1"/>
  <c r="D76" i="38"/>
  <c r="E76" i="38" s="1"/>
  <c r="F76" i="38" s="1"/>
  <c r="D75" i="38"/>
  <c r="E75" i="38" s="1"/>
  <c r="F75" i="38" s="1"/>
  <c r="D74" i="38"/>
  <c r="E74" i="38" s="1"/>
  <c r="F74" i="38" s="1"/>
  <c r="D73" i="38"/>
  <c r="E73" i="38" s="1"/>
  <c r="F73" i="38" s="1"/>
  <c r="D72" i="38"/>
  <c r="E72" i="38" s="1"/>
  <c r="F72" i="38" s="1"/>
  <c r="D71" i="38"/>
  <c r="E71" i="38" s="1"/>
  <c r="F71" i="38" s="1"/>
  <c r="D70" i="38"/>
  <c r="E70" i="38" s="1"/>
  <c r="F70" i="38" s="1"/>
  <c r="D69" i="38"/>
  <c r="E69" i="38" s="1"/>
  <c r="F69" i="38" s="1"/>
  <c r="D68" i="38"/>
  <c r="E68" i="38" s="1"/>
  <c r="F68" i="38" s="1"/>
  <c r="D67" i="38"/>
  <c r="E67" i="38" s="1"/>
  <c r="F67" i="38" s="1"/>
  <c r="D66" i="38"/>
  <c r="E66" i="38" s="1"/>
  <c r="F66" i="38" s="1"/>
  <c r="D65" i="38"/>
  <c r="E65" i="38" s="1"/>
  <c r="F65" i="38" s="1"/>
  <c r="D64" i="38"/>
  <c r="E64" i="38" s="1"/>
  <c r="F64" i="38" s="1"/>
  <c r="D63" i="38"/>
  <c r="E63" i="38" s="1"/>
  <c r="F63" i="38" s="1"/>
  <c r="D62" i="38"/>
  <c r="E62" i="38" s="1"/>
  <c r="F62" i="38" s="1"/>
  <c r="D61" i="38"/>
  <c r="E61" i="38" s="1"/>
  <c r="F61" i="38" s="1"/>
  <c r="D60" i="38"/>
  <c r="E60" i="38" s="1"/>
  <c r="F60" i="38" s="1"/>
  <c r="D59" i="38"/>
  <c r="E59" i="38" s="1"/>
  <c r="F59" i="38" s="1"/>
  <c r="D58" i="38"/>
  <c r="E58" i="38" s="1"/>
  <c r="F58" i="38" s="1"/>
  <c r="D57" i="38"/>
  <c r="E57" i="38" s="1"/>
  <c r="F57" i="38" s="1"/>
  <c r="D56" i="38"/>
  <c r="E56" i="38" s="1"/>
  <c r="F56" i="38" s="1"/>
  <c r="D55" i="38"/>
  <c r="E55" i="38" s="1"/>
  <c r="F55" i="38" s="1"/>
  <c r="D54" i="38"/>
  <c r="E54" i="38" s="1"/>
  <c r="F54" i="38" s="1"/>
  <c r="D53" i="38"/>
  <c r="E53" i="38" s="1"/>
  <c r="F53" i="38" s="1"/>
  <c r="D52" i="38"/>
  <c r="E52" i="38" s="1"/>
  <c r="F52" i="38" s="1"/>
  <c r="D51" i="38"/>
  <c r="E51" i="38" s="1"/>
  <c r="F51" i="38" s="1"/>
  <c r="D50" i="38"/>
  <c r="E50" i="38" s="1"/>
  <c r="F50" i="38" s="1"/>
  <c r="D49" i="38"/>
  <c r="E49" i="38" s="1"/>
  <c r="F49" i="38" s="1"/>
  <c r="D48" i="38"/>
  <c r="E48" i="38" s="1"/>
  <c r="F48" i="38" s="1"/>
  <c r="D47" i="38"/>
  <c r="E47" i="38" s="1"/>
  <c r="F47" i="38" s="1"/>
  <c r="D46" i="38"/>
  <c r="E46" i="38" s="1"/>
  <c r="F46" i="38" s="1"/>
  <c r="D45" i="38"/>
  <c r="E45" i="38" s="1"/>
  <c r="F45" i="38" s="1"/>
  <c r="D44" i="38"/>
  <c r="E44" i="38" s="1"/>
  <c r="F44" i="38" s="1"/>
  <c r="D43" i="38"/>
  <c r="E43" i="38" s="1"/>
  <c r="F43" i="38" s="1"/>
  <c r="D42" i="38"/>
  <c r="E42" i="38" s="1"/>
  <c r="F42" i="38" s="1"/>
  <c r="D41" i="38"/>
  <c r="E41" i="38" s="1"/>
  <c r="F41" i="38" s="1"/>
  <c r="D40" i="38"/>
  <c r="E40" i="38" s="1"/>
  <c r="F40" i="38" s="1"/>
  <c r="D39" i="38"/>
  <c r="E39" i="38" s="1"/>
  <c r="F39" i="38" s="1"/>
  <c r="D38" i="38"/>
  <c r="E38" i="38" s="1"/>
  <c r="F38" i="38" s="1"/>
  <c r="D37" i="38"/>
  <c r="E37" i="38" s="1"/>
  <c r="F37" i="38" s="1"/>
  <c r="D36" i="38"/>
  <c r="E36" i="38" s="1"/>
  <c r="F36" i="38" s="1"/>
  <c r="D35" i="38"/>
  <c r="E35" i="38" s="1"/>
  <c r="F35" i="38" s="1"/>
  <c r="D34" i="38"/>
  <c r="E34" i="38" s="1"/>
  <c r="F34" i="38" s="1"/>
  <c r="D33" i="38"/>
  <c r="E33" i="38" s="1"/>
  <c r="F33" i="38" s="1"/>
  <c r="D32" i="38"/>
  <c r="E32" i="38" s="1"/>
  <c r="F32" i="38" s="1"/>
  <c r="D31" i="38"/>
  <c r="E31" i="38" s="1"/>
  <c r="F31" i="38" s="1"/>
  <c r="D30" i="38"/>
  <c r="E30" i="38" s="1"/>
  <c r="F30" i="38" s="1"/>
  <c r="D29" i="38"/>
  <c r="E29" i="38" s="1"/>
  <c r="F29" i="38" s="1"/>
  <c r="D28" i="38"/>
  <c r="E28" i="38" s="1"/>
  <c r="F28" i="38" s="1"/>
  <c r="D27" i="38"/>
  <c r="E27" i="38" s="1"/>
  <c r="F27" i="38" s="1"/>
  <c r="D26" i="38"/>
  <c r="E26" i="38" s="1"/>
  <c r="F26" i="38" s="1"/>
  <c r="D25" i="38"/>
  <c r="E25" i="38" s="1"/>
  <c r="F25" i="38" s="1"/>
  <c r="D24" i="38"/>
  <c r="E24" i="38" s="1"/>
  <c r="F24" i="38" s="1"/>
  <c r="D23" i="38"/>
  <c r="E23" i="38" s="1"/>
  <c r="F23" i="38" s="1"/>
  <c r="D22" i="38"/>
  <c r="E22" i="38" s="1"/>
  <c r="F22" i="38" s="1"/>
  <c r="D21" i="38"/>
  <c r="E21" i="38" s="1"/>
  <c r="F21" i="38" s="1"/>
  <c r="D20" i="38"/>
  <c r="E20" i="38" s="1"/>
  <c r="F20" i="38" s="1"/>
  <c r="D19" i="38"/>
  <c r="E19" i="38" s="1"/>
  <c r="F19" i="38" s="1"/>
  <c r="D18" i="38"/>
  <c r="E18" i="38" s="1"/>
  <c r="F18" i="38" s="1"/>
  <c r="D17" i="38"/>
  <c r="E17" i="38" s="1"/>
  <c r="F17" i="38" s="1"/>
  <c r="D16" i="38"/>
  <c r="E16" i="38" s="1"/>
  <c r="F16" i="38" s="1"/>
  <c r="D15" i="38"/>
  <c r="E15" i="38" s="1"/>
  <c r="F15" i="38" s="1"/>
  <c r="D14" i="38"/>
  <c r="E14" i="38" s="1"/>
  <c r="F14" i="38" s="1"/>
  <c r="D13" i="38"/>
  <c r="E13" i="38" s="1"/>
  <c r="F13" i="38" s="1"/>
  <c r="D12" i="38"/>
  <c r="E12" i="38" s="1"/>
  <c r="F12" i="38" s="1"/>
  <c r="D11" i="38"/>
  <c r="E11" i="38" s="1"/>
  <c r="F11" i="38" s="1"/>
  <c r="D10" i="38"/>
  <c r="E10" i="38" s="1"/>
  <c r="F10" i="38" s="1"/>
  <c r="D9" i="38"/>
  <c r="E9" i="38" s="1"/>
  <c r="F9" i="38" s="1"/>
  <c r="D8" i="38"/>
  <c r="E8" i="38" s="1"/>
  <c r="F8" i="38" s="1"/>
  <c r="D7" i="38"/>
  <c r="E7" i="38" s="1"/>
  <c r="F7" i="38" s="1"/>
  <c r="D6" i="38"/>
  <c r="E6" i="38" s="1"/>
  <c r="F6" i="38" s="1"/>
  <c r="D5" i="38"/>
  <c r="E5" i="38" s="1"/>
  <c r="F5" i="38" s="1"/>
  <c r="D4" i="38"/>
  <c r="E4" i="38" s="1"/>
  <c r="F4" i="38" s="1"/>
  <c r="D3" i="38"/>
  <c r="E3" i="38" s="1"/>
  <c r="F3" i="38" s="1"/>
  <c r="G2" i="38"/>
  <c r="H2" i="38" s="1"/>
  <c r="D2" i="38"/>
  <c r="D13" i="37"/>
  <c r="E13" i="37" s="1"/>
  <c r="F13" i="37" s="1"/>
  <c r="C137" i="37"/>
  <c r="B137" i="37"/>
  <c r="C136" i="37"/>
  <c r="B136" i="37"/>
  <c r="D134" i="37"/>
  <c r="E134" i="37" s="1"/>
  <c r="F134" i="37" s="1"/>
  <c r="D133" i="37"/>
  <c r="E133" i="37" s="1"/>
  <c r="F133" i="37" s="1"/>
  <c r="D132" i="37"/>
  <c r="E132" i="37" s="1"/>
  <c r="F132" i="37" s="1"/>
  <c r="D131" i="37"/>
  <c r="E131" i="37" s="1"/>
  <c r="F131" i="37" s="1"/>
  <c r="D130" i="37"/>
  <c r="E130" i="37" s="1"/>
  <c r="F130" i="37" s="1"/>
  <c r="D129" i="37"/>
  <c r="E129" i="37" s="1"/>
  <c r="F129" i="37" s="1"/>
  <c r="D128" i="37"/>
  <c r="E128" i="37" s="1"/>
  <c r="F128" i="37" s="1"/>
  <c r="D127" i="37"/>
  <c r="E127" i="37" s="1"/>
  <c r="F127" i="37" s="1"/>
  <c r="D126" i="37"/>
  <c r="E126" i="37" s="1"/>
  <c r="F126" i="37" s="1"/>
  <c r="D125" i="37"/>
  <c r="E125" i="37" s="1"/>
  <c r="F125" i="37" s="1"/>
  <c r="D124" i="37"/>
  <c r="E124" i="37" s="1"/>
  <c r="F124" i="37" s="1"/>
  <c r="D123" i="37"/>
  <c r="E123" i="37" s="1"/>
  <c r="F123" i="37" s="1"/>
  <c r="D122" i="37"/>
  <c r="E122" i="37" s="1"/>
  <c r="F122" i="37" s="1"/>
  <c r="D121" i="37"/>
  <c r="E121" i="37" s="1"/>
  <c r="F121" i="37" s="1"/>
  <c r="D120" i="37"/>
  <c r="E120" i="37" s="1"/>
  <c r="F120" i="37" s="1"/>
  <c r="D119" i="37"/>
  <c r="E119" i="37" s="1"/>
  <c r="F119" i="37" s="1"/>
  <c r="D118" i="37"/>
  <c r="E118" i="37" s="1"/>
  <c r="F118" i="37" s="1"/>
  <c r="D117" i="37"/>
  <c r="E117" i="37" s="1"/>
  <c r="F117" i="37" s="1"/>
  <c r="D116" i="37"/>
  <c r="E116" i="37" s="1"/>
  <c r="F116" i="37" s="1"/>
  <c r="D115" i="37"/>
  <c r="E115" i="37" s="1"/>
  <c r="F115" i="37" s="1"/>
  <c r="D114" i="37"/>
  <c r="E114" i="37" s="1"/>
  <c r="F114" i="37" s="1"/>
  <c r="D113" i="37"/>
  <c r="E113" i="37" s="1"/>
  <c r="F113" i="37" s="1"/>
  <c r="D112" i="37"/>
  <c r="E112" i="37" s="1"/>
  <c r="F112" i="37" s="1"/>
  <c r="D111" i="37"/>
  <c r="E111" i="37" s="1"/>
  <c r="F111" i="37" s="1"/>
  <c r="D110" i="37"/>
  <c r="E110" i="37" s="1"/>
  <c r="F110" i="37" s="1"/>
  <c r="D109" i="37"/>
  <c r="E109" i="37" s="1"/>
  <c r="F109" i="37" s="1"/>
  <c r="D108" i="37"/>
  <c r="E108" i="37" s="1"/>
  <c r="F108" i="37" s="1"/>
  <c r="D107" i="37"/>
  <c r="E107" i="37" s="1"/>
  <c r="F107" i="37" s="1"/>
  <c r="D106" i="37"/>
  <c r="E106" i="37" s="1"/>
  <c r="F106" i="37" s="1"/>
  <c r="D105" i="37"/>
  <c r="E105" i="37" s="1"/>
  <c r="F105" i="37" s="1"/>
  <c r="D104" i="37"/>
  <c r="E104" i="37" s="1"/>
  <c r="F104" i="37" s="1"/>
  <c r="D103" i="37"/>
  <c r="E103" i="37" s="1"/>
  <c r="F103" i="37" s="1"/>
  <c r="D102" i="37"/>
  <c r="E102" i="37" s="1"/>
  <c r="F102" i="37" s="1"/>
  <c r="D101" i="37"/>
  <c r="E101" i="37" s="1"/>
  <c r="F101" i="37" s="1"/>
  <c r="D100" i="37"/>
  <c r="E100" i="37" s="1"/>
  <c r="F100" i="37" s="1"/>
  <c r="D99" i="37"/>
  <c r="E99" i="37" s="1"/>
  <c r="F99" i="37" s="1"/>
  <c r="D98" i="37"/>
  <c r="E98" i="37" s="1"/>
  <c r="F98" i="37" s="1"/>
  <c r="D97" i="37"/>
  <c r="E97" i="37" s="1"/>
  <c r="F97" i="37" s="1"/>
  <c r="D96" i="37"/>
  <c r="E96" i="37" s="1"/>
  <c r="F96" i="37" s="1"/>
  <c r="D95" i="37"/>
  <c r="E95" i="37" s="1"/>
  <c r="F95" i="37" s="1"/>
  <c r="D94" i="37"/>
  <c r="E94" i="37" s="1"/>
  <c r="F94" i="37" s="1"/>
  <c r="D93" i="37"/>
  <c r="E93" i="37" s="1"/>
  <c r="F93" i="37" s="1"/>
  <c r="D92" i="37"/>
  <c r="E92" i="37" s="1"/>
  <c r="F92" i="37" s="1"/>
  <c r="D91" i="37"/>
  <c r="E91" i="37" s="1"/>
  <c r="F91" i="37" s="1"/>
  <c r="D90" i="37"/>
  <c r="E90" i="37" s="1"/>
  <c r="F90" i="37" s="1"/>
  <c r="D89" i="37"/>
  <c r="E89" i="37" s="1"/>
  <c r="F89" i="37" s="1"/>
  <c r="D88" i="37"/>
  <c r="E88" i="37" s="1"/>
  <c r="F88" i="37" s="1"/>
  <c r="D87" i="37"/>
  <c r="E87" i="37" s="1"/>
  <c r="F87" i="37" s="1"/>
  <c r="D86" i="37"/>
  <c r="E86" i="37" s="1"/>
  <c r="F86" i="37" s="1"/>
  <c r="D85" i="37"/>
  <c r="E85" i="37" s="1"/>
  <c r="F85" i="37" s="1"/>
  <c r="D84" i="37"/>
  <c r="E84" i="37" s="1"/>
  <c r="F84" i="37" s="1"/>
  <c r="D83" i="37"/>
  <c r="E83" i="37" s="1"/>
  <c r="F83" i="37" s="1"/>
  <c r="D82" i="37"/>
  <c r="E82" i="37" s="1"/>
  <c r="F82" i="37" s="1"/>
  <c r="D81" i="37"/>
  <c r="E81" i="37" s="1"/>
  <c r="F81" i="37" s="1"/>
  <c r="D80" i="37"/>
  <c r="E80" i="37" s="1"/>
  <c r="F80" i="37" s="1"/>
  <c r="D79" i="37"/>
  <c r="E79" i="37" s="1"/>
  <c r="F79" i="37" s="1"/>
  <c r="D78" i="37"/>
  <c r="E78" i="37" s="1"/>
  <c r="F78" i="37" s="1"/>
  <c r="D77" i="37"/>
  <c r="E77" i="37" s="1"/>
  <c r="F77" i="37" s="1"/>
  <c r="D76" i="37"/>
  <c r="E76" i="37" s="1"/>
  <c r="F76" i="37" s="1"/>
  <c r="D75" i="37"/>
  <c r="E75" i="37" s="1"/>
  <c r="F75" i="37" s="1"/>
  <c r="D74" i="37"/>
  <c r="E74" i="37" s="1"/>
  <c r="F74" i="37" s="1"/>
  <c r="D73" i="37"/>
  <c r="E73" i="37" s="1"/>
  <c r="F73" i="37" s="1"/>
  <c r="D72" i="37"/>
  <c r="E72" i="37" s="1"/>
  <c r="F72" i="37" s="1"/>
  <c r="D71" i="37"/>
  <c r="E71" i="37" s="1"/>
  <c r="F71" i="37" s="1"/>
  <c r="D70" i="37"/>
  <c r="E70" i="37" s="1"/>
  <c r="F70" i="37" s="1"/>
  <c r="D69" i="37"/>
  <c r="E69" i="37" s="1"/>
  <c r="F69" i="37" s="1"/>
  <c r="D68" i="37"/>
  <c r="E68" i="37" s="1"/>
  <c r="F68" i="37" s="1"/>
  <c r="D67" i="37"/>
  <c r="E67" i="37" s="1"/>
  <c r="F67" i="37" s="1"/>
  <c r="D66" i="37"/>
  <c r="E66" i="37" s="1"/>
  <c r="F66" i="37" s="1"/>
  <c r="D65" i="37"/>
  <c r="E65" i="37" s="1"/>
  <c r="F65" i="37" s="1"/>
  <c r="D64" i="37"/>
  <c r="E64" i="37" s="1"/>
  <c r="F64" i="37" s="1"/>
  <c r="D63" i="37"/>
  <c r="E63" i="37" s="1"/>
  <c r="F63" i="37" s="1"/>
  <c r="D62" i="37"/>
  <c r="E62" i="37" s="1"/>
  <c r="F62" i="37" s="1"/>
  <c r="D61" i="37"/>
  <c r="E61" i="37" s="1"/>
  <c r="F61" i="37" s="1"/>
  <c r="D60" i="37"/>
  <c r="E60" i="37" s="1"/>
  <c r="F60" i="37" s="1"/>
  <c r="D59" i="37"/>
  <c r="E59" i="37" s="1"/>
  <c r="F59" i="37" s="1"/>
  <c r="D58" i="37"/>
  <c r="E58" i="37" s="1"/>
  <c r="F58" i="37" s="1"/>
  <c r="D57" i="37"/>
  <c r="E57" i="37" s="1"/>
  <c r="F57" i="37" s="1"/>
  <c r="D56" i="37"/>
  <c r="E56" i="37" s="1"/>
  <c r="F56" i="37" s="1"/>
  <c r="D55" i="37"/>
  <c r="E55" i="37" s="1"/>
  <c r="F55" i="37" s="1"/>
  <c r="D54" i="37"/>
  <c r="E54" i="37" s="1"/>
  <c r="F54" i="37" s="1"/>
  <c r="D53" i="37"/>
  <c r="E53" i="37" s="1"/>
  <c r="F53" i="37" s="1"/>
  <c r="D52" i="37"/>
  <c r="E52" i="37" s="1"/>
  <c r="F52" i="37" s="1"/>
  <c r="D51" i="37"/>
  <c r="E51" i="37" s="1"/>
  <c r="F51" i="37" s="1"/>
  <c r="D50" i="37"/>
  <c r="E50" i="37" s="1"/>
  <c r="F50" i="37" s="1"/>
  <c r="D49" i="37"/>
  <c r="E49" i="37" s="1"/>
  <c r="F49" i="37" s="1"/>
  <c r="D48" i="37"/>
  <c r="E48" i="37" s="1"/>
  <c r="F48" i="37" s="1"/>
  <c r="D47" i="37"/>
  <c r="E47" i="37" s="1"/>
  <c r="F47" i="37" s="1"/>
  <c r="D46" i="37"/>
  <c r="E46" i="37" s="1"/>
  <c r="F46" i="37" s="1"/>
  <c r="D45" i="37"/>
  <c r="E45" i="37" s="1"/>
  <c r="F45" i="37" s="1"/>
  <c r="D44" i="37"/>
  <c r="E44" i="37" s="1"/>
  <c r="F44" i="37" s="1"/>
  <c r="D43" i="37"/>
  <c r="E43" i="37" s="1"/>
  <c r="F43" i="37" s="1"/>
  <c r="D42" i="37"/>
  <c r="E42" i="37" s="1"/>
  <c r="F42" i="37" s="1"/>
  <c r="D41" i="37"/>
  <c r="E41" i="37" s="1"/>
  <c r="F41" i="37" s="1"/>
  <c r="D40" i="37"/>
  <c r="E40" i="37" s="1"/>
  <c r="F40" i="37" s="1"/>
  <c r="D39" i="37"/>
  <c r="E39" i="37" s="1"/>
  <c r="F39" i="37" s="1"/>
  <c r="D38" i="37"/>
  <c r="E38" i="37" s="1"/>
  <c r="F38" i="37" s="1"/>
  <c r="D37" i="37"/>
  <c r="E37" i="37" s="1"/>
  <c r="F37" i="37" s="1"/>
  <c r="D36" i="37"/>
  <c r="E36" i="37" s="1"/>
  <c r="F36" i="37" s="1"/>
  <c r="D35" i="37"/>
  <c r="E35" i="37" s="1"/>
  <c r="F35" i="37" s="1"/>
  <c r="D34" i="37"/>
  <c r="E34" i="37" s="1"/>
  <c r="F34" i="37" s="1"/>
  <c r="D33" i="37"/>
  <c r="E33" i="37" s="1"/>
  <c r="F33" i="37" s="1"/>
  <c r="D32" i="37"/>
  <c r="E32" i="37" s="1"/>
  <c r="F32" i="37" s="1"/>
  <c r="D31" i="37"/>
  <c r="E31" i="37" s="1"/>
  <c r="F31" i="37" s="1"/>
  <c r="D30" i="37"/>
  <c r="E30" i="37" s="1"/>
  <c r="F30" i="37" s="1"/>
  <c r="D29" i="37"/>
  <c r="E29" i="37" s="1"/>
  <c r="F29" i="37" s="1"/>
  <c r="D28" i="37"/>
  <c r="E28" i="37" s="1"/>
  <c r="F28" i="37" s="1"/>
  <c r="D27" i="37"/>
  <c r="E27" i="37" s="1"/>
  <c r="F27" i="37" s="1"/>
  <c r="D26" i="37"/>
  <c r="E26" i="37" s="1"/>
  <c r="F26" i="37" s="1"/>
  <c r="D25" i="37"/>
  <c r="E25" i="37" s="1"/>
  <c r="F25" i="37" s="1"/>
  <c r="D24" i="37"/>
  <c r="E24" i="37" s="1"/>
  <c r="F24" i="37" s="1"/>
  <c r="D23" i="37"/>
  <c r="E23" i="37" s="1"/>
  <c r="F23" i="37" s="1"/>
  <c r="D22" i="37"/>
  <c r="E22" i="37" s="1"/>
  <c r="F22" i="37" s="1"/>
  <c r="D21" i="37"/>
  <c r="E21" i="37" s="1"/>
  <c r="F21" i="37" s="1"/>
  <c r="D20" i="37"/>
  <c r="E20" i="37" s="1"/>
  <c r="F20" i="37" s="1"/>
  <c r="D19" i="37"/>
  <c r="E19" i="37" s="1"/>
  <c r="F19" i="37" s="1"/>
  <c r="D18" i="37"/>
  <c r="E18" i="37" s="1"/>
  <c r="F18" i="37" s="1"/>
  <c r="D17" i="37"/>
  <c r="E17" i="37" s="1"/>
  <c r="F17" i="37" s="1"/>
  <c r="D16" i="37"/>
  <c r="E16" i="37" s="1"/>
  <c r="F16" i="37" s="1"/>
  <c r="D15" i="37"/>
  <c r="E15" i="37" s="1"/>
  <c r="F15" i="37" s="1"/>
  <c r="D14" i="37"/>
  <c r="E14" i="37" s="1"/>
  <c r="F14" i="37" s="1"/>
  <c r="D12" i="37"/>
  <c r="E12" i="37" s="1"/>
  <c r="F12" i="37" s="1"/>
  <c r="D11" i="37"/>
  <c r="E11" i="37" s="1"/>
  <c r="F11" i="37" s="1"/>
  <c r="D10" i="37"/>
  <c r="E10" i="37" s="1"/>
  <c r="F10" i="37" s="1"/>
  <c r="D9" i="37"/>
  <c r="E9" i="37" s="1"/>
  <c r="F9" i="37" s="1"/>
  <c r="D8" i="37"/>
  <c r="E8" i="37" s="1"/>
  <c r="F8" i="37" s="1"/>
  <c r="D7" i="37"/>
  <c r="E7" i="37" s="1"/>
  <c r="F7" i="37" s="1"/>
  <c r="D6" i="37"/>
  <c r="E6" i="37" s="1"/>
  <c r="F6" i="37" s="1"/>
  <c r="D5" i="37"/>
  <c r="E5" i="37" s="1"/>
  <c r="F5" i="37" s="1"/>
  <c r="D4" i="37"/>
  <c r="E4" i="37" s="1"/>
  <c r="F4" i="37" s="1"/>
  <c r="D3" i="37"/>
  <c r="E3" i="37" s="1"/>
  <c r="F3" i="37" s="1"/>
  <c r="G2" i="37"/>
  <c r="H2" i="37" s="1"/>
  <c r="D2" i="37"/>
  <c r="D100" i="36"/>
  <c r="E100" i="36" s="1"/>
  <c r="F100" i="36" s="1"/>
  <c r="D102" i="36"/>
  <c r="E102" i="36" s="1"/>
  <c r="F102" i="36" s="1"/>
  <c r="C140" i="36"/>
  <c r="B140" i="36"/>
  <c r="C139" i="36"/>
  <c r="B139" i="36"/>
  <c r="D136" i="36"/>
  <c r="E136" i="36" s="1"/>
  <c r="F136" i="36" s="1"/>
  <c r="D135" i="36"/>
  <c r="E135" i="36" s="1"/>
  <c r="F135" i="36" s="1"/>
  <c r="D134" i="36"/>
  <c r="E134" i="36" s="1"/>
  <c r="F134" i="36" s="1"/>
  <c r="D133" i="36"/>
  <c r="E133" i="36" s="1"/>
  <c r="F133" i="36" s="1"/>
  <c r="D132" i="36"/>
  <c r="E132" i="36" s="1"/>
  <c r="F132" i="36" s="1"/>
  <c r="D131" i="36"/>
  <c r="E131" i="36" s="1"/>
  <c r="F131" i="36" s="1"/>
  <c r="D130" i="36"/>
  <c r="E130" i="36" s="1"/>
  <c r="F130" i="36" s="1"/>
  <c r="D129" i="36"/>
  <c r="E129" i="36" s="1"/>
  <c r="F129" i="36" s="1"/>
  <c r="D128" i="36"/>
  <c r="E128" i="36" s="1"/>
  <c r="F128" i="36" s="1"/>
  <c r="D127" i="36"/>
  <c r="E127" i="36" s="1"/>
  <c r="F127" i="36" s="1"/>
  <c r="D126" i="36"/>
  <c r="E126" i="36" s="1"/>
  <c r="F126" i="36" s="1"/>
  <c r="D125" i="36"/>
  <c r="E125" i="36" s="1"/>
  <c r="F125" i="36" s="1"/>
  <c r="D124" i="36"/>
  <c r="E124" i="36" s="1"/>
  <c r="F124" i="36" s="1"/>
  <c r="D123" i="36"/>
  <c r="E123" i="36" s="1"/>
  <c r="F123" i="36" s="1"/>
  <c r="D122" i="36"/>
  <c r="E122" i="36" s="1"/>
  <c r="F122" i="36" s="1"/>
  <c r="D121" i="36"/>
  <c r="E121" i="36" s="1"/>
  <c r="F121" i="36" s="1"/>
  <c r="D120" i="36"/>
  <c r="E120" i="36" s="1"/>
  <c r="F120" i="36" s="1"/>
  <c r="D119" i="36"/>
  <c r="E119" i="36" s="1"/>
  <c r="F119" i="36" s="1"/>
  <c r="D118" i="36"/>
  <c r="E118" i="36" s="1"/>
  <c r="F118" i="36" s="1"/>
  <c r="D117" i="36"/>
  <c r="E117" i="36" s="1"/>
  <c r="F117" i="36" s="1"/>
  <c r="D116" i="36"/>
  <c r="E116" i="36" s="1"/>
  <c r="F116" i="36" s="1"/>
  <c r="D115" i="36"/>
  <c r="E115" i="36" s="1"/>
  <c r="F115" i="36" s="1"/>
  <c r="D114" i="36"/>
  <c r="E114" i="36" s="1"/>
  <c r="F114" i="36" s="1"/>
  <c r="D113" i="36"/>
  <c r="E113" i="36" s="1"/>
  <c r="F113" i="36" s="1"/>
  <c r="D112" i="36"/>
  <c r="E112" i="36" s="1"/>
  <c r="F112" i="36" s="1"/>
  <c r="D111" i="36"/>
  <c r="E111" i="36" s="1"/>
  <c r="F111" i="36" s="1"/>
  <c r="D110" i="36"/>
  <c r="E110" i="36" s="1"/>
  <c r="F110" i="36" s="1"/>
  <c r="D109" i="36"/>
  <c r="E109" i="36" s="1"/>
  <c r="F109" i="36" s="1"/>
  <c r="D108" i="36"/>
  <c r="E108" i="36" s="1"/>
  <c r="F108" i="36" s="1"/>
  <c r="D107" i="36"/>
  <c r="E107" i="36" s="1"/>
  <c r="F107" i="36" s="1"/>
  <c r="D106" i="36"/>
  <c r="E106" i="36" s="1"/>
  <c r="F106" i="36" s="1"/>
  <c r="D105" i="36"/>
  <c r="E105" i="36" s="1"/>
  <c r="F105" i="36" s="1"/>
  <c r="D104" i="36"/>
  <c r="E104" i="36" s="1"/>
  <c r="F104" i="36" s="1"/>
  <c r="D103" i="36"/>
  <c r="E103" i="36" s="1"/>
  <c r="F103" i="36" s="1"/>
  <c r="D101" i="36"/>
  <c r="E101" i="36" s="1"/>
  <c r="F101" i="36" s="1"/>
  <c r="D99" i="36"/>
  <c r="E99" i="36" s="1"/>
  <c r="F99" i="36" s="1"/>
  <c r="D98" i="36"/>
  <c r="E98" i="36" s="1"/>
  <c r="F98" i="36" s="1"/>
  <c r="D97" i="36"/>
  <c r="E97" i="36" s="1"/>
  <c r="F97" i="36" s="1"/>
  <c r="D96" i="36"/>
  <c r="E96" i="36" s="1"/>
  <c r="F96" i="36" s="1"/>
  <c r="D95" i="36"/>
  <c r="E95" i="36" s="1"/>
  <c r="F95" i="36" s="1"/>
  <c r="D94" i="36"/>
  <c r="E94" i="36" s="1"/>
  <c r="F94" i="36" s="1"/>
  <c r="D93" i="36"/>
  <c r="E93" i="36" s="1"/>
  <c r="F93" i="36" s="1"/>
  <c r="D92" i="36"/>
  <c r="E92" i="36" s="1"/>
  <c r="F92" i="36" s="1"/>
  <c r="D91" i="36"/>
  <c r="E91" i="36" s="1"/>
  <c r="F91" i="36" s="1"/>
  <c r="D90" i="36"/>
  <c r="E90" i="36" s="1"/>
  <c r="F90" i="36" s="1"/>
  <c r="D89" i="36"/>
  <c r="E89" i="36" s="1"/>
  <c r="F89" i="36" s="1"/>
  <c r="D88" i="36"/>
  <c r="E88" i="36" s="1"/>
  <c r="F88" i="36" s="1"/>
  <c r="D87" i="36"/>
  <c r="E87" i="36" s="1"/>
  <c r="F87" i="36" s="1"/>
  <c r="D86" i="36"/>
  <c r="E86" i="36" s="1"/>
  <c r="F86" i="36" s="1"/>
  <c r="D85" i="36"/>
  <c r="E85" i="36" s="1"/>
  <c r="F85" i="36" s="1"/>
  <c r="D84" i="36"/>
  <c r="E84" i="36" s="1"/>
  <c r="F84" i="36" s="1"/>
  <c r="D83" i="36"/>
  <c r="E83" i="36" s="1"/>
  <c r="F83" i="36" s="1"/>
  <c r="D82" i="36"/>
  <c r="E82" i="36" s="1"/>
  <c r="F82" i="36" s="1"/>
  <c r="D81" i="36"/>
  <c r="E81" i="36" s="1"/>
  <c r="F81" i="36" s="1"/>
  <c r="D80" i="36"/>
  <c r="E80" i="36" s="1"/>
  <c r="F80" i="36" s="1"/>
  <c r="D79" i="36"/>
  <c r="E79" i="36" s="1"/>
  <c r="F79" i="36" s="1"/>
  <c r="D78" i="36"/>
  <c r="E78" i="36" s="1"/>
  <c r="F78" i="36" s="1"/>
  <c r="D77" i="36"/>
  <c r="E77" i="36" s="1"/>
  <c r="F77" i="36" s="1"/>
  <c r="D76" i="36"/>
  <c r="E76" i="36" s="1"/>
  <c r="F76" i="36" s="1"/>
  <c r="D75" i="36"/>
  <c r="E75" i="36" s="1"/>
  <c r="F75" i="36" s="1"/>
  <c r="D74" i="36"/>
  <c r="E74" i="36" s="1"/>
  <c r="F74" i="36" s="1"/>
  <c r="D73" i="36"/>
  <c r="E73" i="36" s="1"/>
  <c r="F73" i="36" s="1"/>
  <c r="D72" i="36"/>
  <c r="E72" i="36" s="1"/>
  <c r="F72" i="36" s="1"/>
  <c r="D71" i="36"/>
  <c r="E71" i="36" s="1"/>
  <c r="F71" i="36" s="1"/>
  <c r="D70" i="36"/>
  <c r="E70" i="36" s="1"/>
  <c r="F70" i="36" s="1"/>
  <c r="D69" i="36"/>
  <c r="E69" i="36" s="1"/>
  <c r="F69" i="36" s="1"/>
  <c r="D68" i="36"/>
  <c r="E68" i="36" s="1"/>
  <c r="F68" i="36" s="1"/>
  <c r="D67" i="36"/>
  <c r="E67" i="36" s="1"/>
  <c r="F67" i="36" s="1"/>
  <c r="D66" i="36"/>
  <c r="E66" i="36" s="1"/>
  <c r="F66" i="36" s="1"/>
  <c r="D65" i="36"/>
  <c r="E65" i="36" s="1"/>
  <c r="F65" i="36" s="1"/>
  <c r="D64" i="36"/>
  <c r="E64" i="36" s="1"/>
  <c r="F64" i="36" s="1"/>
  <c r="D63" i="36"/>
  <c r="E63" i="36" s="1"/>
  <c r="F63" i="36" s="1"/>
  <c r="D62" i="36"/>
  <c r="E62" i="36" s="1"/>
  <c r="F62" i="36" s="1"/>
  <c r="D61" i="36"/>
  <c r="E61" i="36" s="1"/>
  <c r="F61" i="36" s="1"/>
  <c r="D60" i="36"/>
  <c r="E60" i="36" s="1"/>
  <c r="F60" i="36" s="1"/>
  <c r="D59" i="36"/>
  <c r="E59" i="36" s="1"/>
  <c r="F59" i="36" s="1"/>
  <c r="D58" i="36"/>
  <c r="E58" i="36" s="1"/>
  <c r="F58" i="36" s="1"/>
  <c r="D57" i="36"/>
  <c r="E57" i="36" s="1"/>
  <c r="F57" i="36" s="1"/>
  <c r="D56" i="36"/>
  <c r="E56" i="36" s="1"/>
  <c r="F56" i="36" s="1"/>
  <c r="D55" i="36"/>
  <c r="E55" i="36" s="1"/>
  <c r="F55" i="36" s="1"/>
  <c r="D54" i="36"/>
  <c r="E54" i="36" s="1"/>
  <c r="F54" i="36" s="1"/>
  <c r="D53" i="36"/>
  <c r="E53" i="36" s="1"/>
  <c r="F53" i="36" s="1"/>
  <c r="D52" i="36"/>
  <c r="E52" i="36" s="1"/>
  <c r="F52" i="36" s="1"/>
  <c r="D51" i="36"/>
  <c r="E51" i="36" s="1"/>
  <c r="F51" i="36" s="1"/>
  <c r="D50" i="36"/>
  <c r="E50" i="36" s="1"/>
  <c r="F50" i="36" s="1"/>
  <c r="D49" i="36"/>
  <c r="E49" i="36" s="1"/>
  <c r="F49" i="36" s="1"/>
  <c r="D48" i="36"/>
  <c r="E48" i="36" s="1"/>
  <c r="F48" i="36" s="1"/>
  <c r="D47" i="36"/>
  <c r="E47" i="36" s="1"/>
  <c r="F47" i="36" s="1"/>
  <c r="D46" i="36"/>
  <c r="E46" i="36" s="1"/>
  <c r="F46" i="36" s="1"/>
  <c r="D45" i="36"/>
  <c r="E45" i="36" s="1"/>
  <c r="F45" i="36" s="1"/>
  <c r="D44" i="36"/>
  <c r="E44" i="36" s="1"/>
  <c r="F44" i="36" s="1"/>
  <c r="D43" i="36"/>
  <c r="E43" i="36" s="1"/>
  <c r="F43" i="36" s="1"/>
  <c r="D42" i="36"/>
  <c r="E42" i="36" s="1"/>
  <c r="F42" i="36" s="1"/>
  <c r="D41" i="36"/>
  <c r="E41" i="36" s="1"/>
  <c r="F41" i="36" s="1"/>
  <c r="D40" i="36"/>
  <c r="E40" i="36" s="1"/>
  <c r="F40" i="36" s="1"/>
  <c r="D39" i="36"/>
  <c r="E39" i="36" s="1"/>
  <c r="F39" i="36" s="1"/>
  <c r="D38" i="36"/>
  <c r="E38" i="36" s="1"/>
  <c r="F38" i="36" s="1"/>
  <c r="D37" i="36"/>
  <c r="E37" i="36" s="1"/>
  <c r="F37" i="36" s="1"/>
  <c r="D36" i="36"/>
  <c r="E36" i="36" s="1"/>
  <c r="F36" i="36" s="1"/>
  <c r="D35" i="36"/>
  <c r="E35" i="36" s="1"/>
  <c r="F35" i="36" s="1"/>
  <c r="D34" i="36"/>
  <c r="E34" i="36" s="1"/>
  <c r="F34" i="36" s="1"/>
  <c r="D33" i="36"/>
  <c r="E33" i="36" s="1"/>
  <c r="F33" i="36" s="1"/>
  <c r="D32" i="36"/>
  <c r="E32" i="36" s="1"/>
  <c r="F32" i="36" s="1"/>
  <c r="D31" i="36"/>
  <c r="E31" i="36" s="1"/>
  <c r="F31" i="36" s="1"/>
  <c r="D30" i="36"/>
  <c r="E30" i="36" s="1"/>
  <c r="F30" i="36" s="1"/>
  <c r="D29" i="36"/>
  <c r="E29" i="36" s="1"/>
  <c r="F29" i="36" s="1"/>
  <c r="D28" i="36"/>
  <c r="E28" i="36" s="1"/>
  <c r="F28" i="36" s="1"/>
  <c r="D27" i="36"/>
  <c r="E27" i="36" s="1"/>
  <c r="F27" i="36" s="1"/>
  <c r="D26" i="36"/>
  <c r="E26" i="36" s="1"/>
  <c r="F26" i="36" s="1"/>
  <c r="D25" i="36"/>
  <c r="E25" i="36" s="1"/>
  <c r="F25" i="36" s="1"/>
  <c r="D24" i="36"/>
  <c r="E24" i="36" s="1"/>
  <c r="F24" i="36" s="1"/>
  <c r="D23" i="36"/>
  <c r="E23" i="36" s="1"/>
  <c r="F23" i="36" s="1"/>
  <c r="D22" i="36"/>
  <c r="E22" i="36" s="1"/>
  <c r="F22" i="36" s="1"/>
  <c r="D21" i="36"/>
  <c r="E21" i="36" s="1"/>
  <c r="F21" i="36" s="1"/>
  <c r="D20" i="36"/>
  <c r="E20" i="36" s="1"/>
  <c r="F20" i="36" s="1"/>
  <c r="D19" i="36"/>
  <c r="E19" i="36" s="1"/>
  <c r="F19" i="36" s="1"/>
  <c r="D18" i="36"/>
  <c r="E18" i="36" s="1"/>
  <c r="F18" i="36" s="1"/>
  <c r="D17" i="36"/>
  <c r="E17" i="36" s="1"/>
  <c r="F17" i="36" s="1"/>
  <c r="D16" i="36"/>
  <c r="E16" i="36" s="1"/>
  <c r="F16" i="36" s="1"/>
  <c r="D15" i="36"/>
  <c r="E15" i="36" s="1"/>
  <c r="F15" i="36" s="1"/>
  <c r="D14" i="36"/>
  <c r="E14" i="36" s="1"/>
  <c r="F14" i="36" s="1"/>
  <c r="D13" i="36"/>
  <c r="E13" i="36" s="1"/>
  <c r="F13" i="36" s="1"/>
  <c r="D12" i="36"/>
  <c r="E12" i="36" s="1"/>
  <c r="F12" i="36" s="1"/>
  <c r="D11" i="36"/>
  <c r="E11" i="36" s="1"/>
  <c r="F11" i="36" s="1"/>
  <c r="D10" i="36"/>
  <c r="E10" i="36" s="1"/>
  <c r="F10" i="36" s="1"/>
  <c r="D9" i="36"/>
  <c r="E9" i="36" s="1"/>
  <c r="F9" i="36" s="1"/>
  <c r="D8" i="36"/>
  <c r="E8" i="36" s="1"/>
  <c r="F8" i="36" s="1"/>
  <c r="D7" i="36"/>
  <c r="E7" i="36" s="1"/>
  <c r="F7" i="36" s="1"/>
  <c r="D6" i="36"/>
  <c r="E6" i="36" s="1"/>
  <c r="F6" i="36" s="1"/>
  <c r="D5" i="36"/>
  <c r="E5" i="36" s="1"/>
  <c r="F5" i="36" s="1"/>
  <c r="D4" i="36"/>
  <c r="E4" i="36" s="1"/>
  <c r="F4" i="36" s="1"/>
  <c r="D3" i="36"/>
  <c r="E3" i="36" s="1"/>
  <c r="F3" i="36" s="1"/>
  <c r="G2" i="36"/>
  <c r="H2" i="36" s="1"/>
  <c r="D2" i="36"/>
  <c r="D36" i="33"/>
  <c r="E36" i="33"/>
  <c r="F36" i="33"/>
  <c r="D102" i="33"/>
  <c r="E102" i="33" s="1"/>
  <c r="F102" i="33" s="1"/>
  <c r="I138" i="33"/>
  <c r="I137" i="33"/>
  <c r="B137" i="33"/>
  <c r="C137" i="33"/>
  <c r="B138" i="33"/>
  <c r="C138" i="33"/>
  <c r="D135" i="33"/>
  <c r="E135" i="33" s="1"/>
  <c r="F135" i="33" s="1"/>
  <c r="D134" i="33"/>
  <c r="E134" i="33" s="1"/>
  <c r="F134" i="33" s="1"/>
  <c r="D133" i="33"/>
  <c r="E133" i="33" s="1"/>
  <c r="F133" i="33" s="1"/>
  <c r="D132" i="33"/>
  <c r="E132" i="33" s="1"/>
  <c r="F132" i="33" s="1"/>
  <c r="D131" i="33"/>
  <c r="E131" i="33" s="1"/>
  <c r="F131" i="33" s="1"/>
  <c r="D130" i="33"/>
  <c r="E130" i="33" s="1"/>
  <c r="F130" i="33" s="1"/>
  <c r="D129" i="33"/>
  <c r="E129" i="33" s="1"/>
  <c r="F129" i="33" s="1"/>
  <c r="D128" i="33"/>
  <c r="E128" i="33" s="1"/>
  <c r="F128" i="33" s="1"/>
  <c r="D127" i="33"/>
  <c r="E127" i="33" s="1"/>
  <c r="F127" i="33" s="1"/>
  <c r="D126" i="33"/>
  <c r="E126" i="33" s="1"/>
  <c r="F126" i="33" s="1"/>
  <c r="D125" i="33"/>
  <c r="E125" i="33" s="1"/>
  <c r="F125" i="33" s="1"/>
  <c r="D124" i="33"/>
  <c r="E124" i="33" s="1"/>
  <c r="F124" i="33" s="1"/>
  <c r="D123" i="33"/>
  <c r="E123" i="33" s="1"/>
  <c r="F123" i="33" s="1"/>
  <c r="D122" i="33"/>
  <c r="E122" i="33" s="1"/>
  <c r="F122" i="33" s="1"/>
  <c r="D121" i="33"/>
  <c r="E121" i="33" s="1"/>
  <c r="F121" i="33" s="1"/>
  <c r="D120" i="33"/>
  <c r="E120" i="33" s="1"/>
  <c r="F120" i="33" s="1"/>
  <c r="D119" i="33"/>
  <c r="E119" i="33" s="1"/>
  <c r="F119" i="33" s="1"/>
  <c r="D118" i="33"/>
  <c r="E118" i="33" s="1"/>
  <c r="F118" i="33" s="1"/>
  <c r="D117" i="33"/>
  <c r="E117" i="33" s="1"/>
  <c r="F117" i="33" s="1"/>
  <c r="D116" i="33"/>
  <c r="E116" i="33" s="1"/>
  <c r="F116" i="33" s="1"/>
  <c r="D115" i="33"/>
  <c r="E115" i="33" s="1"/>
  <c r="F115" i="33" s="1"/>
  <c r="D114" i="33"/>
  <c r="E114" i="33" s="1"/>
  <c r="F114" i="33" s="1"/>
  <c r="D113" i="33"/>
  <c r="E113" i="33" s="1"/>
  <c r="F113" i="33" s="1"/>
  <c r="D112" i="33"/>
  <c r="E112" i="33" s="1"/>
  <c r="F112" i="33" s="1"/>
  <c r="D111" i="33"/>
  <c r="E111" i="33" s="1"/>
  <c r="F111" i="33" s="1"/>
  <c r="D110" i="33"/>
  <c r="E110" i="33" s="1"/>
  <c r="F110" i="33" s="1"/>
  <c r="D109" i="33"/>
  <c r="E109" i="33" s="1"/>
  <c r="F109" i="33" s="1"/>
  <c r="D108" i="33"/>
  <c r="E108" i="33" s="1"/>
  <c r="F108" i="33" s="1"/>
  <c r="D107" i="33"/>
  <c r="E107" i="33" s="1"/>
  <c r="F107" i="33" s="1"/>
  <c r="D106" i="33"/>
  <c r="E106" i="33" s="1"/>
  <c r="F106" i="33" s="1"/>
  <c r="D105" i="33"/>
  <c r="E105" i="33" s="1"/>
  <c r="F105" i="33" s="1"/>
  <c r="D104" i="33"/>
  <c r="E104" i="33" s="1"/>
  <c r="F104" i="33" s="1"/>
  <c r="D103" i="33"/>
  <c r="E103" i="33" s="1"/>
  <c r="F103" i="33" s="1"/>
  <c r="D101" i="33"/>
  <c r="E101" i="33" s="1"/>
  <c r="F101" i="33" s="1"/>
  <c r="D100" i="33"/>
  <c r="E100" i="33" s="1"/>
  <c r="F100" i="33" s="1"/>
  <c r="D99" i="33"/>
  <c r="E99" i="33" s="1"/>
  <c r="F99" i="33" s="1"/>
  <c r="D98" i="33"/>
  <c r="E98" i="33" s="1"/>
  <c r="F98" i="33" s="1"/>
  <c r="D97" i="33"/>
  <c r="E97" i="33" s="1"/>
  <c r="F97" i="33" s="1"/>
  <c r="D96" i="33"/>
  <c r="E96" i="33" s="1"/>
  <c r="F96" i="33" s="1"/>
  <c r="D95" i="33"/>
  <c r="E95" i="33" s="1"/>
  <c r="F95" i="33" s="1"/>
  <c r="D94" i="33"/>
  <c r="E94" i="33" s="1"/>
  <c r="F94" i="33" s="1"/>
  <c r="D93" i="33"/>
  <c r="E93" i="33" s="1"/>
  <c r="F93" i="33" s="1"/>
  <c r="D92" i="33"/>
  <c r="E92" i="33" s="1"/>
  <c r="F92" i="33" s="1"/>
  <c r="D91" i="33"/>
  <c r="E91" i="33" s="1"/>
  <c r="F91" i="33" s="1"/>
  <c r="D90" i="33"/>
  <c r="E90" i="33" s="1"/>
  <c r="F90" i="33" s="1"/>
  <c r="D89" i="33"/>
  <c r="E89" i="33" s="1"/>
  <c r="F89" i="33" s="1"/>
  <c r="D88" i="33"/>
  <c r="E88" i="33" s="1"/>
  <c r="F88" i="33" s="1"/>
  <c r="D87" i="33"/>
  <c r="E87" i="33" s="1"/>
  <c r="F87" i="33" s="1"/>
  <c r="D86" i="33"/>
  <c r="E86" i="33" s="1"/>
  <c r="F86" i="33" s="1"/>
  <c r="D85" i="33"/>
  <c r="E85" i="33" s="1"/>
  <c r="F85" i="33" s="1"/>
  <c r="D84" i="33"/>
  <c r="E84" i="33" s="1"/>
  <c r="F84" i="33" s="1"/>
  <c r="D83" i="33"/>
  <c r="E83" i="33" s="1"/>
  <c r="F83" i="33" s="1"/>
  <c r="D82" i="33"/>
  <c r="E82" i="33" s="1"/>
  <c r="F82" i="33" s="1"/>
  <c r="D81" i="33"/>
  <c r="E81" i="33" s="1"/>
  <c r="F81" i="33" s="1"/>
  <c r="D80" i="33"/>
  <c r="E80" i="33" s="1"/>
  <c r="F80" i="33" s="1"/>
  <c r="D79" i="33"/>
  <c r="E79" i="33" s="1"/>
  <c r="F79" i="33" s="1"/>
  <c r="D78" i="33"/>
  <c r="E78" i="33" s="1"/>
  <c r="F78" i="33" s="1"/>
  <c r="D77" i="33"/>
  <c r="E77" i="33" s="1"/>
  <c r="F77" i="33" s="1"/>
  <c r="D76" i="33"/>
  <c r="E76" i="33" s="1"/>
  <c r="F76" i="33" s="1"/>
  <c r="D75" i="33"/>
  <c r="E75" i="33" s="1"/>
  <c r="F75" i="33" s="1"/>
  <c r="D74" i="33"/>
  <c r="E74" i="33" s="1"/>
  <c r="F74" i="33" s="1"/>
  <c r="D73" i="33"/>
  <c r="E73" i="33" s="1"/>
  <c r="F73" i="33" s="1"/>
  <c r="D72" i="33"/>
  <c r="E72" i="33" s="1"/>
  <c r="F72" i="33" s="1"/>
  <c r="D71" i="33"/>
  <c r="E71" i="33" s="1"/>
  <c r="F71" i="33" s="1"/>
  <c r="D70" i="33"/>
  <c r="E70" i="33" s="1"/>
  <c r="F70" i="33" s="1"/>
  <c r="D69" i="33"/>
  <c r="E69" i="33" s="1"/>
  <c r="F69" i="33" s="1"/>
  <c r="D68" i="33"/>
  <c r="E68" i="33" s="1"/>
  <c r="F68" i="33" s="1"/>
  <c r="D67" i="33"/>
  <c r="E67" i="33" s="1"/>
  <c r="F67" i="33" s="1"/>
  <c r="D66" i="33"/>
  <c r="E66" i="33" s="1"/>
  <c r="F66" i="33" s="1"/>
  <c r="D65" i="33"/>
  <c r="E65" i="33" s="1"/>
  <c r="F65" i="33" s="1"/>
  <c r="D64" i="33"/>
  <c r="E64" i="33" s="1"/>
  <c r="F64" i="33" s="1"/>
  <c r="D63" i="33"/>
  <c r="E63" i="33" s="1"/>
  <c r="F63" i="33" s="1"/>
  <c r="D62" i="33"/>
  <c r="E62" i="33" s="1"/>
  <c r="F62" i="33" s="1"/>
  <c r="D61" i="33"/>
  <c r="E61" i="33" s="1"/>
  <c r="F61" i="33" s="1"/>
  <c r="D60" i="33"/>
  <c r="E60" i="33" s="1"/>
  <c r="F60" i="33" s="1"/>
  <c r="D59" i="33"/>
  <c r="E59" i="33" s="1"/>
  <c r="F59" i="33" s="1"/>
  <c r="D58" i="33"/>
  <c r="E58" i="33" s="1"/>
  <c r="F58" i="33" s="1"/>
  <c r="D57" i="33"/>
  <c r="E57" i="33" s="1"/>
  <c r="F57" i="33" s="1"/>
  <c r="D56" i="33"/>
  <c r="E56" i="33" s="1"/>
  <c r="F56" i="33" s="1"/>
  <c r="D55" i="33"/>
  <c r="E55" i="33" s="1"/>
  <c r="F55" i="33" s="1"/>
  <c r="D54" i="33"/>
  <c r="E54" i="33" s="1"/>
  <c r="F54" i="33" s="1"/>
  <c r="D53" i="33"/>
  <c r="E53" i="33" s="1"/>
  <c r="F53" i="33" s="1"/>
  <c r="D52" i="33"/>
  <c r="E52" i="33" s="1"/>
  <c r="F52" i="33" s="1"/>
  <c r="D51" i="33"/>
  <c r="E51" i="33" s="1"/>
  <c r="F51" i="33" s="1"/>
  <c r="D50" i="33"/>
  <c r="E50" i="33" s="1"/>
  <c r="F50" i="33" s="1"/>
  <c r="D49" i="33"/>
  <c r="E49" i="33" s="1"/>
  <c r="F49" i="33" s="1"/>
  <c r="D48" i="33"/>
  <c r="E48" i="33" s="1"/>
  <c r="F48" i="33" s="1"/>
  <c r="D47" i="33"/>
  <c r="E47" i="33" s="1"/>
  <c r="F47" i="33" s="1"/>
  <c r="D46" i="33"/>
  <c r="E46" i="33" s="1"/>
  <c r="F46" i="33" s="1"/>
  <c r="D45" i="33"/>
  <c r="E45" i="33" s="1"/>
  <c r="F45" i="33" s="1"/>
  <c r="D44" i="33"/>
  <c r="E44" i="33" s="1"/>
  <c r="F44" i="33" s="1"/>
  <c r="D43" i="33"/>
  <c r="E43" i="33" s="1"/>
  <c r="F43" i="33" s="1"/>
  <c r="D42" i="33"/>
  <c r="E42" i="33" s="1"/>
  <c r="F42" i="33" s="1"/>
  <c r="D41" i="33"/>
  <c r="E41" i="33" s="1"/>
  <c r="F41" i="33" s="1"/>
  <c r="D40" i="33"/>
  <c r="E40" i="33" s="1"/>
  <c r="F40" i="33" s="1"/>
  <c r="D39" i="33"/>
  <c r="E39" i="33" s="1"/>
  <c r="F39" i="33" s="1"/>
  <c r="D38" i="33"/>
  <c r="E38" i="33" s="1"/>
  <c r="F38" i="33" s="1"/>
  <c r="D37" i="33"/>
  <c r="E37" i="33" s="1"/>
  <c r="F37" i="33" s="1"/>
  <c r="D35" i="33"/>
  <c r="E35" i="33" s="1"/>
  <c r="F35" i="33" s="1"/>
  <c r="D34" i="33"/>
  <c r="E34" i="33" s="1"/>
  <c r="F34" i="33" s="1"/>
  <c r="D33" i="33"/>
  <c r="E33" i="33" s="1"/>
  <c r="F33" i="33" s="1"/>
  <c r="D32" i="33"/>
  <c r="E32" i="33" s="1"/>
  <c r="F32" i="33" s="1"/>
  <c r="D31" i="33"/>
  <c r="E31" i="33" s="1"/>
  <c r="F31" i="33" s="1"/>
  <c r="D30" i="33"/>
  <c r="E30" i="33" s="1"/>
  <c r="F30" i="33" s="1"/>
  <c r="D29" i="33"/>
  <c r="E29" i="33" s="1"/>
  <c r="F29" i="33" s="1"/>
  <c r="D28" i="33"/>
  <c r="E28" i="33" s="1"/>
  <c r="F28" i="33" s="1"/>
  <c r="D27" i="33"/>
  <c r="E27" i="33" s="1"/>
  <c r="F27" i="33" s="1"/>
  <c r="D26" i="33"/>
  <c r="E26" i="33" s="1"/>
  <c r="F26" i="33" s="1"/>
  <c r="D25" i="33"/>
  <c r="E25" i="33" s="1"/>
  <c r="F25" i="33" s="1"/>
  <c r="D24" i="33"/>
  <c r="E24" i="33" s="1"/>
  <c r="F24" i="33" s="1"/>
  <c r="D23" i="33"/>
  <c r="E23" i="33" s="1"/>
  <c r="F23" i="33" s="1"/>
  <c r="D22" i="33"/>
  <c r="E22" i="33" s="1"/>
  <c r="F22" i="33" s="1"/>
  <c r="D21" i="33"/>
  <c r="E21" i="33" s="1"/>
  <c r="F21" i="33" s="1"/>
  <c r="D20" i="33"/>
  <c r="E20" i="33" s="1"/>
  <c r="F20" i="33" s="1"/>
  <c r="D19" i="33"/>
  <c r="E19" i="33" s="1"/>
  <c r="F19" i="33" s="1"/>
  <c r="D18" i="33"/>
  <c r="E18" i="33" s="1"/>
  <c r="F18" i="33" s="1"/>
  <c r="D17" i="33"/>
  <c r="E17" i="33" s="1"/>
  <c r="F17" i="33" s="1"/>
  <c r="D16" i="33"/>
  <c r="E16" i="33" s="1"/>
  <c r="F16" i="33" s="1"/>
  <c r="D15" i="33"/>
  <c r="E15" i="33" s="1"/>
  <c r="F15" i="33" s="1"/>
  <c r="D14" i="33"/>
  <c r="E14" i="33" s="1"/>
  <c r="F14" i="33" s="1"/>
  <c r="D13" i="33"/>
  <c r="E13" i="33" s="1"/>
  <c r="F13" i="33" s="1"/>
  <c r="D12" i="33"/>
  <c r="E12" i="33" s="1"/>
  <c r="F12" i="33" s="1"/>
  <c r="D11" i="33"/>
  <c r="E11" i="33" s="1"/>
  <c r="F11" i="33" s="1"/>
  <c r="D10" i="33"/>
  <c r="E10" i="33" s="1"/>
  <c r="F10" i="33" s="1"/>
  <c r="D9" i="33"/>
  <c r="E9" i="33" s="1"/>
  <c r="F9" i="33" s="1"/>
  <c r="D8" i="33"/>
  <c r="E8" i="33" s="1"/>
  <c r="F8" i="33" s="1"/>
  <c r="D7" i="33"/>
  <c r="E7" i="33" s="1"/>
  <c r="F7" i="33" s="1"/>
  <c r="D6" i="33"/>
  <c r="E6" i="33" s="1"/>
  <c r="F6" i="33" s="1"/>
  <c r="D5" i="33"/>
  <c r="E5" i="33" s="1"/>
  <c r="F5" i="33" s="1"/>
  <c r="D4" i="33"/>
  <c r="E4" i="33" s="1"/>
  <c r="F4" i="33" s="1"/>
  <c r="D3" i="33"/>
  <c r="E3" i="33" s="1"/>
  <c r="F3" i="33" s="1"/>
  <c r="G2" i="33"/>
  <c r="H2" i="33" s="1"/>
  <c r="D2" i="33"/>
  <c r="C140" i="26"/>
  <c r="C139" i="26"/>
  <c r="B140" i="26"/>
  <c r="B139" i="26"/>
  <c r="G2" i="26"/>
  <c r="H2" i="26" s="1"/>
  <c r="D11" i="26"/>
  <c r="D12" i="26"/>
  <c r="E12" i="26" s="1"/>
  <c r="F12" i="26" s="1"/>
  <c r="D13" i="26"/>
  <c r="E13" i="26" s="1"/>
  <c r="F13" i="26" s="1"/>
  <c r="D14" i="26"/>
  <c r="E14" i="26" s="1"/>
  <c r="F14" i="26" s="1"/>
  <c r="D15" i="26"/>
  <c r="E15" i="26" s="1"/>
  <c r="F15" i="26" s="1"/>
  <c r="D16" i="26"/>
  <c r="E16" i="26" s="1"/>
  <c r="F16" i="26" s="1"/>
  <c r="D17" i="26"/>
  <c r="E17" i="26" s="1"/>
  <c r="F17" i="26" s="1"/>
  <c r="D18" i="26"/>
  <c r="E18" i="26" s="1"/>
  <c r="F18" i="26" s="1"/>
  <c r="D19" i="26"/>
  <c r="E19" i="26" s="1"/>
  <c r="F19" i="26" s="1"/>
  <c r="D20" i="26"/>
  <c r="E20" i="26" s="1"/>
  <c r="F20" i="26" s="1"/>
  <c r="D21" i="26"/>
  <c r="E21" i="26" s="1"/>
  <c r="F21" i="26" s="1"/>
  <c r="D22" i="26"/>
  <c r="E22" i="26" s="1"/>
  <c r="F22" i="26" s="1"/>
  <c r="D23" i="26"/>
  <c r="E23" i="26" s="1"/>
  <c r="F23" i="26" s="1"/>
  <c r="D24" i="26"/>
  <c r="E24" i="26" s="1"/>
  <c r="F24" i="26" s="1"/>
  <c r="D25" i="26"/>
  <c r="E25" i="26" s="1"/>
  <c r="F25" i="26" s="1"/>
  <c r="D26" i="26"/>
  <c r="E26" i="26" s="1"/>
  <c r="F26" i="26" s="1"/>
  <c r="D27" i="26"/>
  <c r="E27" i="26" s="1"/>
  <c r="F27" i="26" s="1"/>
  <c r="D28" i="26"/>
  <c r="E28" i="26" s="1"/>
  <c r="F28" i="26" s="1"/>
  <c r="D29" i="26"/>
  <c r="E29" i="26" s="1"/>
  <c r="F29" i="26" s="1"/>
  <c r="D30" i="26"/>
  <c r="E30" i="26" s="1"/>
  <c r="F30" i="26" s="1"/>
  <c r="D31" i="26"/>
  <c r="E31" i="26" s="1"/>
  <c r="F31" i="26" s="1"/>
  <c r="D32" i="26"/>
  <c r="E32" i="26" s="1"/>
  <c r="F32" i="26" s="1"/>
  <c r="D33" i="26"/>
  <c r="E33" i="26" s="1"/>
  <c r="F33" i="26" s="1"/>
  <c r="D34" i="26"/>
  <c r="E34" i="26" s="1"/>
  <c r="F34" i="26" s="1"/>
  <c r="D35" i="26"/>
  <c r="E35" i="26" s="1"/>
  <c r="F35" i="26" s="1"/>
  <c r="D36" i="26"/>
  <c r="E36" i="26" s="1"/>
  <c r="F36" i="26" s="1"/>
  <c r="D37" i="26"/>
  <c r="E37" i="26" s="1"/>
  <c r="F37" i="26" s="1"/>
  <c r="D38" i="26"/>
  <c r="E38" i="26" s="1"/>
  <c r="F38" i="26" s="1"/>
  <c r="D39" i="26"/>
  <c r="E39" i="26" s="1"/>
  <c r="F39" i="26" s="1"/>
  <c r="D40" i="26"/>
  <c r="E40" i="26" s="1"/>
  <c r="F40" i="26" s="1"/>
  <c r="D41" i="26"/>
  <c r="E41" i="26" s="1"/>
  <c r="F41" i="26" s="1"/>
  <c r="D42" i="26"/>
  <c r="E42" i="26" s="1"/>
  <c r="F42" i="26" s="1"/>
  <c r="D43" i="26"/>
  <c r="E43" i="26" s="1"/>
  <c r="F43" i="26" s="1"/>
  <c r="D44" i="26"/>
  <c r="E44" i="26" s="1"/>
  <c r="F44" i="26" s="1"/>
  <c r="D45" i="26"/>
  <c r="E45" i="26" s="1"/>
  <c r="F45" i="26" s="1"/>
  <c r="D46" i="26"/>
  <c r="E46" i="26" s="1"/>
  <c r="F46" i="26" s="1"/>
  <c r="D47" i="26"/>
  <c r="E47" i="26" s="1"/>
  <c r="F47" i="26" s="1"/>
  <c r="D48" i="26"/>
  <c r="E48" i="26" s="1"/>
  <c r="F48" i="26" s="1"/>
  <c r="D49" i="26"/>
  <c r="E49" i="26" s="1"/>
  <c r="F49" i="26" s="1"/>
  <c r="D50" i="26"/>
  <c r="E50" i="26" s="1"/>
  <c r="F50" i="26" s="1"/>
  <c r="D51" i="26"/>
  <c r="E51" i="26" s="1"/>
  <c r="F51" i="26" s="1"/>
  <c r="D52" i="26"/>
  <c r="E52" i="26" s="1"/>
  <c r="F52" i="26" s="1"/>
  <c r="D53" i="26"/>
  <c r="E53" i="26" s="1"/>
  <c r="F53" i="26" s="1"/>
  <c r="D54" i="26"/>
  <c r="E54" i="26" s="1"/>
  <c r="F54" i="26" s="1"/>
  <c r="D55" i="26"/>
  <c r="E55" i="26" s="1"/>
  <c r="F55" i="26" s="1"/>
  <c r="D56" i="26"/>
  <c r="E56" i="26" s="1"/>
  <c r="F56" i="26" s="1"/>
  <c r="D57" i="26"/>
  <c r="E57" i="26" s="1"/>
  <c r="F57" i="26" s="1"/>
  <c r="D58" i="26"/>
  <c r="E58" i="26" s="1"/>
  <c r="F58" i="26" s="1"/>
  <c r="D59" i="26"/>
  <c r="E59" i="26" s="1"/>
  <c r="F59" i="26" s="1"/>
  <c r="D60" i="26"/>
  <c r="E60" i="26" s="1"/>
  <c r="F60" i="26" s="1"/>
  <c r="D61" i="26"/>
  <c r="E61" i="26" s="1"/>
  <c r="F61" i="26" s="1"/>
  <c r="D62" i="26"/>
  <c r="E62" i="26" s="1"/>
  <c r="F62" i="26" s="1"/>
  <c r="D63" i="26"/>
  <c r="E63" i="26" s="1"/>
  <c r="F63" i="26" s="1"/>
  <c r="D64" i="26"/>
  <c r="E64" i="26" s="1"/>
  <c r="F64" i="26" s="1"/>
  <c r="D65" i="26"/>
  <c r="E65" i="26" s="1"/>
  <c r="F65" i="26" s="1"/>
  <c r="D66" i="26"/>
  <c r="E66" i="26" s="1"/>
  <c r="F66" i="26" s="1"/>
  <c r="D67" i="26"/>
  <c r="E67" i="26" s="1"/>
  <c r="F67" i="26" s="1"/>
  <c r="D68" i="26"/>
  <c r="E68" i="26" s="1"/>
  <c r="F68" i="26" s="1"/>
  <c r="D69" i="26"/>
  <c r="E69" i="26" s="1"/>
  <c r="F69" i="26" s="1"/>
  <c r="D70" i="26"/>
  <c r="E70" i="26" s="1"/>
  <c r="F70" i="26" s="1"/>
  <c r="D71" i="26"/>
  <c r="E71" i="26" s="1"/>
  <c r="F71" i="26" s="1"/>
  <c r="D72" i="26"/>
  <c r="E72" i="26" s="1"/>
  <c r="F72" i="26" s="1"/>
  <c r="D73" i="26"/>
  <c r="E73" i="26" s="1"/>
  <c r="F73" i="26" s="1"/>
  <c r="D74" i="26"/>
  <c r="E74" i="26" s="1"/>
  <c r="F74" i="26" s="1"/>
  <c r="D75" i="26"/>
  <c r="E75" i="26" s="1"/>
  <c r="F75" i="26" s="1"/>
  <c r="D76" i="26"/>
  <c r="E76" i="26" s="1"/>
  <c r="F76" i="26" s="1"/>
  <c r="D77" i="26"/>
  <c r="E77" i="26" s="1"/>
  <c r="F77" i="26" s="1"/>
  <c r="D78" i="26"/>
  <c r="E78" i="26" s="1"/>
  <c r="F78" i="26" s="1"/>
  <c r="D79" i="26"/>
  <c r="E79" i="26" s="1"/>
  <c r="F79" i="26" s="1"/>
  <c r="D80" i="26"/>
  <c r="E80" i="26" s="1"/>
  <c r="F80" i="26" s="1"/>
  <c r="D81" i="26"/>
  <c r="E81" i="26" s="1"/>
  <c r="F81" i="26" s="1"/>
  <c r="D82" i="26"/>
  <c r="E82" i="26" s="1"/>
  <c r="F82" i="26" s="1"/>
  <c r="D83" i="26"/>
  <c r="E83" i="26" s="1"/>
  <c r="F83" i="26" s="1"/>
  <c r="D84" i="26"/>
  <c r="E84" i="26" s="1"/>
  <c r="F84" i="26" s="1"/>
  <c r="D85" i="26"/>
  <c r="E85" i="26" s="1"/>
  <c r="F85" i="26" s="1"/>
  <c r="D86" i="26"/>
  <c r="E86" i="26" s="1"/>
  <c r="F86" i="26" s="1"/>
  <c r="D87" i="26"/>
  <c r="E87" i="26" s="1"/>
  <c r="F87" i="26" s="1"/>
  <c r="D88" i="26"/>
  <c r="E88" i="26" s="1"/>
  <c r="F88" i="26" s="1"/>
  <c r="D89" i="26"/>
  <c r="E89" i="26" s="1"/>
  <c r="F89" i="26" s="1"/>
  <c r="D90" i="26"/>
  <c r="E90" i="26" s="1"/>
  <c r="F90" i="26" s="1"/>
  <c r="D91" i="26"/>
  <c r="E91" i="26" s="1"/>
  <c r="F91" i="26" s="1"/>
  <c r="D92" i="26"/>
  <c r="E92" i="26" s="1"/>
  <c r="F92" i="26" s="1"/>
  <c r="D93" i="26"/>
  <c r="E93" i="26" s="1"/>
  <c r="F93" i="26" s="1"/>
  <c r="D94" i="26"/>
  <c r="E94" i="26" s="1"/>
  <c r="F94" i="26" s="1"/>
  <c r="D95" i="26"/>
  <c r="E95" i="26" s="1"/>
  <c r="F95" i="26" s="1"/>
  <c r="D96" i="26"/>
  <c r="E96" i="26" s="1"/>
  <c r="F96" i="26" s="1"/>
  <c r="D97" i="26"/>
  <c r="E97" i="26" s="1"/>
  <c r="F97" i="26" s="1"/>
  <c r="D98" i="26"/>
  <c r="E98" i="26" s="1"/>
  <c r="F98" i="26" s="1"/>
  <c r="D99" i="26"/>
  <c r="E99" i="26" s="1"/>
  <c r="F99" i="26" s="1"/>
  <c r="D100" i="26"/>
  <c r="E100" i="26" s="1"/>
  <c r="F100" i="26" s="1"/>
  <c r="D101" i="26"/>
  <c r="E101" i="26" s="1"/>
  <c r="F101" i="26" s="1"/>
  <c r="D102" i="26"/>
  <c r="E102" i="26" s="1"/>
  <c r="F102" i="26" s="1"/>
  <c r="D103" i="26"/>
  <c r="E103" i="26" s="1"/>
  <c r="F103" i="26" s="1"/>
  <c r="D104" i="26"/>
  <c r="E104" i="26" s="1"/>
  <c r="F104" i="26" s="1"/>
  <c r="D105" i="26"/>
  <c r="E105" i="26" s="1"/>
  <c r="F105" i="26" s="1"/>
  <c r="D106" i="26"/>
  <c r="E106" i="26" s="1"/>
  <c r="F106" i="26" s="1"/>
  <c r="D107" i="26"/>
  <c r="E107" i="26" s="1"/>
  <c r="F107" i="26" s="1"/>
  <c r="D108" i="26"/>
  <c r="E108" i="26" s="1"/>
  <c r="F108" i="26" s="1"/>
  <c r="D109" i="26"/>
  <c r="E109" i="26" s="1"/>
  <c r="F109" i="26" s="1"/>
  <c r="D110" i="26"/>
  <c r="E110" i="26" s="1"/>
  <c r="F110" i="26" s="1"/>
  <c r="D111" i="26"/>
  <c r="E111" i="26" s="1"/>
  <c r="F111" i="26" s="1"/>
  <c r="D112" i="26"/>
  <c r="E112" i="26" s="1"/>
  <c r="F112" i="26" s="1"/>
  <c r="D113" i="26"/>
  <c r="E113" i="26" s="1"/>
  <c r="F113" i="26" s="1"/>
  <c r="D114" i="26"/>
  <c r="E114" i="26" s="1"/>
  <c r="F114" i="26" s="1"/>
  <c r="D115" i="26"/>
  <c r="E115" i="26" s="1"/>
  <c r="F115" i="26" s="1"/>
  <c r="D116" i="26"/>
  <c r="E116" i="26" s="1"/>
  <c r="F116" i="26" s="1"/>
  <c r="D117" i="26"/>
  <c r="E117" i="26" s="1"/>
  <c r="F117" i="26" s="1"/>
  <c r="D118" i="26"/>
  <c r="E118" i="26" s="1"/>
  <c r="F118" i="26" s="1"/>
  <c r="D119" i="26"/>
  <c r="E119" i="26" s="1"/>
  <c r="F119" i="26" s="1"/>
  <c r="D120" i="26"/>
  <c r="E120" i="26" s="1"/>
  <c r="F120" i="26" s="1"/>
  <c r="D121" i="26"/>
  <c r="E121" i="26" s="1"/>
  <c r="F121" i="26" s="1"/>
  <c r="D122" i="26"/>
  <c r="E122" i="26" s="1"/>
  <c r="F122" i="26" s="1"/>
  <c r="D123" i="26"/>
  <c r="E123" i="26" s="1"/>
  <c r="F123" i="26" s="1"/>
  <c r="D124" i="26"/>
  <c r="E124" i="26" s="1"/>
  <c r="F124" i="26" s="1"/>
  <c r="D125" i="26"/>
  <c r="E125" i="26" s="1"/>
  <c r="F125" i="26" s="1"/>
  <c r="D126" i="26"/>
  <c r="E126" i="26" s="1"/>
  <c r="F126" i="26" s="1"/>
  <c r="D127" i="26"/>
  <c r="E127" i="26" s="1"/>
  <c r="F127" i="26" s="1"/>
  <c r="D128" i="26"/>
  <c r="E128" i="26" s="1"/>
  <c r="F128" i="26" s="1"/>
  <c r="D129" i="26"/>
  <c r="E129" i="26" s="1"/>
  <c r="F129" i="26" s="1"/>
  <c r="D130" i="26"/>
  <c r="E130" i="26" s="1"/>
  <c r="F130" i="26" s="1"/>
  <c r="D131" i="26"/>
  <c r="E131" i="26" s="1"/>
  <c r="F131" i="26" s="1"/>
  <c r="D132" i="26"/>
  <c r="E132" i="26" s="1"/>
  <c r="F132" i="26" s="1"/>
  <c r="D133" i="26"/>
  <c r="E133" i="26" s="1"/>
  <c r="F133" i="26" s="1"/>
  <c r="D134" i="26"/>
  <c r="E134" i="26" s="1"/>
  <c r="F134" i="26" s="1"/>
  <c r="D135" i="26"/>
  <c r="E135" i="26" s="1"/>
  <c r="F135" i="26" s="1"/>
  <c r="D136" i="26"/>
  <c r="E136" i="26" s="1"/>
  <c r="F136" i="26" s="1"/>
  <c r="D137" i="26"/>
  <c r="E137" i="26" s="1"/>
  <c r="F137" i="26" s="1"/>
  <c r="D3" i="26"/>
  <c r="E3" i="26" s="1"/>
  <c r="F3" i="26" s="1"/>
  <c r="D4" i="26"/>
  <c r="E4" i="26" s="1"/>
  <c r="F4" i="26" s="1"/>
  <c r="D5" i="26"/>
  <c r="E5" i="26" s="1"/>
  <c r="F5" i="26" s="1"/>
  <c r="D6" i="26"/>
  <c r="E6" i="26" s="1"/>
  <c r="F6" i="26" s="1"/>
  <c r="D7" i="26"/>
  <c r="E7" i="26" s="1"/>
  <c r="F7" i="26" s="1"/>
  <c r="D8" i="26"/>
  <c r="E8" i="26" s="1"/>
  <c r="F8" i="26" s="1"/>
  <c r="D9" i="26"/>
  <c r="E9" i="26" s="1"/>
  <c r="F9" i="26" s="1"/>
  <c r="D10" i="26"/>
  <c r="E10" i="26" s="1"/>
  <c r="F10" i="26" s="1"/>
  <c r="D2" i="26"/>
  <c r="AR4" i="45" l="1"/>
  <c r="AD6" i="45"/>
  <c r="AD4" i="45"/>
  <c r="AE4" i="45" s="1"/>
  <c r="E4" i="45"/>
  <c r="AE6" i="45"/>
  <c r="AD7" i="45"/>
  <c r="AE7" i="45" s="1"/>
  <c r="P4" i="45"/>
  <c r="Q4" i="45" s="1"/>
  <c r="F4" i="45"/>
  <c r="AD16" i="40"/>
  <c r="AE16" i="40" s="1"/>
  <c r="P16" i="40"/>
  <c r="E16" i="49"/>
  <c r="F16" i="49" s="1"/>
  <c r="AQ14" i="49"/>
  <c r="AR14" i="49" s="1"/>
  <c r="AD14" i="49"/>
  <c r="AE14" i="49" s="1"/>
  <c r="AQ11" i="49"/>
  <c r="AR11" i="49" s="1"/>
  <c r="P11" i="49"/>
  <c r="Q11" i="49" s="1"/>
  <c r="AQ6" i="49"/>
  <c r="AR6" i="49" s="1"/>
  <c r="AQ4" i="49"/>
  <c r="AR4" i="49" s="1"/>
  <c r="D18" i="49"/>
  <c r="AD17" i="49"/>
  <c r="AE17" i="49" s="1"/>
  <c r="AD16" i="49"/>
  <c r="AE16" i="49" s="1"/>
  <c r="P15" i="49"/>
  <c r="Q15" i="49" s="1"/>
  <c r="E12" i="49"/>
  <c r="F12" i="49" s="1"/>
  <c r="AD10" i="49"/>
  <c r="AE10" i="49" s="1"/>
  <c r="P10" i="49"/>
  <c r="Q10" i="49" s="1"/>
  <c r="AD9" i="49"/>
  <c r="AE9" i="49" s="1"/>
  <c r="P9" i="49"/>
  <c r="Q9" i="49" s="1"/>
  <c r="AD8" i="49"/>
  <c r="AE8" i="49" s="1"/>
  <c r="P5" i="49"/>
  <c r="Q5" i="49" s="1"/>
  <c r="P4" i="49"/>
  <c r="Q4" i="49" s="1"/>
  <c r="E3" i="49"/>
  <c r="F3" i="49" s="1"/>
  <c r="AQ2" i="49"/>
  <c r="H2" i="49"/>
  <c r="O18" i="49"/>
  <c r="AQ17" i="49"/>
  <c r="AR17" i="49" s="1"/>
  <c r="E17" i="49"/>
  <c r="F17" i="49" s="1"/>
  <c r="AQ16" i="49"/>
  <c r="AR16" i="49" s="1"/>
  <c r="P14" i="49"/>
  <c r="Q14" i="49" s="1"/>
  <c r="AQ13" i="49"/>
  <c r="AR13" i="49" s="1"/>
  <c r="P13" i="49"/>
  <c r="Q13" i="49" s="1"/>
  <c r="AQ12" i="49"/>
  <c r="AR12" i="49" s="1"/>
  <c r="AQ10" i="49"/>
  <c r="AR10" i="49" s="1"/>
  <c r="E10" i="49"/>
  <c r="F10" i="49" s="1"/>
  <c r="AQ9" i="49"/>
  <c r="AR9" i="49" s="1"/>
  <c r="AQ8" i="49"/>
  <c r="AR8" i="49" s="1"/>
  <c r="E7" i="49"/>
  <c r="F7" i="49" s="1"/>
  <c r="AD6" i="49"/>
  <c r="AE6" i="49" s="1"/>
  <c r="E6" i="49"/>
  <c r="F6" i="49" s="1"/>
  <c r="E4" i="49"/>
  <c r="F4" i="49" s="1"/>
  <c r="AQ3" i="49"/>
  <c r="AR3" i="49" s="1"/>
  <c r="AD3" i="49"/>
  <c r="AE3" i="49" s="1"/>
  <c r="P3" i="49"/>
  <c r="Q3" i="49" s="1"/>
  <c r="P17" i="49"/>
  <c r="Q17" i="49" s="1"/>
  <c r="P16" i="49"/>
  <c r="Q16" i="49" s="1"/>
  <c r="AD15" i="49"/>
  <c r="AE15" i="49" s="1"/>
  <c r="AD13" i="49"/>
  <c r="AE13" i="49" s="1"/>
  <c r="E13" i="49"/>
  <c r="F13" i="49" s="1"/>
  <c r="P12" i="49"/>
  <c r="Q12" i="49" s="1"/>
  <c r="AD11" i="49"/>
  <c r="AE11" i="49" s="1"/>
  <c r="E9" i="49"/>
  <c r="F9" i="49" s="1"/>
  <c r="P8" i="49"/>
  <c r="Q8" i="49" s="1"/>
  <c r="E8" i="49"/>
  <c r="F8" i="49" s="1"/>
  <c r="P7" i="49"/>
  <c r="Q7" i="49" s="1"/>
  <c r="E5" i="49"/>
  <c r="F5" i="49" s="1"/>
  <c r="AD4" i="49"/>
  <c r="AE4" i="49" s="1"/>
  <c r="AQ15" i="49"/>
  <c r="AR15" i="49" s="1"/>
  <c r="E15" i="49"/>
  <c r="F15" i="49" s="1"/>
  <c r="E14" i="49"/>
  <c r="F14" i="49" s="1"/>
  <c r="AD12" i="49"/>
  <c r="AE12" i="49" s="1"/>
  <c r="E11" i="49"/>
  <c r="F11" i="49" s="1"/>
  <c r="AQ7" i="49"/>
  <c r="AR7" i="49" s="1"/>
  <c r="AD7" i="49"/>
  <c r="AE7" i="49" s="1"/>
  <c r="P6" i="49"/>
  <c r="Q6" i="49" s="1"/>
  <c r="AQ5" i="49"/>
  <c r="AR5" i="49" s="1"/>
  <c r="AD5" i="49"/>
  <c r="AE5" i="49" s="1"/>
  <c r="AT2" i="49"/>
  <c r="AG2" i="49"/>
  <c r="AD2" i="49"/>
  <c r="S2" i="49"/>
  <c r="P2" i="49"/>
  <c r="E2" i="49"/>
  <c r="AQ6" i="45"/>
  <c r="O18" i="45"/>
  <c r="D18" i="45"/>
  <c r="E6" i="45"/>
  <c r="F6" i="45" s="1"/>
  <c r="P6" i="45"/>
  <c r="Q6" i="45" s="1"/>
  <c r="AQ16" i="45"/>
  <c r="AR16" i="45" s="1"/>
  <c r="E15" i="45"/>
  <c r="F15" i="45" s="1"/>
  <c r="P14" i="45"/>
  <c r="Q14" i="45" s="1"/>
  <c r="AD13" i="45"/>
  <c r="AE13" i="45" s="1"/>
  <c r="P13" i="45"/>
  <c r="Q13" i="45" s="1"/>
  <c r="AQ12" i="45"/>
  <c r="AR12" i="45" s="1"/>
  <c r="AD12" i="45"/>
  <c r="AE12" i="45" s="1"/>
  <c r="AD10" i="45"/>
  <c r="AE10" i="45" s="1"/>
  <c r="E9" i="45"/>
  <c r="F9" i="45" s="1"/>
  <c r="E3" i="45"/>
  <c r="F3" i="45" s="1"/>
  <c r="AD17" i="45"/>
  <c r="AE17" i="45" s="1"/>
  <c r="E17" i="45"/>
  <c r="F17" i="45" s="1"/>
  <c r="AQ14" i="45"/>
  <c r="AR14" i="45" s="1"/>
  <c r="AQ13" i="45"/>
  <c r="AR13" i="45" s="1"/>
  <c r="E12" i="45"/>
  <c r="F12" i="45" s="1"/>
  <c r="P10" i="45"/>
  <c r="Q10" i="45" s="1"/>
  <c r="AD9" i="45"/>
  <c r="AE9" i="45" s="1"/>
  <c r="P9" i="45"/>
  <c r="Q9" i="45" s="1"/>
  <c r="AD8" i="45"/>
  <c r="AE8" i="45" s="1"/>
  <c r="P8" i="45"/>
  <c r="Q8" i="45" s="1"/>
  <c r="E8" i="45"/>
  <c r="F8" i="45" s="1"/>
  <c r="P5" i="45"/>
  <c r="Q5" i="45" s="1"/>
  <c r="E5" i="45"/>
  <c r="F5" i="45" s="1"/>
  <c r="P3" i="45"/>
  <c r="Q3" i="45" s="1"/>
  <c r="AQ2" i="45"/>
  <c r="E14" i="45"/>
  <c r="F14" i="45" s="1"/>
  <c r="E13" i="45"/>
  <c r="F13" i="45" s="1"/>
  <c r="AQ11" i="45"/>
  <c r="AR11" i="45" s="1"/>
  <c r="P11" i="45"/>
  <c r="Q11" i="45" s="1"/>
  <c r="E10" i="45"/>
  <c r="F10" i="45" s="1"/>
  <c r="E7" i="45"/>
  <c r="F7" i="45" s="1"/>
  <c r="AD5" i="45"/>
  <c r="AE5" i="45" s="1"/>
  <c r="AD3" i="45"/>
  <c r="AE3" i="45" s="1"/>
  <c r="AT2" i="45"/>
  <c r="AG2" i="45"/>
  <c r="AD2" i="45"/>
  <c r="P15" i="45"/>
  <c r="Q15" i="45" s="1"/>
  <c r="AD14" i="45"/>
  <c r="AE14" i="45" s="1"/>
  <c r="AD11" i="45"/>
  <c r="AE11" i="45" s="1"/>
  <c r="AQ8" i="45"/>
  <c r="AR8" i="45" s="1"/>
  <c r="P7" i="45"/>
  <c r="Q7" i="45" s="1"/>
  <c r="AQ5" i="45"/>
  <c r="AR5" i="45" s="1"/>
  <c r="AQ3" i="45"/>
  <c r="AR3" i="45" s="1"/>
  <c r="S2" i="45"/>
  <c r="P2" i="45"/>
  <c r="H2" i="45"/>
  <c r="AQ17" i="45"/>
  <c r="AR17" i="45" s="1"/>
  <c r="P17" i="45"/>
  <c r="Q17" i="45" s="1"/>
  <c r="AD16" i="45"/>
  <c r="AE16" i="45" s="1"/>
  <c r="P16" i="45"/>
  <c r="Q16" i="45" s="1"/>
  <c r="E16" i="45"/>
  <c r="F16" i="45" s="1"/>
  <c r="AQ15" i="45"/>
  <c r="AR15" i="45" s="1"/>
  <c r="AD15" i="45"/>
  <c r="AE15" i="45" s="1"/>
  <c r="P12" i="45"/>
  <c r="Q12" i="45" s="1"/>
  <c r="E11" i="45"/>
  <c r="F11" i="45" s="1"/>
  <c r="AQ10" i="45"/>
  <c r="AR10" i="45" s="1"/>
  <c r="AQ9" i="45"/>
  <c r="AR9" i="45" s="1"/>
  <c r="AQ7" i="45"/>
  <c r="AR7" i="45" s="1"/>
  <c r="E2" i="45"/>
  <c r="E16" i="40"/>
  <c r="F16" i="40" s="1"/>
  <c r="AQ16" i="40"/>
  <c r="AR16" i="40" s="1"/>
  <c r="AQ14" i="40"/>
  <c r="AR14" i="40" s="1"/>
  <c r="AQ11" i="40"/>
  <c r="AR11" i="40" s="1"/>
  <c r="AQ10" i="40"/>
  <c r="AR10" i="40" s="1"/>
  <c r="AQ9" i="40"/>
  <c r="AR9" i="40" s="1"/>
  <c r="AQ8" i="40"/>
  <c r="AR8" i="40" s="1"/>
  <c r="AQ6" i="40"/>
  <c r="AR6" i="40" s="1"/>
  <c r="AQ4" i="40"/>
  <c r="AR4" i="40" s="1"/>
  <c r="AQ2" i="40"/>
  <c r="AT2" i="40"/>
  <c r="AQ15" i="40"/>
  <c r="AR15" i="40" s="1"/>
  <c r="AQ13" i="40"/>
  <c r="AR13" i="40" s="1"/>
  <c r="AQ12" i="40"/>
  <c r="AR12" i="40" s="1"/>
  <c r="AQ7" i="40"/>
  <c r="AR7" i="40" s="1"/>
  <c r="AQ5" i="40"/>
  <c r="AR5" i="40" s="1"/>
  <c r="AQ3" i="40"/>
  <c r="AR3" i="40" s="1"/>
  <c r="AD15" i="40"/>
  <c r="AE15" i="40" s="1"/>
  <c r="AD14" i="40"/>
  <c r="AE14" i="40" s="1"/>
  <c r="AD11" i="40"/>
  <c r="AE11" i="40" s="1"/>
  <c r="AD9" i="40"/>
  <c r="AE9" i="40" s="1"/>
  <c r="AD6" i="40"/>
  <c r="AE6" i="40" s="1"/>
  <c r="AD5" i="40"/>
  <c r="AE5" i="40" s="1"/>
  <c r="AD3" i="40"/>
  <c r="AE3" i="40" s="1"/>
  <c r="AG2" i="40"/>
  <c r="AD12" i="40"/>
  <c r="AE12" i="40" s="1"/>
  <c r="AD7" i="40"/>
  <c r="AE7" i="40" s="1"/>
  <c r="AD4" i="40"/>
  <c r="AE4" i="40" s="1"/>
  <c r="AD13" i="40"/>
  <c r="AE13" i="40" s="1"/>
  <c r="AD10" i="40"/>
  <c r="AE10" i="40" s="1"/>
  <c r="AD8" i="40"/>
  <c r="AE8" i="40" s="1"/>
  <c r="AD2" i="40"/>
  <c r="P6" i="40"/>
  <c r="Q6" i="40" s="1"/>
  <c r="P3" i="40"/>
  <c r="Q3" i="40" s="1"/>
  <c r="S2" i="40"/>
  <c r="P2" i="40"/>
  <c r="P15" i="40"/>
  <c r="Q15" i="40" s="1"/>
  <c r="P14" i="40"/>
  <c r="Q14" i="40" s="1"/>
  <c r="P10" i="40"/>
  <c r="Q10" i="40" s="1"/>
  <c r="P8" i="40"/>
  <c r="Q8" i="40" s="1"/>
  <c r="P5" i="40"/>
  <c r="Q5" i="40" s="1"/>
  <c r="P4" i="40"/>
  <c r="Q4" i="40" s="1"/>
  <c r="P13" i="40"/>
  <c r="Q13" i="40" s="1"/>
  <c r="P12" i="40"/>
  <c r="Q12" i="40" s="1"/>
  <c r="P11" i="40"/>
  <c r="Q11" i="40" s="1"/>
  <c r="P9" i="40"/>
  <c r="Q9" i="40" s="1"/>
  <c r="P7" i="40"/>
  <c r="Q7" i="40" s="1"/>
  <c r="H2" i="40"/>
  <c r="E5" i="40"/>
  <c r="F5" i="40" s="1"/>
  <c r="E8" i="40"/>
  <c r="F8" i="40" s="1"/>
  <c r="E13" i="40"/>
  <c r="F13" i="40" s="1"/>
  <c r="E4" i="40"/>
  <c r="F4" i="40" s="1"/>
  <c r="E9" i="40"/>
  <c r="F9" i="40" s="1"/>
  <c r="E11" i="40"/>
  <c r="F11" i="40" s="1"/>
  <c r="E15" i="40"/>
  <c r="F15" i="40" s="1"/>
  <c r="E2" i="40"/>
  <c r="E3" i="40"/>
  <c r="F3" i="40" s="1"/>
  <c r="E7" i="40"/>
  <c r="F7" i="40" s="1"/>
  <c r="E14" i="40"/>
  <c r="F14" i="40" s="1"/>
  <c r="E6" i="40"/>
  <c r="F6" i="40" s="1"/>
  <c r="E10" i="40"/>
  <c r="F10" i="40" s="1"/>
  <c r="E12" i="40"/>
  <c r="F12" i="40" s="1"/>
  <c r="E2" i="38"/>
  <c r="D133" i="38"/>
  <c r="E2" i="37"/>
  <c r="D135" i="37"/>
  <c r="D137" i="36"/>
  <c r="E2" i="36"/>
  <c r="D136" i="33"/>
  <c r="E2" i="33"/>
  <c r="E11" i="26"/>
  <c r="F11" i="26" s="1"/>
  <c r="D138" i="26"/>
  <c r="E2" i="26"/>
  <c r="AR6" i="45" l="1"/>
  <c r="Q16" i="40"/>
  <c r="AQ18" i="49"/>
  <c r="AR2" i="49"/>
  <c r="AR18" i="49" s="1"/>
  <c r="AD18" i="49"/>
  <c r="AE2" i="49"/>
  <c r="AE18" i="49" s="1"/>
  <c r="P18" i="49"/>
  <c r="Q2" i="49"/>
  <c r="Q18" i="49" s="1"/>
  <c r="F2" i="49"/>
  <c r="F18" i="49" s="1"/>
  <c r="E18" i="49"/>
  <c r="AQ18" i="45"/>
  <c r="AR2" i="45"/>
  <c r="AR18" i="45" s="1"/>
  <c r="AE2" i="45"/>
  <c r="AE18" i="45" s="1"/>
  <c r="AD18" i="45"/>
  <c r="Q2" i="45"/>
  <c r="Q18" i="45" s="1"/>
  <c r="P18" i="45"/>
  <c r="F2" i="45"/>
  <c r="F18" i="45" s="1"/>
  <c r="E18" i="45"/>
  <c r="AR2" i="40"/>
  <c r="AR17" i="40" s="1"/>
  <c r="AQ17" i="40"/>
  <c r="AD17" i="40"/>
  <c r="AE2" i="40"/>
  <c r="AE17" i="40" s="1"/>
  <c r="F2" i="40"/>
  <c r="F17" i="40" s="1"/>
  <c r="E17" i="40"/>
  <c r="P17" i="40"/>
  <c r="Q2" i="40"/>
  <c r="F2" i="38"/>
  <c r="F133" i="38" s="1"/>
  <c r="E133" i="38"/>
  <c r="E135" i="37"/>
  <c r="F2" i="37"/>
  <c r="F135" i="37" s="1"/>
  <c r="F2" i="36"/>
  <c r="F137" i="36" s="1"/>
  <c r="E137" i="36"/>
  <c r="E136" i="33"/>
  <c r="F2" i="33"/>
  <c r="F136" i="33" s="1"/>
  <c r="E138" i="26"/>
  <c r="F2" i="26"/>
  <c r="F138" i="26" s="1"/>
  <c r="Q17" i="40" l="1"/>
</calcChain>
</file>

<file path=xl/sharedStrings.xml><?xml version="1.0" encoding="utf-8"?>
<sst xmlns="http://schemas.openxmlformats.org/spreadsheetml/2006/main" count="1299" uniqueCount="178">
  <si>
    <t>Bias</t>
  </si>
  <si>
    <t>MAE</t>
  </si>
  <si>
    <t>RMSE</t>
  </si>
  <si>
    <t>R</t>
  </si>
  <si>
    <t>R2</t>
  </si>
  <si>
    <t>Perfect line</t>
  </si>
  <si>
    <t>Name</t>
  </si>
  <si>
    <t>M4_L8_D1</t>
  </si>
  <si>
    <t>M4_L9_D1</t>
  </si>
  <si>
    <t>M4_L10_D1</t>
  </si>
  <si>
    <t>M4_L11_D1</t>
  </si>
  <si>
    <t>M4_L12_D1</t>
  </si>
  <si>
    <t>M4_L13_D1</t>
  </si>
  <si>
    <t>M4_L14_D1</t>
  </si>
  <si>
    <t>M4_L16_D1</t>
  </si>
  <si>
    <t>M4_L23_D1</t>
  </si>
  <si>
    <t>M4_L24_D1</t>
  </si>
  <si>
    <t>M4_L25_D1</t>
  </si>
  <si>
    <t>M4_L26_D1</t>
  </si>
  <si>
    <t>M4_L27_D1</t>
  </si>
  <si>
    <t>M4_L28_D1</t>
  </si>
  <si>
    <t>M4_L29_D1</t>
  </si>
  <si>
    <t>M4_L30_D1</t>
  </si>
  <si>
    <t>M4_L31_D1</t>
  </si>
  <si>
    <t>M4_L32_D1</t>
  </si>
  <si>
    <t>M4_L35_D1</t>
  </si>
  <si>
    <t>M4_L36_D1</t>
  </si>
  <si>
    <t>M4_L37_D1</t>
  </si>
  <si>
    <t>M4_L38_D1</t>
  </si>
  <si>
    <t>M4_L40_D1</t>
  </si>
  <si>
    <t>M4_L41_D1</t>
  </si>
  <si>
    <t>M4_L42_D1</t>
  </si>
  <si>
    <t>M4_L46_D1</t>
  </si>
  <si>
    <t>M4_L47_D1</t>
  </si>
  <si>
    <t>M4_L48_D1</t>
  </si>
  <si>
    <t>M4_L49_D1</t>
  </si>
  <si>
    <t>M4_L50_D1</t>
  </si>
  <si>
    <t>M4_L51_D1</t>
  </si>
  <si>
    <t>M4_L52_D1</t>
  </si>
  <si>
    <t>M4_L53_D1</t>
  </si>
  <si>
    <t>M4_L54_D1</t>
  </si>
  <si>
    <t>M4_L55_D1</t>
  </si>
  <si>
    <t>M4_L56_D1</t>
  </si>
  <si>
    <t>M4_L57_D1</t>
  </si>
  <si>
    <t>M4_L58_D1</t>
  </si>
  <si>
    <t>M4_L59_D1</t>
  </si>
  <si>
    <t>M4_L60_D1</t>
  </si>
  <si>
    <t>M4_L61_D1</t>
  </si>
  <si>
    <t>M4_L62_D1</t>
  </si>
  <si>
    <t>M4_L63_D1</t>
  </si>
  <si>
    <t>M4_L64_D1</t>
  </si>
  <si>
    <t>M4_L65_D1</t>
  </si>
  <si>
    <t>M4_L66_D1</t>
  </si>
  <si>
    <t>M4_L67_D1</t>
  </si>
  <si>
    <t>M4_L70_D1</t>
  </si>
  <si>
    <t>M4_L71_D1</t>
  </si>
  <si>
    <t>M4_L72_D1</t>
  </si>
  <si>
    <t>M4_L73_D1</t>
  </si>
  <si>
    <t>M4_L74_D1</t>
  </si>
  <si>
    <t>M4_L78_D1</t>
  </si>
  <si>
    <t>M4_L79_D1</t>
  </si>
  <si>
    <t>M4_L80_D1</t>
  </si>
  <si>
    <t>M4_L81_D1</t>
  </si>
  <si>
    <t>M4_L82_D1</t>
  </si>
  <si>
    <t>M4_L83_D1</t>
  </si>
  <si>
    <t>M4_L84_D1</t>
  </si>
  <si>
    <t>M4_L85_D1</t>
  </si>
  <si>
    <t>M4_L86_D1</t>
  </si>
  <si>
    <t>M4_L92_D1</t>
  </si>
  <si>
    <t>M4_L93_D1</t>
  </si>
  <si>
    <t>M4_L94_D1</t>
  </si>
  <si>
    <t>M4_L95_D1</t>
  </si>
  <si>
    <t>M4_L96_D1</t>
  </si>
  <si>
    <t>M4_L97_D1</t>
  </si>
  <si>
    <t>M4_L98_D1</t>
  </si>
  <si>
    <t>M4_L99_D1</t>
  </si>
  <si>
    <t>M4_L100_D1</t>
  </si>
  <si>
    <t>M4_L101_D1</t>
  </si>
  <si>
    <t>M4_L102_D1</t>
  </si>
  <si>
    <t>M4_L103_D1</t>
  </si>
  <si>
    <t>M4_L104_D1</t>
  </si>
  <si>
    <t>M4_L106_D1</t>
  </si>
  <si>
    <t>M4_L108_D1</t>
  </si>
  <si>
    <t>M4_L109_D1</t>
  </si>
  <si>
    <t>M4_L110_D1</t>
  </si>
  <si>
    <t>M4_L113_D1</t>
  </si>
  <si>
    <t>M4_L114_D1</t>
  </si>
  <si>
    <t>M4_L115_D1</t>
  </si>
  <si>
    <t>M4_L116_D1</t>
  </si>
  <si>
    <t>M4_L117_D1</t>
  </si>
  <si>
    <t>M4_L118_D1</t>
  </si>
  <si>
    <t>M4_L119_D1</t>
  </si>
  <si>
    <t>M4_L120_D1</t>
  </si>
  <si>
    <t>M4_L121_D1</t>
  </si>
  <si>
    <t>M4_L122_D1</t>
  </si>
  <si>
    <t>M4_L123_D1</t>
  </si>
  <si>
    <t>M4_L124_D1</t>
  </si>
  <si>
    <t>M4_L125_D1</t>
  </si>
  <si>
    <t>M4_L126_D1</t>
  </si>
  <si>
    <t>M4_L127_D1</t>
  </si>
  <si>
    <t>M4_L128_D1</t>
  </si>
  <si>
    <t>M4_L129_D1</t>
  </si>
  <si>
    <t>M4_L130_D1</t>
  </si>
  <si>
    <t>M4_L131_D1</t>
  </si>
  <si>
    <t>M4_L132_D1</t>
  </si>
  <si>
    <t>M4_L133_D1</t>
  </si>
  <si>
    <t>M4_L134_D1</t>
  </si>
  <si>
    <t>M4_L137_D1</t>
  </si>
  <si>
    <t>M4_L138_D1</t>
  </si>
  <si>
    <t>M4_L139_D1</t>
  </si>
  <si>
    <t>M4_L140_D1</t>
  </si>
  <si>
    <t>M4_L141_D1</t>
  </si>
  <si>
    <t>M4_L142_D1</t>
  </si>
  <si>
    <t>M4_L1_D1</t>
  </si>
  <si>
    <t>M4_L2_D1</t>
  </si>
  <si>
    <t>M4_L3_D1</t>
  </si>
  <si>
    <t>M4_L4_D1</t>
  </si>
  <si>
    <t>M4_L5_D1</t>
  </si>
  <si>
    <t>M4_L7_D1</t>
  </si>
  <si>
    <t>M4_L15_D1</t>
  </si>
  <si>
    <t>M4_L17_D1</t>
  </si>
  <si>
    <t>M4_L18_D1</t>
  </si>
  <si>
    <t>M4_L19_D1</t>
  </si>
  <si>
    <t>M4_L20_D1</t>
  </si>
  <si>
    <t>M4_L21_D1</t>
  </si>
  <si>
    <t>M4_L22_D1</t>
  </si>
  <si>
    <t>M4_L39_D1</t>
  </si>
  <si>
    <t>M4_L43_D1</t>
  </si>
  <si>
    <t>M4_L44_D1</t>
  </si>
  <si>
    <t>M4_L68_D1</t>
  </si>
  <si>
    <t>M4_L69_D1</t>
  </si>
  <si>
    <t>M4_L75_D1</t>
  </si>
  <si>
    <t>M4_L76_D1</t>
  </si>
  <si>
    <t>M4_L77_D1</t>
  </si>
  <si>
    <t>M4_L87_D1</t>
  </si>
  <si>
    <t>M4_L88_D1</t>
  </si>
  <si>
    <t>M4_L89_D1</t>
  </si>
  <si>
    <t>M4_L90_D1</t>
  </si>
  <si>
    <t>M4_L91_D1</t>
  </si>
  <si>
    <t>M4_L111_D1</t>
  </si>
  <si>
    <t>M4_L112_D1</t>
  </si>
  <si>
    <t>M4_L135_D1</t>
  </si>
  <si>
    <t>M4_L136_D1</t>
  </si>
  <si>
    <t>Carbene_Angle_1_2</t>
  </si>
  <si>
    <t>Angle_L1g_1-L1g_2</t>
  </si>
  <si>
    <t>Angle_L1g_1-Diazo_carbon</t>
  </si>
  <si>
    <t>Angle_L1g_2-Diazo_carbon</t>
  </si>
  <si>
    <t>Angle_L4g_1-L4g_2</t>
  </si>
  <si>
    <t>Angle_L4g_1-L4g_3</t>
  </si>
  <si>
    <t>Angle_L4g_1-Diazo_carbon</t>
  </si>
  <si>
    <t>xTB_Carbene_Angle_1_2</t>
  </si>
  <si>
    <t>DFT_arbene_Angle_1_2</t>
  </si>
  <si>
    <t>DFT_Carbene_Angle_1_2</t>
  </si>
  <si>
    <t>DFT_Angle_L10g_1-L10g_2</t>
  </si>
  <si>
    <t>DFT_Angle_L10g_1-Diazo_carbon</t>
  </si>
  <si>
    <t>DFT_Angle_L10g_2-Diazo_carbon</t>
  </si>
  <si>
    <t>xTB_Angle_L10g_1-L10g_2</t>
  </si>
  <si>
    <t>xTB_Angle_L10g_1-Diazo_carbon</t>
  </si>
  <si>
    <t>xTB_Angle_L10g_2-Diazo_carbon</t>
  </si>
  <si>
    <t>xTB_Angle_L27g_1-L27g_2</t>
  </si>
  <si>
    <t>xTB_Angle_L27g_1-Diazo_carbon</t>
  </si>
  <si>
    <t>xTB_Angle_L27g_2-Diazo_carbon</t>
  </si>
  <si>
    <t>DFT_Angle_L27g_1-L27g_2</t>
  </si>
  <si>
    <t>DFT_Angle_L27g_1-Diazo_carbon</t>
  </si>
  <si>
    <t>DFT_Angle_L27g_2-Diazo_carbon</t>
  </si>
  <si>
    <t>xTB_Angle_L50g_1-L50g_2</t>
  </si>
  <si>
    <t>DFT_Angle_L50g_1-L50g_2</t>
  </si>
  <si>
    <t>xTB_Angle_L50g_1-Diazo_carbon</t>
  </si>
  <si>
    <t>DFT_Angle_L50g_1-Diazo_carbon</t>
  </si>
  <si>
    <t>xTB_Angle_L50g_2-Diazo_carbon</t>
  </si>
  <si>
    <t>DFT_Angle_L50g_2-Diazo_carbon</t>
  </si>
  <si>
    <t>L13, L81 removed</t>
  </si>
  <si>
    <t>Angle_Lng_1-Diazo_carbon</t>
  </si>
  <si>
    <t>xTB_Angle_Lng_1-Diazo_carbon</t>
  </si>
  <si>
    <t>xTB_Angle_Lng_2-Diazo_carbon</t>
  </si>
  <si>
    <t>DFT_Angle_Lng_2-Diazo_carbon</t>
  </si>
  <si>
    <t>xTB_Angle_Lng_1-Lng_2</t>
  </si>
  <si>
    <t>DFT_Angle_Lng_1-Lng_2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</si>
</sst>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readingOrder="1"/>
    </xf>
    <xf numFmtId="0" fontId="2" fillId="0" borderId="0" xfId="0" applyFont="1"/>
    <xf numFmtId="0" fontId="0" fillId="2" borderId="0" xfId="0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IN" sz="1600" b="1" i="0" u="none" strike="noStrike" kern="1200" spc="0" baseline="0">
                <a:solidFill>
                  <a:sysClr val="windowText" lastClr="000000"/>
                </a:solidFill>
                <a:effectLst/>
                <a:latin typeface="+mn-lt"/>
              </a:rPr>
              <a:t>Angle </a:t>
            </a:r>
            <a:r>
              <a:rPr lang="el-GR" sz="1600" b="1" i="0" u="none" strike="noStrike" kern="1200" spc="0" baseline="0">
                <a:solidFill>
                  <a:sysClr val="windowText" lastClr="000000"/>
                </a:solidFill>
                <a:effectLst/>
                <a:latin typeface="+mn-lt"/>
                <a:cs typeface="Times New Roman" panose="02020603050405020304" pitchFamily="18" charset="0"/>
              </a:rPr>
              <a:t>α</a:t>
            </a:r>
            <a:r>
              <a:rPr lang="en-IN" sz="1600" b="1" i="0" u="none" strike="noStrike" kern="1200" spc="0" baseline="0">
                <a:solidFill>
                  <a:sysClr val="windowText" lastClr="000000"/>
                </a:solidFill>
                <a:effectLst/>
                <a:latin typeface="+mn-lt"/>
              </a:rPr>
              <a:t> </a:t>
            </a:r>
            <a:r>
              <a:rPr lang="en-US" sz="1600" b="1">
                <a:solidFill>
                  <a:sysClr val="windowText" lastClr="000000"/>
                </a:solidFill>
                <a:latin typeface="+mn-lt"/>
              </a:rPr>
              <a:t>  </a:t>
            </a:r>
          </a:p>
        </c:rich>
      </c:tx>
      <c:layout>
        <c:manualLayout>
          <c:xMode val="edge"/>
          <c:yMode val="edge"/>
          <c:x val="0.3953028565604057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6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0.11024692301811788"/>
          <c:y val="0.17374999999999999"/>
          <c:w val="0.84452666717631175"/>
          <c:h val="0.53841243802857974"/>
        </c:manualLayout>
      </c:layout>
      <c:scatterChart>
        <c:scatterStyle val="lineMarker"/>
        <c:varyColors val="0"/>
        <c:ser>
          <c:idx val="0"/>
          <c:order val="0"/>
          <c:tx>
            <c:v>Data points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25400" cap="rnd">
                <a:solidFill>
                  <a:schemeClr val="accent6">
                    <a:lumMod val="75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7254187470989079"/>
                  <c:y val="-0.24813466025080197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1000" b="1" i="0" u="none" strike="noStrike" kern="1200" baseline="0">
                        <a:solidFill>
                          <a:sysClr val="windowText" lastClr="00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l-GR" sz="1000" b="1" baseline="0"/>
                      <a:t>α</a:t>
                    </a:r>
                    <a:r>
                      <a:rPr lang="en-US" sz="1000" b="1" baseline="-25000"/>
                      <a:t>DFT </a:t>
                    </a:r>
                    <a:r>
                      <a:rPr lang="en-US" sz="1000" b="1" baseline="0"/>
                      <a:t>= 0.10</a:t>
                    </a:r>
                    <a:r>
                      <a:rPr lang="el-GR" sz="1000" b="1" baseline="0"/>
                      <a:t>α</a:t>
                    </a:r>
                    <a:r>
                      <a:rPr lang="en-US" sz="1000" b="1" baseline="-25000"/>
                      <a:t>xTB</a:t>
                    </a:r>
                    <a:r>
                      <a:rPr lang="en-US" sz="1000" b="1" baseline="0"/>
                      <a:t> </a:t>
                    </a:r>
                    <a:r>
                      <a:rPr lang="en-US" sz="1000" b="1" i="0" u="none" strike="noStrike" baseline="0">
                        <a:effectLst/>
                      </a:rPr>
                      <a:t>+ 105.71</a:t>
                    </a:r>
                    <a:br>
                      <a:rPr lang="en-US" sz="1000" b="1" baseline="0"/>
                    </a:br>
                    <a:r>
                      <a:rPr lang="en-US" sz="1000" b="1" baseline="0"/>
                      <a:t>R² = 0.12</a:t>
                    </a:r>
                  </a:p>
                  <a:p>
                    <a:pPr>
                      <a:defRPr sz="1000" b="1">
                        <a:solidFill>
                          <a:sysClr val="windowText" lastClr="000000"/>
                        </a:solidFill>
                      </a:defRPr>
                    </a:pPr>
                    <a:r>
                      <a:rPr lang="en-US" sz="1000" b="1" baseline="0"/>
                      <a:t>Pearson R = 0.35</a:t>
                    </a:r>
                  </a:p>
                  <a:p>
                    <a:pPr>
                      <a:defRPr sz="1000" b="1">
                        <a:solidFill>
                          <a:sysClr val="windowText" lastClr="000000"/>
                        </a:solidFill>
                      </a:defRPr>
                    </a:pPr>
                    <a:r>
                      <a:rPr lang="en-US" sz="1000" b="1" baseline="0"/>
                      <a:t>MAE = 1.63</a:t>
                    </a:r>
                    <a:r>
                      <a:rPr lang="en-IN" sz="1000" b="0" i="0" u="none" strike="noStrike" baseline="0">
                        <a:effectLst/>
                      </a:rPr>
                      <a:t>°</a:t>
                    </a:r>
                    <a:endParaRPr lang="en-US" sz="1000" b="1" baseline="0"/>
                  </a:p>
                  <a:p>
                    <a:pPr>
                      <a:defRPr sz="1000" b="1">
                        <a:solidFill>
                          <a:sysClr val="windowText" lastClr="000000"/>
                        </a:solidFill>
                      </a:defRPr>
                    </a:pPr>
                    <a:r>
                      <a:rPr lang="en-US" sz="1000" b="1" baseline="0"/>
                      <a:t>RMSE = 2.65</a:t>
                    </a:r>
                    <a:r>
                      <a:rPr lang="en-IN" sz="1000" b="0" i="0" u="none" strike="noStrike" baseline="0">
                        <a:effectLst/>
                      </a:rPr>
                      <a:t>°</a:t>
                    </a:r>
                    <a:endParaRPr lang="en-US" sz="1000" b="1" baseline="0"/>
                  </a:p>
                  <a:p>
                    <a:pPr>
                      <a:defRPr sz="1000" b="1">
                        <a:solidFill>
                          <a:sysClr val="windowText" lastClr="000000"/>
                        </a:solidFill>
                      </a:defRPr>
                    </a:pPr>
                    <a:r>
                      <a:rPr lang="en-US" sz="1000" b="1" baseline="0"/>
                      <a:t>N = 136</a:t>
                    </a:r>
                  </a:p>
                </c:rich>
              </c:tx>
              <c:numFmt formatCode="General" sourceLinked="0"/>
              <c:spPr>
                <a:solidFill>
                  <a:schemeClr val="bg1">
                    <a:lumMod val="9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'C-Cu-C angle alpha'!$B$2:$B$137</c:f>
              <c:numCache>
                <c:formatCode>General</c:formatCode>
                <c:ptCount val="136"/>
                <c:pt idx="0">
                  <c:v>116.7731071</c:v>
                </c:pt>
                <c:pt idx="1">
                  <c:v>116.4442801</c:v>
                </c:pt>
                <c:pt idx="2">
                  <c:v>116.6953041</c:v>
                </c:pt>
                <c:pt idx="3">
                  <c:v>118.0497763</c:v>
                </c:pt>
                <c:pt idx="4">
                  <c:v>117.9294915</c:v>
                </c:pt>
                <c:pt idx="5">
                  <c:v>117.554564</c:v>
                </c:pt>
                <c:pt idx="6">
                  <c:v>117.3498712</c:v>
                </c:pt>
                <c:pt idx="7">
                  <c:v>118.81107230000001</c:v>
                </c:pt>
                <c:pt idx="8">
                  <c:v>116.26892960000001</c:v>
                </c:pt>
                <c:pt idx="9">
                  <c:v>116.83102270000001</c:v>
                </c:pt>
                <c:pt idx="10">
                  <c:v>116.73299489999999</c:v>
                </c:pt>
                <c:pt idx="11">
                  <c:v>131.31039730000001</c:v>
                </c:pt>
                <c:pt idx="12">
                  <c:v>116.7945934</c:v>
                </c:pt>
                <c:pt idx="13">
                  <c:v>116.92733680000001</c:v>
                </c:pt>
                <c:pt idx="14">
                  <c:v>116.9029177</c:v>
                </c:pt>
                <c:pt idx="15">
                  <c:v>126.8680725</c:v>
                </c:pt>
                <c:pt idx="16">
                  <c:v>116.5623767</c:v>
                </c:pt>
                <c:pt idx="17">
                  <c:v>117.9015332</c:v>
                </c:pt>
                <c:pt idx="18">
                  <c:v>118.68592289999999</c:v>
                </c:pt>
                <c:pt idx="19">
                  <c:v>117.20349760000001</c:v>
                </c:pt>
                <c:pt idx="20">
                  <c:v>116.5727991</c:v>
                </c:pt>
                <c:pt idx="21">
                  <c:v>114.62505779999999</c:v>
                </c:pt>
                <c:pt idx="22">
                  <c:v>115.6987353</c:v>
                </c:pt>
                <c:pt idx="23">
                  <c:v>115.6850625</c:v>
                </c:pt>
                <c:pt idx="24">
                  <c:v>127.4962195</c:v>
                </c:pt>
                <c:pt idx="25">
                  <c:v>115.8390974</c:v>
                </c:pt>
                <c:pt idx="26">
                  <c:v>116.5496658</c:v>
                </c:pt>
                <c:pt idx="27">
                  <c:v>115.77441</c:v>
                </c:pt>
                <c:pt idx="28">
                  <c:v>116.382017</c:v>
                </c:pt>
                <c:pt idx="29">
                  <c:v>127.6767846</c:v>
                </c:pt>
                <c:pt idx="30">
                  <c:v>117.2586891</c:v>
                </c:pt>
                <c:pt idx="31">
                  <c:v>117.5996313</c:v>
                </c:pt>
                <c:pt idx="32">
                  <c:v>117.83830089999999</c:v>
                </c:pt>
                <c:pt idx="33">
                  <c:v>116.7501961</c:v>
                </c:pt>
                <c:pt idx="34">
                  <c:v>117.41134169999999</c:v>
                </c:pt>
                <c:pt idx="35">
                  <c:v>124.6949829</c:v>
                </c:pt>
                <c:pt idx="36">
                  <c:v>117.37183640000001</c:v>
                </c:pt>
                <c:pt idx="37">
                  <c:v>116.39676969999999</c:v>
                </c:pt>
                <c:pt idx="38">
                  <c:v>117.3636004</c:v>
                </c:pt>
                <c:pt idx="39">
                  <c:v>116.14260280000001</c:v>
                </c:pt>
                <c:pt idx="40">
                  <c:v>115.37326830000001</c:v>
                </c:pt>
                <c:pt idx="41">
                  <c:v>116.6173763</c:v>
                </c:pt>
                <c:pt idx="42">
                  <c:v>116.9218317</c:v>
                </c:pt>
                <c:pt idx="43">
                  <c:v>113.8417153</c:v>
                </c:pt>
                <c:pt idx="44">
                  <c:v>117.5824217</c:v>
                </c:pt>
                <c:pt idx="45">
                  <c:v>117.7519717</c:v>
                </c:pt>
                <c:pt idx="46">
                  <c:v>119.0737026</c:v>
                </c:pt>
                <c:pt idx="47">
                  <c:v>117.0203386</c:v>
                </c:pt>
                <c:pt idx="48">
                  <c:v>117.55285670000001</c:v>
                </c:pt>
                <c:pt idx="49">
                  <c:v>119.0532348</c:v>
                </c:pt>
                <c:pt idx="50">
                  <c:v>117.86492079999999</c:v>
                </c:pt>
                <c:pt idx="51">
                  <c:v>117.2112039</c:v>
                </c:pt>
                <c:pt idx="52">
                  <c:v>117.0443004</c:v>
                </c:pt>
                <c:pt idx="53">
                  <c:v>116.7298395</c:v>
                </c:pt>
                <c:pt idx="54">
                  <c:v>117.2689577</c:v>
                </c:pt>
                <c:pt idx="55">
                  <c:v>117.99891460000001</c:v>
                </c:pt>
                <c:pt idx="56">
                  <c:v>118.3977615</c:v>
                </c:pt>
                <c:pt idx="57">
                  <c:v>115.7075437</c:v>
                </c:pt>
                <c:pt idx="58">
                  <c:v>117.5808249</c:v>
                </c:pt>
                <c:pt idx="59">
                  <c:v>118.44145640000001</c:v>
                </c:pt>
                <c:pt idx="60">
                  <c:v>116.3483744</c:v>
                </c:pt>
                <c:pt idx="61">
                  <c:v>117.04548939999999</c:v>
                </c:pt>
                <c:pt idx="62">
                  <c:v>117.28887469999999</c:v>
                </c:pt>
                <c:pt idx="63">
                  <c:v>116.91677489999999</c:v>
                </c:pt>
                <c:pt idx="64">
                  <c:v>115.85876020000001</c:v>
                </c:pt>
                <c:pt idx="65">
                  <c:v>116.8770013</c:v>
                </c:pt>
                <c:pt idx="66">
                  <c:v>118.5501385</c:v>
                </c:pt>
                <c:pt idx="67">
                  <c:v>116.26394999999999</c:v>
                </c:pt>
                <c:pt idx="68">
                  <c:v>117.02878010000001</c:v>
                </c:pt>
                <c:pt idx="69">
                  <c:v>115.73702249999999</c:v>
                </c:pt>
                <c:pt idx="70">
                  <c:v>116.5477513</c:v>
                </c:pt>
                <c:pt idx="71">
                  <c:v>116.724802</c:v>
                </c:pt>
                <c:pt idx="72">
                  <c:v>116.73090980000001</c:v>
                </c:pt>
                <c:pt idx="73">
                  <c:v>117.3857592</c:v>
                </c:pt>
                <c:pt idx="74">
                  <c:v>118.337242</c:v>
                </c:pt>
                <c:pt idx="75">
                  <c:v>117.98971969999999</c:v>
                </c:pt>
                <c:pt idx="76">
                  <c:v>114.9945057</c:v>
                </c:pt>
                <c:pt idx="77">
                  <c:v>116.4310936</c:v>
                </c:pt>
                <c:pt idx="78">
                  <c:v>114.7025277</c:v>
                </c:pt>
                <c:pt idx="79">
                  <c:v>116.7115506</c:v>
                </c:pt>
                <c:pt idx="80">
                  <c:v>115.6750421</c:v>
                </c:pt>
                <c:pt idx="81">
                  <c:v>116.8801325</c:v>
                </c:pt>
                <c:pt idx="82">
                  <c:v>118.077389</c:v>
                </c:pt>
                <c:pt idx="83">
                  <c:v>117.3994539</c:v>
                </c:pt>
                <c:pt idx="84">
                  <c:v>119.309139</c:v>
                </c:pt>
                <c:pt idx="85">
                  <c:v>116.49630550000001</c:v>
                </c:pt>
                <c:pt idx="86">
                  <c:v>117.73478040000001</c:v>
                </c:pt>
                <c:pt idx="87">
                  <c:v>128.78161180000001</c:v>
                </c:pt>
                <c:pt idx="88">
                  <c:v>115.64454720000001</c:v>
                </c:pt>
                <c:pt idx="89">
                  <c:v>129.5547646</c:v>
                </c:pt>
                <c:pt idx="90">
                  <c:v>115.62260209999999</c:v>
                </c:pt>
                <c:pt idx="91">
                  <c:v>115.9921307</c:v>
                </c:pt>
                <c:pt idx="92">
                  <c:v>116.5260638</c:v>
                </c:pt>
                <c:pt idx="93">
                  <c:v>116.27313839999999</c:v>
                </c:pt>
                <c:pt idx="94">
                  <c:v>117.2999927</c:v>
                </c:pt>
                <c:pt idx="95">
                  <c:v>116.52079329999999</c:v>
                </c:pt>
                <c:pt idx="96">
                  <c:v>115.90619220000001</c:v>
                </c:pt>
                <c:pt idx="97">
                  <c:v>121.2719644</c:v>
                </c:pt>
                <c:pt idx="98">
                  <c:v>118.6215567</c:v>
                </c:pt>
                <c:pt idx="99">
                  <c:v>124.02988259999999</c:v>
                </c:pt>
                <c:pt idx="100">
                  <c:v>118.0047579</c:v>
                </c:pt>
                <c:pt idx="101">
                  <c:v>119.74538920000001</c:v>
                </c:pt>
                <c:pt idx="102">
                  <c:v>119.48541059999999</c:v>
                </c:pt>
                <c:pt idx="103">
                  <c:v>116.0616777</c:v>
                </c:pt>
                <c:pt idx="104">
                  <c:v>116.0861902</c:v>
                </c:pt>
                <c:pt idx="105">
                  <c:v>115.3213021</c:v>
                </c:pt>
                <c:pt idx="106">
                  <c:v>114.83924690000001</c:v>
                </c:pt>
                <c:pt idx="107">
                  <c:v>116.5916142</c:v>
                </c:pt>
                <c:pt idx="108">
                  <c:v>116.71749749999999</c:v>
                </c:pt>
                <c:pt idx="109">
                  <c:v>117.00122930000001</c:v>
                </c:pt>
                <c:pt idx="110">
                  <c:v>116.7528346</c:v>
                </c:pt>
                <c:pt idx="111">
                  <c:v>120.0409125</c:v>
                </c:pt>
                <c:pt idx="112">
                  <c:v>118.627489</c:v>
                </c:pt>
                <c:pt idx="113">
                  <c:v>116.76676519999999</c:v>
                </c:pt>
                <c:pt idx="114">
                  <c:v>116.81171929999999</c:v>
                </c:pt>
                <c:pt idx="115">
                  <c:v>116.8899905</c:v>
                </c:pt>
                <c:pt idx="116">
                  <c:v>119.78465749999999</c:v>
                </c:pt>
                <c:pt idx="117">
                  <c:v>121.10557900000001</c:v>
                </c:pt>
                <c:pt idx="118">
                  <c:v>118.412504</c:v>
                </c:pt>
                <c:pt idx="119">
                  <c:v>117.4149352</c:v>
                </c:pt>
                <c:pt idx="120">
                  <c:v>115.5108372</c:v>
                </c:pt>
                <c:pt idx="121">
                  <c:v>118.44769359999999</c:v>
                </c:pt>
                <c:pt idx="122">
                  <c:v>117.9747629</c:v>
                </c:pt>
                <c:pt idx="123">
                  <c:v>117.9646616</c:v>
                </c:pt>
                <c:pt idx="124">
                  <c:v>115.38627289999999</c:v>
                </c:pt>
                <c:pt idx="125">
                  <c:v>117.5949595</c:v>
                </c:pt>
                <c:pt idx="126">
                  <c:v>115.3862298</c:v>
                </c:pt>
                <c:pt idx="127">
                  <c:v>116.16148889999999</c:v>
                </c:pt>
                <c:pt idx="128">
                  <c:v>116.86625479999999</c:v>
                </c:pt>
                <c:pt idx="129">
                  <c:v>116.2699203</c:v>
                </c:pt>
                <c:pt idx="130">
                  <c:v>116.591278</c:v>
                </c:pt>
                <c:pt idx="131">
                  <c:v>116.5071526</c:v>
                </c:pt>
                <c:pt idx="132">
                  <c:v>116.83680459999999</c:v>
                </c:pt>
                <c:pt idx="133">
                  <c:v>116.3499241</c:v>
                </c:pt>
                <c:pt idx="134">
                  <c:v>115.4784104</c:v>
                </c:pt>
                <c:pt idx="135">
                  <c:v>115.35504299999999</c:v>
                </c:pt>
              </c:numCache>
            </c:numRef>
          </c:xVal>
          <c:yVal>
            <c:numRef>
              <c:f>'C-Cu-C angle alpha'!$C$2:$C$137</c:f>
              <c:numCache>
                <c:formatCode>General</c:formatCode>
                <c:ptCount val="136"/>
                <c:pt idx="0">
                  <c:v>117.682802</c:v>
                </c:pt>
                <c:pt idx="1">
                  <c:v>118.541769</c:v>
                </c:pt>
                <c:pt idx="2">
                  <c:v>117.9238088</c:v>
                </c:pt>
                <c:pt idx="3">
                  <c:v>117.6774085</c:v>
                </c:pt>
                <c:pt idx="4">
                  <c:v>118.91393789999999</c:v>
                </c:pt>
                <c:pt idx="5">
                  <c:v>117.76520050000001</c:v>
                </c:pt>
                <c:pt idx="6">
                  <c:v>117.9524857</c:v>
                </c:pt>
                <c:pt idx="7">
                  <c:v>118.85530780000001</c:v>
                </c:pt>
                <c:pt idx="8">
                  <c:v>118.0307656</c:v>
                </c:pt>
                <c:pt idx="9">
                  <c:v>118.80741020000001</c:v>
                </c:pt>
                <c:pt idx="10">
                  <c:v>118.1420226</c:v>
                </c:pt>
                <c:pt idx="11">
                  <c:v>117.3876774</c:v>
                </c:pt>
                <c:pt idx="12">
                  <c:v>118.0294718</c:v>
                </c:pt>
                <c:pt idx="13">
                  <c:v>118.4514971</c:v>
                </c:pt>
                <c:pt idx="14">
                  <c:v>118.1522217</c:v>
                </c:pt>
                <c:pt idx="15">
                  <c:v>119.7440744</c:v>
                </c:pt>
                <c:pt idx="16">
                  <c:v>117.9143325</c:v>
                </c:pt>
                <c:pt idx="17">
                  <c:v>119.0952444</c:v>
                </c:pt>
                <c:pt idx="18">
                  <c:v>118.5155666</c:v>
                </c:pt>
                <c:pt idx="19">
                  <c:v>117.31281389999999</c:v>
                </c:pt>
                <c:pt idx="20">
                  <c:v>118.71147929999999</c:v>
                </c:pt>
                <c:pt idx="21">
                  <c:v>116.08043739999999</c:v>
                </c:pt>
                <c:pt idx="22">
                  <c:v>117.6393355</c:v>
                </c:pt>
                <c:pt idx="23">
                  <c:v>117.66976870000001</c:v>
                </c:pt>
                <c:pt idx="24">
                  <c:v>117.6259183</c:v>
                </c:pt>
                <c:pt idx="25">
                  <c:v>117.1961364</c:v>
                </c:pt>
                <c:pt idx="26">
                  <c:v>117.57884079999999</c:v>
                </c:pt>
                <c:pt idx="27">
                  <c:v>117.6378775</c:v>
                </c:pt>
                <c:pt idx="28">
                  <c:v>117.94548930000001</c:v>
                </c:pt>
                <c:pt idx="29">
                  <c:v>120.8588051</c:v>
                </c:pt>
                <c:pt idx="30">
                  <c:v>118.24185129999999</c:v>
                </c:pt>
                <c:pt idx="31">
                  <c:v>118.0781771</c:v>
                </c:pt>
                <c:pt idx="32">
                  <c:v>119.1537747</c:v>
                </c:pt>
                <c:pt idx="33">
                  <c:v>118.18874340000001</c:v>
                </c:pt>
                <c:pt idx="34">
                  <c:v>116.2250559</c:v>
                </c:pt>
                <c:pt idx="35">
                  <c:v>120.5010138</c:v>
                </c:pt>
                <c:pt idx="36">
                  <c:v>118.1403656</c:v>
                </c:pt>
                <c:pt idx="37">
                  <c:v>119.6263725</c:v>
                </c:pt>
                <c:pt idx="38">
                  <c:v>117.76168989999999</c:v>
                </c:pt>
                <c:pt idx="39">
                  <c:v>118.0415979</c:v>
                </c:pt>
                <c:pt idx="40">
                  <c:v>117.40854539999999</c:v>
                </c:pt>
                <c:pt idx="41">
                  <c:v>118.0641548</c:v>
                </c:pt>
                <c:pt idx="42">
                  <c:v>117.4017369</c:v>
                </c:pt>
                <c:pt idx="43">
                  <c:v>116.9812653</c:v>
                </c:pt>
                <c:pt idx="44">
                  <c:v>117.529922</c:v>
                </c:pt>
                <c:pt idx="45">
                  <c:v>118.3646542</c:v>
                </c:pt>
                <c:pt idx="46">
                  <c:v>120.1669679</c:v>
                </c:pt>
                <c:pt idx="47">
                  <c:v>117.1232371</c:v>
                </c:pt>
                <c:pt idx="48">
                  <c:v>117.40173900000001</c:v>
                </c:pt>
                <c:pt idx="49">
                  <c:v>118.8006431</c:v>
                </c:pt>
                <c:pt idx="50">
                  <c:v>117.542317</c:v>
                </c:pt>
                <c:pt idx="51">
                  <c:v>118.0937077</c:v>
                </c:pt>
                <c:pt idx="52">
                  <c:v>117.9338958</c:v>
                </c:pt>
                <c:pt idx="53">
                  <c:v>118.9896296</c:v>
                </c:pt>
                <c:pt idx="54">
                  <c:v>117.9871819</c:v>
                </c:pt>
                <c:pt idx="55">
                  <c:v>118.8793328</c:v>
                </c:pt>
                <c:pt idx="56">
                  <c:v>118.61405600000001</c:v>
                </c:pt>
                <c:pt idx="57">
                  <c:v>117.14522119999999</c:v>
                </c:pt>
                <c:pt idx="58">
                  <c:v>117.9659542</c:v>
                </c:pt>
                <c:pt idx="59">
                  <c:v>117.3076167</c:v>
                </c:pt>
                <c:pt idx="60">
                  <c:v>117.8387346</c:v>
                </c:pt>
                <c:pt idx="61">
                  <c:v>117.3262029</c:v>
                </c:pt>
                <c:pt idx="62">
                  <c:v>118.92298890000001</c:v>
                </c:pt>
                <c:pt idx="63">
                  <c:v>117.8844302</c:v>
                </c:pt>
                <c:pt idx="64">
                  <c:v>116.6351756</c:v>
                </c:pt>
                <c:pt idx="65">
                  <c:v>117.4197178</c:v>
                </c:pt>
                <c:pt idx="66">
                  <c:v>118.53253599999999</c:v>
                </c:pt>
                <c:pt idx="67">
                  <c:v>116.57862280000001</c:v>
                </c:pt>
                <c:pt idx="68">
                  <c:v>117.4411762</c:v>
                </c:pt>
                <c:pt idx="69">
                  <c:v>117.24809209999999</c:v>
                </c:pt>
                <c:pt idx="70">
                  <c:v>118.53925769999999</c:v>
                </c:pt>
                <c:pt idx="71">
                  <c:v>118.34498670000001</c:v>
                </c:pt>
                <c:pt idx="72">
                  <c:v>118.2284088</c:v>
                </c:pt>
                <c:pt idx="73">
                  <c:v>118.8049264</c:v>
                </c:pt>
                <c:pt idx="74">
                  <c:v>117.8513707</c:v>
                </c:pt>
                <c:pt idx="75">
                  <c:v>118.97174080000001</c:v>
                </c:pt>
                <c:pt idx="76">
                  <c:v>118.9310424</c:v>
                </c:pt>
                <c:pt idx="77">
                  <c:v>118.15358329999999</c:v>
                </c:pt>
                <c:pt idx="78">
                  <c:v>116.08679189999999</c:v>
                </c:pt>
                <c:pt idx="79">
                  <c:v>117.3950153</c:v>
                </c:pt>
                <c:pt idx="80">
                  <c:v>116.7937336</c:v>
                </c:pt>
                <c:pt idx="81">
                  <c:v>118.15156229999999</c:v>
                </c:pt>
                <c:pt idx="82">
                  <c:v>117.9410666</c:v>
                </c:pt>
                <c:pt idx="83">
                  <c:v>118.1576989</c:v>
                </c:pt>
                <c:pt idx="84">
                  <c:v>118.5097592</c:v>
                </c:pt>
                <c:pt idx="85">
                  <c:v>117.3072208</c:v>
                </c:pt>
                <c:pt idx="86">
                  <c:v>118.83560129999999</c:v>
                </c:pt>
                <c:pt idx="87">
                  <c:v>117.8100786</c:v>
                </c:pt>
                <c:pt idx="88">
                  <c:v>117.72899390000001</c:v>
                </c:pt>
                <c:pt idx="89">
                  <c:v>117.6797093</c:v>
                </c:pt>
                <c:pt idx="90">
                  <c:v>117.6474362</c:v>
                </c:pt>
                <c:pt idx="91">
                  <c:v>117.48587120000001</c:v>
                </c:pt>
                <c:pt idx="92">
                  <c:v>117.7240797</c:v>
                </c:pt>
                <c:pt idx="93">
                  <c:v>117.58145930000001</c:v>
                </c:pt>
                <c:pt idx="94">
                  <c:v>119.10044360000001</c:v>
                </c:pt>
                <c:pt idx="95">
                  <c:v>118.08166129999999</c:v>
                </c:pt>
                <c:pt idx="96">
                  <c:v>117.8863844</c:v>
                </c:pt>
                <c:pt idx="97">
                  <c:v>120.4725493</c:v>
                </c:pt>
                <c:pt idx="98">
                  <c:v>118.3320193</c:v>
                </c:pt>
                <c:pt idx="99">
                  <c:v>117.30736589999999</c:v>
                </c:pt>
                <c:pt idx="100">
                  <c:v>118.92277350000001</c:v>
                </c:pt>
                <c:pt idx="101">
                  <c:v>118.2881974</c:v>
                </c:pt>
                <c:pt idx="102">
                  <c:v>116.7124962</c:v>
                </c:pt>
                <c:pt idx="103">
                  <c:v>116.8458807</c:v>
                </c:pt>
                <c:pt idx="104">
                  <c:v>118.0418394</c:v>
                </c:pt>
                <c:pt idx="105">
                  <c:v>117.3122671</c:v>
                </c:pt>
                <c:pt idx="106">
                  <c:v>115.01340020000001</c:v>
                </c:pt>
                <c:pt idx="107">
                  <c:v>117.44210169999999</c:v>
                </c:pt>
                <c:pt idx="108">
                  <c:v>118.4225816</c:v>
                </c:pt>
                <c:pt idx="109">
                  <c:v>118.8179978</c:v>
                </c:pt>
                <c:pt idx="110">
                  <c:v>117.7977599</c:v>
                </c:pt>
                <c:pt idx="111">
                  <c:v>119.16460720000001</c:v>
                </c:pt>
                <c:pt idx="112">
                  <c:v>118.2839493</c:v>
                </c:pt>
                <c:pt idx="113">
                  <c:v>118.0912726</c:v>
                </c:pt>
                <c:pt idx="114">
                  <c:v>117.9876407</c:v>
                </c:pt>
                <c:pt idx="115">
                  <c:v>117.39025650000001</c:v>
                </c:pt>
                <c:pt idx="116">
                  <c:v>118.1180469</c:v>
                </c:pt>
                <c:pt idx="117">
                  <c:v>118.29966469999999</c:v>
                </c:pt>
                <c:pt idx="118">
                  <c:v>118.5795193</c:v>
                </c:pt>
                <c:pt idx="119">
                  <c:v>118.3996212</c:v>
                </c:pt>
                <c:pt idx="120">
                  <c:v>117.5946582</c:v>
                </c:pt>
                <c:pt idx="121">
                  <c:v>118.78453039999999</c:v>
                </c:pt>
                <c:pt idx="122">
                  <c:v>117.97252949999999</c:v>
                </c:pt>
                <c:pt idx="123">
                  <c:v>117.4589297</c:v>
                </c:pt>
                <c:pt idx="124">
                  <c:v>117.39669050000001</c:v>
                </c:pt>
                <c:pt idx="125">
                  <c:v>118.68053310000001</c:v>
                </c:pt>
                <c:pt idx="126">
                  <c:v>117.29080639999999</c:v>
                </c:pt>
                <c:pt idx="127">
                  <c:v>117.7090237</c:v>
                </c:pt>
                <c:pt idx="128">
                  <c:v>118.71872209999999</c:v>
                </c:pt>
                <c:pt idx="129">
                  <c:v>117.4480951</c:v>
                </c:pt>
                <c:pt idx="130">
                  <c:v>117.7586543</c:v>
                </c:pt>
                <c:pt idx="131">
                  <c:v>117.2335908</c:v>
                </c:pt>
                <c:pt idx="132">
                  <c:v>117.54376259999999</c:v>
                </c:pt>
                <c:pt idx="133">
                  <c:v>116.85534180000001</c:v>
                </c:pt>
                <c:pt idx="134">
                  <c:v>117.54952369999999</c:v>
                </c:pt>
                <c:pt idx="135">
                  <c:v>117.0308453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010-4146-BE25-96A699CCEC71}"/>
            </c:ext>
          </c:extLst>
        </c:ser>
        <c:ser>
          <c:idx val="1"/>
          <c:order val="1"/>
          <c:tx>
            <c:v>Perfect line</c:v>
          </c:tx>
          <c:spPr>
            <a:ln w="25400" cap="rnd">
              <a:solidFill>
                <a:schemeClr val="bg1">
                  <a:lumMod val="8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'C-Cu-C angle alpha'!$B$2:$B$137</c:f>
              <c:numCache>
                <c:formatCode>General</c:formatCode>
                <c:ptCount val="136"/>
                <c:pt idx="0">
                  <c:v>116.7731071</c:v>
                </c:pt>
                <c:pt idx="1">
                  <c:v>116.4442801</c:v>
                </c:pt>
                <c:pt idx="2">
                  <c:v>116.6953041</c:v>
                </c:pt>
                <c:pt idx="3">
                  <c:v>118.0497763</c:v>
                </c:pt>
                <c:pt idx="4">
                  <c:v>117.9294915</c:v>
                </c:pt>
                <c:pt idx="5">
                  <c:v>117.554564</c:v>
                </c:pt>
                <c:pt idx="6">
                  <c:v>117.3498712</c:v>
                </c:pt>
                <c:pt idx="7">
                  <c:v>118.81107230000001</c:v>
                </c:pt>
                <c:pt idx="8">
                  <c:v>116.26892960000001</c:v>
                </c:pt>
                <c:pt idx="9">
                  <c:v>116.83102270000001</c:v>
                </c:pt>
                <c:pt idx="10">
                  <c:v>116.73299489999999</c:v>
                </c:pt>
                <c:pt idx="11">
                  <c:v>131.31039730000001</c:v>
                </c:pt>
                <c:pt idx="12">
                  <c:v>116.7945934</c:v>
                </c:pt>
                <c:pt idx="13">
                  <c:v>116.92733680000001</c:v>
                </c:pt>
                <c:pt idx="14">
                  <c:v>116.9029177</c:v>
                </c:pt>
                <c:pt idx="15">
                  <c:v>126.8680725</c:v>
                </c:pt>
                <c:pt idx="16">
                  <c:v>116.5623767</c:v>
                </c:pt>
                <c:pt idx="17">
                  <c:v>117.9015332</c:v>
                </c:pt>
                <c:pt idx="18">
                  <c:v>118.68592289999999</c:v>
                </c:pt>
                <c:pt idx="19">
                  <c:v>117.20349760000001</c:v>
                </c:pt>
                <c:pt idx="20">
                  <c:v>116.5727991</c:v>
                </c:pt>
                <c:pt idx="21">
                  <c:v>114.62505779999999</c:v>
                </c:pt>
                <c:pt idx="22">
                  <c:v>115.6987353</c:v>
                </c:pt>
                <c:pt idx="23">
                  <c:v>115.6850625</c:v>
                </c:pt>
                <c:pt idx="24">
                  <c:v>127.4962195</c:v>
                </c:pt>
                <c:pt idx="25">
                  <c:v>115.8390974</c:v>
                </c:pt>
                <c:pt idx="26">
                  <c:v>116.5496658</c:v>
                </c:pt>
                <c:pt idx="27">
                  <c:v>115.77441</c:v>
                </c:pt>
                <c:pt idx="28">
                  <c:v>116.382017</c:v>
                </c:pt>
                <c:pt idx="29">
                  <c:v>127.6767846</c:v>
                </c:pt>
                <c:pt idx="30">
                  <c:v>117.2586891</c:v>
                </c:pt>
                <c:pt idx="31">
                  <c:v>117.5996313</c:v>
                </c:pt>
                <c:pt idx="32">
                  <c:v>117.83830089999999</c:v>
                </c:pt>
                <c:pt idx="33">
                  <c:v>116.7501961</c:v>
                </c:pt>
                <c:pt idx="34">
                  <c:v>117.41134169999999</c:v>
                </c:pt>
                <c:pt idx="35">
                  <c:v>124.6949829</c:v>
                </c:pt>
                <c:pt idx="36">
                  <c:v>117.37183640000001</c:v>
                </c:pt>
                <c:pt idx="37">
                  <c:v>116.39676969999999</c:v>
                </c:pt>
                <c:pt idx="38">
                  <c:v>117.3636004</c:v>
                </c:pt>
                <c:pt idx="39">
                  <c:v>116.14260280000001</c:v>
                </c:pt>
                <c:pt idx="40">
                  <c:v>115.37326830000001</c:v>
                </c:pt>
                <c:pt idx="41">
                  <c:v>116.6173763</c:v>
                </c:pt>
                <c:pt idx="42">
                  <c:v>116.9218317</c:v>
                </c:pt>
                <c:pt idx="43">
                  <c:v>113.8417153</c:v>
                </c:pt>
                <c:pt idx="44">
                  <c:v>117.5824217</c:v>
                </c:pt>
                <c:pt idx="45">
                  <c:v>117.7519717</c:v>
                </c:pt>
                <c:pt idx="46">
                  <c:v>119.0737026</c:v>
                </c:pt>
                <c:pt idx="47">
                  <c:v>117.0203386</c:v>
                </c:pt>
                <c:pt idx="48">
                  <c:v>117.55285670000001</c:v>
                </c:pt>
                <c:pt idx="49">
                  <c:v>119.0532348</c:v>
                </c:pt>
                <c:pt idx="50">
                  <c:v>117.86492079999999</c:v>
                </c:pt>
                <c:pt idx="51">
                  <c:v>117.2112039</c:v>
                </c:pt>
                <c:pt idx="52">
                  <c:v>117.0443004</c:v>
                </c:pt>
                <c:pt idx="53">
                  <c:v>116.7298395</c:v>
                </c:pt>
                <c:pt idx="54">
                  <c:v>117.2689577</c:v>
                </c:pt>
                <c:pt idx="55">
                  <c:v>117.99891460000001</c:v>
                </c:pt>
                <c:pt idx="56">
                  <c:v>118.3977615</c:v>
                </c:pt>
                <c:pt idx="57">
                  <c:v>115.7075437</c:v>
                </c:pt>
                <c:pt idx="58">
                  <c:v>117.5808249</c:v>
                </c:pt>
                <c:pt idx="59">
                  <c:v>118.44145640000001</c:v>
                </c:pt>
                <c:pt idx="60">
                  <c:v>116.3483744</c:v>
                </c:pt>
                <c:pt idx="61">
                  <c:v>117.04548939999999</c:v>
                </c:pt>
                <c:pt idx="62">
                  <c:v>117.28887469999999</c:v>
                </c:pt>
                <c:pt idx="63">
                  <c:v>116.91677489999999</c:v>
                </c:pt>
                <c:pt idx="64">
                  <c:v>115.85876020000001</c:v>
                </c:pt>
                <c:pt idx="65">
                  <c:v>116.8770013</c:v>
                </c:pt>
                <c:pt idx="66">
                  <c:v>118.5501385</c:v>
                </c:pt>
                <c:pt idx="67">
                  <c:v>116.26394999999999</c:v>
                </c:pt>
                <c:pt idx="68">
                  <c:v>117.02878010000001</c:v>
                </c:pt>
                <c:pt idx="69">
                  <c:v>115.73702249999999</c:v>
                </c:pt>
                <c:pt idx="70">
                  <c:v>116.5477513</c:v>
                </c:pt>
                <c:pt idx="71">
                  <c:v>116.724802</c:v>
                </c:pt>
                <c:pt idx="72">
                  <c:v>116.73090980000001</c:v>
                </c:pt>
                <c:pt idx="73">
                  <c:v>117.3857592</c:v>
                </c:pt>
                <c:pt idx="74">
                  <c:v>118.337242</c:v>
                </c:pt>
                <c:pt idx="75">
                  <c:v>117.98971969999999</c:v>
                </c:pt>
                <c:pt idx="76">
                  <c:v>114.9945057</c:v>
                </c:pt>
                <c:pt idx="77">
                  <c:v>116.4310936</c:v>
                </c:pt>
                <c:pt idx="78">
                  <c:v>114.7025277</c:v>
                </c:pt>
                <c:pt idx="79">
                  <c:v>116.7115506</c:v>
                </c:pt>
                <c:pt idx="80">
                  <c:v>115.6750421</c:v>
                </c:pt>
                <c:pt idx="81">
                  <c:v>116.8801325</c:v>
                </c:pt>
                <c:pt idx="82">
                  <c:v>118.077389</c:v>
                </c:pt>
                <c:pt idx="83">
                  <c:v>117.3994539</c:v>
                </c:pt>
                <c:pt idx="84">
                  <c:v>119.309139</c:v>
                </c:pt>
                <c:pt idx="85">
                  <c:v>116.49630550000001</c:v>
                </c:pt>
                <c:pt idx="86">
                  <c:v>117.73478040000001</c:v>
                </c:pt>
                <c:pt idx="87">
                  <c:v>128.78161180000001</c:v>
                </c:pt>
                <c:pt idx="88">
                  <c:v>115.64454720000001</c:v>
                </c:pt>
                <c:pt idx="89">
                  <c:v>129.5547646</c:v>
                </c:pt>
                <c:pt idx="90">
                  <c:v>115.62260209999999</c:v>
                </c:pt>
                <c:pt idx="91">
                  <c:v>115.9921307</c:v>
                </c:pt>
                <c:pt idx="92">
                  <c:v>116.5260638</c:v>
                </c:pt>
                <c:pt idx="93">
                  <c:v>116.27313839999999</c:v>
                </c:pt>
                <c:pt idx="94">
                  <c:v>117.2999927</c:v>
                </c:pt>
                <c:pt idx="95">
                  <c:v>116.52079329999999</c:v>
                </c:pt>
                <c:pt idx="96">
                  <c:v>115.90619220000001</c:v>
                </c:pt>
                <c:pt idx="97">
                  <c:v>121.2719644</c:v>
                </c:pt>
                <c:pt idx="98">
                  <c:v>118.6215567</c:v>
                </c:pt>
                <c:pt idx="99">
                  <c:v>124.02988259999999</c:v>
                </c:pt>
                <c:pt idx="100">
                  <c:v>118.0047579</c:v>
                </c:pt>
                <c:pt idx="101">
                  <c:v>119.74538920000001</c:v>
                </c:pt>
                <c:pt idx="102">
                  <c:v>119.48541059999999</c:v>
                </c:pt>
                <c:pt idx="103">
                  <c:v>116.0616777</c:v>
                </c:pt>
                <c:pt idx="104">
                  <c:v>116.0861902</c:v>
                </c:pt>
                <c:pt idx="105">
                  <c:v>115.3213021</c:v>
                </c:pt>
                <c:pt idx="106">
                  <c:v>114.83924690000001</c:v>
                </c:pt>
                <c:pt idx="107">
                  <c:v>116.5916142</c:v>
                </c:pt>
                <c:pt idx="108">
                  <c:v>116.71749749999999</c:v>
                </c:pt>
                <c:pt idx="109">
                  <c:v>117.00122930000001</c:v>
                </c:pt>
                <c:pt idx="110">
                  <c:v>116.7528346</c:v>
                </c:pt>
                <c:pt idx="111">
                  <c:v>120.0409125</c:v>
                </c:pt>
                <c:pt idx="112">
                  <c:v>118.627489</c:v>
                </c:pt>
                <c:pt idx="113">
                  <c:v>116.76676519999999</c:v>
                </c:pt>
                <c:pt idx="114">
                  <c:v>116.81171929999999</c:v>
                </c:pt>
                <c:pt idx="115">
                  <c:v>116.8899905</c:v>
                </c:pt>
                <c:pt idx="116">
                  <c:v>119.78465749999999</c:v>
                </c:pt>
                <c:pt idx="117">
                  <c:v>121.10557900000001</c:v>
                </c:pt>
                <c:pt idx="118">
                  <c:v>118.412504</c:v>
                </c:pt>
                <c:pt idx="119">
                  <c:v>117.4149352</c:v>
                </c:pt>
                <c:pt idx="120">
                  <c:v>115.5108372</c:v>
                </c:pt>
                <c:pt idx="121">
                  <c:v>118.44769359999999</c:v>
                </c:pt>
                <c:pt idx="122">
                  <c:v>117.9747629</c:v>
                </c:pt>
                <c:pt idx="123">
                  <c:v>117.9646616</c:v>
                </c:pt>
                <c:pt idx="124">
                  <c:v>115.38627289999999</c:v>
                </c:pt>
                <c:pt idx="125">
                  <c:v>117.5949595</c:v>
                </c:pt>
                <c:pt idx="126">
                  <c:v>115.3862298</c:v>
                </c:pt>
                <c:pt idx="127">
                  <c:v>116.16148889999999</c:v>
                </c:pt>
                <c:pt idx="128">
                  <c:v>116.86625479999999</c:v>
                </c:pt>
                <c:pt idx="129">
                  <c:v>116.2699203</c:v>
                </c:pt>
                <c:pt idx="130">
                  <c:v>116.591278</c:v>
                </c:pt>
                <c:pt idx="131">
                  <c:v>116.5071526</c:v>
                </c:pt>
                <c:pt idx="132">
                  <c:v>116.83680459999999</c:v>
                </c:pt>
                <c:pt idx="133">
                  <c:v>116.3499241</c:v>
                </c:pt>
                <c:pt idx="134">
                  <c:v>115.4784104</c:v>
                </c:pt>
                <c:pt idx="135">
                  <c:v>115.35504299999999</c:v>
                </c:pt>
              </c:numCache>
            </c:numRef>
          </c:xVal>
          <c:yVal>
            <c:numRef>
              <c:f>'C-Cu-C angle alpha'!$I$2:$I$137</c:f>
              <c:numCache>
                <c:formatCode>General</c:formatCode>
                <c:ptCount val="136"/>
                <c:pt idx="0">
                  <c:v>116.7731071</c:v>
                </c:pt>
                <c:pt idx="1">
                  <c:v>116.4442801</c:v>
                </c:pt>
                <c:pt idx="2">
                  <c:v>116.6953041</c:v>
                </c:pt>
                <c:pt idx="3">
                  <c:v>118.0497763</c:v>
                </c:pt>
                <c:pt idx="4">
                  <c:v>117.9294915</c:v>
                </c:pt>
                <c:pt idx="5">
                  <c:v>117.554564</c:v>
                </c:pt>
                <c:pt idx="6">
                  <c:v>117.3498712</c:v>
                </c:pt>
                <c:pt idx="7">
                  <c:v>118.81107230000001</c:v>
                </c:pt>
                <c:pt idx="8">
                  <c:v>116.26892960000001</c:v>
                </c:pt>
                <c:pt idx="9">
                  <c:v>116.83102270000001</c:v>
                </c:pt>
                <c:pt idx="10">
                  <c:v>116.73299489999999</c:v>
                </c:pt>
                <c:pt idx="11">
                  <c:v>131.31039730000001</c:v>
                </c:pt>
                <c:pt idx="12">
                  <c:v>116.7945934</c:v>
                </c:pt>
                <c:pt idx="13">
                  <c:v>116.92733680000001</c:v>
                </c:pt>
                <c:pt idx="14">
                  <c:v>116.9029177</c:v>
                </c:pt>
                <c:pt idx="15">
                  <c:v>126.8680725</c:v>
                </c:pt>
                <c:pt idx="16">
                  <c:v>116.5623767</c:v>
                </c:pt>
                <c:pt idx="17">
                  <c:v>117.9015332</c:v>
                </c:pt>
                <c:pt idx="18">
                  <c:v>118.68592289999999</c:v>
                </c:pt>
                <c:pt idx="19">
                  <c:v>117.20349760000001</c:v>
                </c:pt>
                <c:pt idx="20">
                  <c:v>116.5727991</c:v>
                </c:pt>
                <c:pt idx="21">
                  <c:v>114.62505779999999</c:v>
                </c:pt>
                <c:pt idx="22">
                  <c:v>115.6987353</c:v>
                </c:pt>
                <c:pt idx="23">
                  <c:v>115.6850625</c:v>
                </c:pt>
                <c:pt idx="24">
                  <c:v>127.4962195</c:v>
                </c:pt>
                <c:pt idx="25">
                  <c:v>115.8390974</c:v>
                </c:pt>
                <c:pt idx="26">
                  <c:v>116.5496658</c:v>
                </c:pt>
                <c:pt idx="27">
                  <c:v>115.77441</c:v>
                </c:pt>
                <c:pt idx="28">
                  <c:v>116.382017</c:v>
                </c:pt>
                <c:pt idx="29">
                  <c:v>127.6767846</c:v>
                </c:pt>
                <c:pt idx="30">
                  <c:v>117.2586891</c:v>
                </c:pt>
                <c:pt idx="31">
                  <c:v>117.5996313</c:v>
                </c:pt>
                <c:pt idx="32">
                  <c:v>117.83830089999999</c:v>
                </c:pt>
                <c:pt idx="33">
                  <c:v>116.7501961</c:v>
                </c:pt>
                <c:pt idx="34">
                  <c:v>117.41134169999999</c:v>
                </c:pt>
                <c:pt idx="35">
                  <c:v>124.6949829</c:v>
                </c:pt>
                <c:pt idx="36">
                  <c:v>117.37183640000001</c:v>
                </c:pt>
                <c:pt idx="37">
                  <c:v>116.39676969999999</c:v>
                </c:pt>
                <c:pt idx="38">
                  <c:v>117.3636004</c:v>
                </c:pt>
                <c:pt idx="39">
                  <c:v>116.14260280000001</c:v>
                </c:pt>
                <c:pt idx="40">
                  <c:v>115.37326830000001</c:v>
                </c:pt>
                <c:pt idx="41">
                  <c:v>116.6173763</c:v>
                </c:pt>
                <c:pt idx="42">
                  <c:v>116.9218317</c:v>
                </c:pt>
                <c:pt idx="43">
                  <c:v>113.8417153</c:v>
                </c:pt>
                <c:pt idx="44">
                  <c:v>117.5824217</c:v>
                </c:pt>
                <c:pt idx="45">
                  <c:v>117.7519717</c:v>
                </c:pt>
                <c:pt idx="46">
                  <c:v>119.0737026</c:v>
                </c:pt>
                <c:pt idx="47">
                  <c:v>117.0203386</c:v>
                </c:pt>
                <c:pt idx="48">
                  <c:v>117.55285670000001</c:v>
                </c:pt>
                <c:pt idx="49">
                  <c:v>119.0532348</c:v>
                </c:pt>
                <c:pt idx="50">
                  <c:v>117.86492079999999</c:v>
                </c:pt>
                <c:pt idx="51">
                  <c:v>117.2112039</c:v>
                </c:pt>
                <c:pt idx="52">
                  <c:v>117.0443004</c:v>
                </c:pt>
                <c:pt idx="53">
                  <c:v>116.7298395</c:v>
                </c:pt>
                <c:pt idx="54">
                  <c:v>117.2689577</c:v>
                </c:pt>
                <c:pt idx="55">
                  <c:v>117.99891460000001</c:v>
                </c:pt>
                <c:pt idx="56">
                  <c:v>118.3977615</c:v>
                </c:pt>
                <c:pt idx="57">
                  <c:v>115.7075437</c:v>
                </c:pt>
                <c:pt idx="58">
                  <c:v>117.5808249</c:v>
                </c:pt>
                <c:pt idx="59">
                  <c:v>118.44145640000001</c:v>
                </c:pt>
                <c:pt idx="60">
                  <c:v>116.3483744</c:v>
                </c:pt>
                <c:pt idx="61">
                  <c:v>117.04548939999999</c:v>
                </c:pt>
                <c:pt idx="62">
                  <c:v>117.28887469999999</c:v>
                </c:pt>
                <c:pt idx="63">
                  <c:v>116.91677489999999</c:v>
                </c:pt>
                <c:pt idx="64">
                  <c:v>115.85876020000001</c:v>
                </c:pt>
                <c:pt idx="65">
                  <c:v>116.8770013</c:v>
                </c:pt>
                <c:pt idx="66">
                  <c:v>118.5501385</c:v>
                </c:pt>
                <c:pt idx="67">
                  <c:v>116.26394999999999</c:v>
                </c:pt>
                <c:pt idx="68">
                  <c:v>117.02878010000001</c:v>
                </c:pt>
                <c:pt idx="69">
                  <c:v>115.73702249999999</c:v>
                </c:pt>
                <c:pt idx="70">
                  <c:v>116.5477513</c:v>
                </c:pt>
                <c:pt idx="71">
                  <c:v>116.724802</c:v>
                </c:pt>
                <c:pt idx="72">
                  <c:v>116.73090980000001</c:v>
                </c:pt>
                <c:pt idx="73">
                  <c:v>117.3857592</c:v>
                </c:pt>
                <c:pt idx="74">
                  <c:v>118.337242</c:v>
                </c:pt>
                <c:pt idx="75">
                  <c:v>117.98971969999999</c:v>
                </c:pt>
                <c:pt idx="76">
                  <c:v>114.9945057</c:v>
                </c:pt>
                <c:pt idx="77">
                  <c:v>116.4310936</c:v>
                </c:pt>
                <c:pt idx="78">
                  <c:v>114.7025277</c:v>
                </c:pt>
                <c:pt idx="79">
                  <c:v>116.7115506</c:v>
                </c:pt>
                <c:pt idx="80">
                  <c:v>115.6750421</c:v>
                </c:pt>
                <c:pt idx="81">
                  <c:v>116.8801325</c:v>
                </c:pt>
                <c:pt idx="82">
                  <c:v>118.077389</c:v>
                </c:pt>
                <c:pt idx="83">
                  <c:v>117.3994539</c:v>
                </c:pt>
                <c:pt idx="84">
                  <c:v>119.309139</c:v>
                </c:pt>
                <c:pt idx="85">
                  <c:v>116.49630550000001</c:v>
                </c:pt>
                <c:pt idx="86">
                  <c:v>117.73478040000001</c:v>
                </c:pt>
                <c:pt idx="87">
                  <c:v>128.78161180000001</c:v>
                </c:pt>
                <c:pt idx="88">
                  <c:v>115.64454720000001</c:v>
                </c:pt>
                <c:pt idx="89">
                  <c:v>129.5547646</c:v>
                </c:pt>
                <c:pt idx="90">
                  <c:v>115.62260209999999</c:v>
                </c:pt>
                <c:pt idx="91">
                  <c:v>115.9921307</c:v>
                </c:pt>
                <c:pt idx="92">
                  <c:v>116.5260638</c:v>
                </c:pt>
                <c:pt idx="93">
                  <c:v>116.27313839999999</c:v>
                </c:pt>
                <c:pt idx="94">
                  <c:v>117.2999927</c:v>
                </c:pt>
                <c:pt idx="95">
                  <c:v>116.52079329999999</c:v>
                </c:pt>
                <c:pt idx="96">
                  <c:v>115.90619220000001</c:v>
                </c:pt>
                <c:pt idx="97">
                  <c:v>121.2719644</c:v>
                </c:pt>
                <c:pt idx="98">
                  <c:v>118.6215567</c:v>
                </c:pt>
                <c:pt idx="99">
                  <c:v>124.02988259999999</c:v>
                </c:pt>
                <c:pt idx="100">
                  <c:v>118.0047579</c:v>
                </c:pt>
                <c:pt idx="101">
                  <c:v>119.74538920000001</c:v>
                </c:pt>
                <c:pt idx="102">
                  <c:v>119.48541059999999</c:v>
                </c:pt>
                <c:pt idx="103">
                  <c:v>116.0616777</c:v>
                </c:pt>
                <c:pt idx="104">
                  <c:v>116.0861902</c:v>
                </c:pt>
                <c:pt idx="105">
                  <c:v>115.3213021</c:v>
                </c:pt>
                <c:pt idx="106">
                  <c:v>114.83924690000001</c:v>
                </c:pt>
                <c:pt idx="107">
                  <c:v>116.5916142</c:v>
                </c:pt>
                <c:pt idx="108">
                  <c:v>116.71749749999999</c:v>
                </c:pt>
                <c:pt idx="109">
                  <c:v>117.00122930000001</c:v>
                </c:pt>
                <c:pt idx="110">
                  <c:v>116.7528346</c:v>
                </c:pt>
                <c:pt idx="111">
                  <c:v>120.0409125</c:v>
                </c:pt>
                <c:pt idx="112">
                  <c:v>118.627489</c:v>
                </c:pt>
                <c:pt idx="113">
                  <c:v>116.76676519999999</c:v>
                </c:pt>
                <c:pt idx="114">
                  <c:v>116.81171929999999</c:v>
                </c:pt>
                <c:pt idx="115">
                  <c:v>116.8899905</c:v>
                </c:pt>
                <c:pt idx="116">
                  <c:v>119.78465749999999</c:v>
                </c:pt>
                <c:pt idx="117">
                  <c:v>121.10557900000001</c:v>
                </c:pt>
                <c:pt idx="118">
                  <c:v>118.412504</c:v>
                </c:pt>
                <c:pt idx="119">
                  <c:v>117.4149352</c:v>
                </c:pt>
                <c:pt idx="120">
                  <c:v>115.5108372</c:v>
                </c:pt>
                <c:pt idx="121">
                  <c:v>118.44769359999999</c:v>
                </c:pt>
                <c:pt idx="122">
                  <c:v>117.9747629</c:v>
                </c:pt>
                <c:pt idx="123">
                  <c:v>117.9646616</c:v>
                </c:pt>
                <c:pt idx="124">
                  <c:v>115.38627289999999</c:v>
                </c:pt>
                <c:pt idx="125">
                  <c:v>117.5949595</c:v>
                </c:pt>
                <c:pt idx="126">
                  <c:v>115.3862298</c:v>
                </c:pt>
                <c:pt idx="127">
                  <c:v>116.16148889999999</c:v>
                </c:pt>
                <c:pt idx="128">
                  <c:v>116.86625479999999</c:v>
                </c:pt>
                <c:pt idx="129">
                  <c:v>116.2699203</c:v>
                </c:pt>
                <c:pt idx="130">
                  <c:v>116.591278</c:v>
                </c:pt>
                <c:pt idx="131">
                  <c:v>116.5071526</c:v>
                </c:pt>
                <c:pt idx="132">
                  <c:v>116.83680459999999</c:v>
                </c:pt>
                <c:pt idx="133">
                  <c:v>116.3499241</c:v>
                </c:pt>
                <c:pt idx="134">
                  <c:v>115.4784104</c:v>
                </c:pt>
                <c:pt idx="135">
                  <c:v>115.35504299999999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010-4146-BE25-96A699CCEC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5447664"/>
        <c:axId val="745434704"/>
      </c:scatterChart>
      <c:valAx>
        <c:axId val="745447664"/>
        <c:scaling>
          <c:orientation val="minMax"/>
          <c:min val="113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400" b="0" i="0" u="none" strike="noStrike" kern="1200" spc="0" baseline="0">
                    <a:solidFill>
                      <a:sysClr val="windowText" lastClr="000000"/>
                    </a:solidFill>
                    <a:effectLst/>
                    <a:latin typeface="+mn-lt"/>
                    <a:cs typeface="Times New Roman" panose="02020603050405020304" pitchFamily="18" charset="0"/>
                  </a:rPr>
                  <a:t>α</a:t>
                </a:r>
                <a:r>
                  <a:rPr lang="en-GB" sz="1400" b="0" i="0" u="none" strike="noStrike" kern="1200" spc="0" baseline="-25000">
                    <a:solidFill>
                      <a:sysClr val="windowText" lastClr="000000"/>
                    </a:solidFill>
                    <a:effectLst/>
                    <a:latin typeface="+mn-lt"/>
                    <a:cs typeface="Times New Roman" panose="02020603050405020304" pitchFamily="18" charset="0"/>
                  </a:rPr>
                  <a:t>xTB</a:t>
                </a:r>
                <a:r>
                  <a:rPr lang="en-GB" sz="1400" b="0" i="0" u="none" strike="noStrike" kern="1200" baseline="0">
                    <a:solidFill>
                      <a:sysClr val="windowText" lastClr="000000"/>
                    </a:solidFill>
                  </a:rPr>
                  <a:t>(</a:t>
                </a:r>
                <a:r>
                  <a:rPr lang="en-IN" sz="1400" b="0" i="0" u="none" strike="noStrike" kern="1200" baseline="0">
                    <a:solidFill>
                      <a:sysClr val="windowText" lastClr="000000"/>
                    </a:solidFill>
                  </a:rPr>
                  <a:t>°</a:t>
                </a:r>
                <a:r>
                  <a:rPr lang="en-GB" sz="1400" b="0" i="0" u="none" strike="noStrike" kern="1200" baseline="0">
                    <a:solidFill>
                      <a:sysClr val="windowText" lastClr="000000"/>
                    </a:solidFill>
                  </a:rPr>
                  <a:t>)</a:t>
                </a:r>
                <a:endParaRPr lang="en-IN" sz="1400" b="0" i="0" u="none" strike="noStrike" kern="1200" baseline="-25000">
                  <a:solidFill>
                    <a:sysClr val="windowText" lastClr="000000"/>
                  </a:solidFill>
                  <a:latin typeface="+mn-lt"/>
                </a:endParaRPr>
              </a:p>
            </c:rich>
          </c:tx>
          <c:layout>
            <c:manualLayout>
              <c:xMode val="edge"/>
              <c:yMode val="edge"/>
              <c:x val="0.49824755086756867"/>
              <c:y val="0.7686358996792067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5434704"/>
        <c:crosses val="autoZero"/>
        <c:crossBetween val="midCat"/>
      </c:valAx>
      <c:valAx>
        <c:axId val="745434704"/>
        <c:scaling>
          <c:orientation val="minMax"/>
          <c:min val="113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400" b="0" i="0" u="none" strike="noStrike" kern="1200" spc="0" baseline="0">
                    <a:solidFill>
                      <a:sysClr val="windowText" lastClr="000000"/>
                    </a:solidFill>
                    <a:effectLst/>
                    <a:latin typeface="+mn-lt"/>
                    <a:cs typeface="Times New Roman" panose="02020603050405020304" pitchFamily="18" charset="0"/>
                  </a:rPr>
                  <a:t>α</a:t>
                </a:r>
                <a:r>
                  <a:rPr lang="en-GB" sz="1400" b="0" i="0" u="none" strike="noStrike" kern="1200" spc="0" baseline="-25000">
                    <a:solidFill>
                      <a:sysClr val="windowText" lastClr="000000"/>
                    </a:solidFill>
                    <a:effectLst/>
                    <a:latin typeface="+mn-lt"/>
                    <a:cs typeface="Times New Roman" panose="02020603050405020304" pitchFamily="18" charset="0"/>
                  </a:rPr>
                  <a:t>DFT</a:t>
                </a:r>
                <a:r>
                  <a:rPr lang="en-GB" sz="1400" b="0" i="0" u="none" strike="noStrike" kern="1200" baseline="0">
                    <a:solidFill>
                      <a:sysClr val="windowText" lastClr="000000"/>
                    </a:solidFill>
                  </a:rPr>
                  <a:t>(</a:t>
                </a:r>
                <a:r>
                  <a:rPr lang="en-IN" sz="1400" b="0" i="0" u="none" strike="noStrike" kern="1200" baseline="0">
                    <a:solidFill>
                      <a:sysClr val="windowText" lastClr="000000"/>
                    </a:solidFill>
                  </a:rPr>
                  <a:t>°</a:t>
                </a:r>
                <a:r>
                  <a:rPr lang="en-GB" sz="1400" b="0" i="0" u="none" strike="noStrike" kern="1200" baseline="0">
                    <a:solidFill>
                      <a:sysClr val="windowText" lastClr="000000"/>
                    </a:solidFill>
                  </a:rPr>
                  <a:t>)</a:t>
                </a:r>
                <a:endParaRPr lang="en-IN" sz="1400" b="0" i="0" u="none" strike="noStrike" kern="1200" baseline="-25000">
                  <a:solidFill>
                    <a:sysClr val="windowText" lastClr="000000"/>
                  </a:solidFill>
                  <a:latin typeface="+mn-lt"/>
                </a:endParaRPr>
              </a:p>
            </c:rich>
          </c:tx>
          <c:layout>
            <c:manualLayout>
              <c:xMode val="edge"/>
              <c:yMode val="edge"/>
              <c:x val="2.7392030541636839E-4"/>
              <c:y val="0.4108675998833479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54476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4173655262233444E-2"/>
          <c:y val="0.86535688247302422"/>
          <c:w val="0.89165266841644797"/>
          <c:h val="8.371719160104987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GB" sz="1600" b="1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Angle</a:t>
            </a:r>
            <a:r>
              <a:rPr lang="en-GB" sz="1600" b="1" baseline="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l-GR" sz="1600" b="1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β</a:t>
            </a:r>
            <a:r>
              <a:rPr lang="en-GB" sz="1600" b="1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1</a:t>
            </a:r>
            <a:endParaRPr lang="en-IN" sz="1600" b="1">
              <a:solidFill>
                <a:sysClr val="windowText" lastClr="000000"/>
              </a:solidFill>
            </a:endParaRPr>
          </a:p>
        </c:rich>
      </c:tx>
      <c:layout>
        <c:manualLayout>
          <c:xMode val="edge"/>
          <c:yMode val="edge"/>
          <c:x val="0.40340812753811384"/>
          <c:y val="9.9132589838909543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0.11024692301811788"/>
          <c:y val="9.0908617919051943E-2"/>
          <c:w val="0.84452666717631175"/>
          <c:h val="0.64108046195720847"/>
        </c:manualLayout>
      </c:layout>
      <c:scatterChart>
        <c:scatterStyle val="lineMarker"/>
        <c:varyColors val="0"/>
        <c:ser>
          <c:idx val="0"/>
          <c:order val="0"/>
          <c:tx>
            <c:v>Data points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25400" cap="rnd">
                <a:solidFill>
                  <a:schemeClr val="accent6">
                    <a:lumMod val="75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3381924427736366"/>
                  <c:y val="0.24419468918675849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1000" b="1" i="0" u="none" strike="noStrike" kern="1200" baseline="0">
                        <a:solidFill>
                          <a:sysClr val="windowText" lastClr="00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l-GR" sz="1000" b="1" i="0" u="none" strike="noStrike" baseline="0">
                        <a:effectLst/>
                      </a:rPr>
                      <a:t>β</a:t>
                    </a:r>
                    <a:r>
                      <a:rPr lang="en-GB" sz="1000" b="1" i="0" u="none" strike="noStrike" baseline="0">
                        <a:effectLst/>
                      </a:rPr>
                      <a:t>1</a:t>
                    </a:r>
                    <a:r>
                      <a:rPr lang="en-GB" sz="1000" b="1" i="0" u="none" strike="noStrike" baseline="-25000">
                        <a:effectLst/>
                      </a:rPr>
                      <a:t>DFT</a:t>
                    </a:r>
                    <a:r>
                      <a:rPr lang="en-US" b="1" baseline="0"/>
                      <a:t> = 0.85</a:t>
                    </a:r>
                    <a:r>
                      <a:rPr lang="el-GR" sz="1000" b="1" i="0" u="none" strike="noStrike" baseline="0">
                        <a:effectLst/>
                      </a:rPr>
                      <a:t>β</a:t>
                    </a:r>
                    <a:r>
                      <a:rPr lang="en-GB" sz="1000" b="1" i="0" u="none" strike="noStrike" baseline="0">
                        <a:effectLst/>
                      </a:rPr>
                      <a:t>1</a:t>
                    </a:r>
                    <a:r>
                      <a:rPr lang="en-GB" sz="1000" b="1" i="0" u="none" strike="noStrike" baseline="-25000">
                        <a:effectLst/>
                      </a:rPr>
                      <a:t>xTB</a:t>
                    </a:r>
                    <a:r>
                      <a:rPr lang="en-US" b="1" baseline="0"/>
                      <a:t> + 20.51</a:t>
                    </a:r>
                    <a:br>
                      <a:rPr lang="en-US" b="1" baseline="0"/>
                    </a:br>
                    <a:r>
                      <a:rPr lang="en-US" b="1" baseline="0"/>
                      <a:t>R² = 0.63</a:t>
                    </a:r>
                  </a:p>
                  <a:p>
                    <a:pPr>
                      <a:defRPr sz="1000" b="1">
                        <a:solidFill>
                          <a:sysClr val="windowText" lastClr="000000"/>
                        </a:solidFill>
                      </a:defRPr>
                    </a:pPr>
                    <a:r>
                      <a:rPr lang="en-US" b="1" baseline="0"/>
                      <a:t>Pearson R = 0.80</a:t>
                    </a:r>
                  </a:p>
                  <a:p>
                    <a:pPr>
                      <a:defRPr sz="1000" b="1">
                        <a:solidFill>
                          <a:sysClr val="windowText" lastClr="000000"/>
                        </a:solidFill>
                      </a:defRPr>
                    </a:pPr>
                    <a:r>
                      <a:rPr lang="en-US" b="1" baseline="0"/>
                      <a:t>MAE = 6.55</a:t>
                    </a:r>
                    <a:r>
                      <a:rPr lang="en-IN" sz="1000" b="1" i="0" u="none" strike="noStrike" baseline="0">
                        <a:effectLst/>
                      </a:rPr>
                      <a:t>°</a:t>
                    </a:r>
                    <a:endParaRPr lang="en-US" b="1" baseline="0"/>
                  </a:p>
                  <a:p>
                    <a:pPr>
                      <a:defRPr sz="1000" b="1">
                        <a:solidFill>
                          <a:sysClr val="windowText" lastClr="000000"/>
                        </a:solidFill>
                      </a:defRPr>
                    </a:pPr>
                    <a:r>
                      <a:rPr lang="en-US" b="1" baseline="0"/>
                      <a:t>RMSE = 9.18</a:t>
                    </a:r>
                    <a:r>
                      <a:rPr lang="en-IN" sz="1000" b="1" i="0" u="none" strike="noStrike" baseline="0">
                        <a:effectLst/>
                      </a:rPr>
                      <a:t>°</a:t>
                    </a:r>
                    <a:endParaRPr lang="en-US" b="1" baseline="0"/>
                  </a:p>
                  <a:p>
                    <a:pPr>
                      <a:defRPr sz="1000" b="1">
                        <a:solidFill>
                          <a:sysClr val="windowText" lastClr="000000"/>
                        </a:solidFill>
                      </a:defRPr>
                    </a:pPr>
                    <a:r>
                      <a:rPr lang="en-US" b="1" baseline="0"/>
                      <a:t>N = 135</a:t>
                    </a:r>
                    <a:endParaRPr lang="en-US" b="1"/>
                  </a:p>
                </c:rich>
              </c:tx>
              <c:numFmt formatCode="General" sourceLinked="0"/>
              <c:spPr>
                <a:solidFill>
                  <a:schemeClr val="bg1">
                    <a:lumMod val="9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'N1-Cu-C angle beta1'!$B$2:$B$134</c:f>
              <c:numCache>
                <c:formatCode>General</c:formatCode>
                <c:ptCount val="133"/>
                <c:pt idx="0">
                  <c:v>143.3137418</c:v>
                </c:pt>
                <c:pt idx="1">
                  <c:v>123.5460848</c:v>
                </c:pt>
                <c:pt idx="2">
                  <c:v>137.64240720000001</c:v>
                </c:pt>
                <c:pt idx="3">
                  <c:v>142.74658529999999</c:v>
                </c:pt>
                <c:pt idx="4">
                  <c:v>154.8822145</c:v>
                </c:pt>
                <c:pt idx="5">
                  <c:v>143.01979890000001</c:v>
                </c:pt>
                <c:pt idx="6">
                  <c:v>131.0861108</c:v>
                </c:pt>
                <c:pt idx="7">
                  <c:v>118.03717810000001</c:v>
                </c:pt>
                <c:pt idx="8">
                  <c:v>139.90516650000001</c:v>
                </c:pt>
                <c:pt idx="9">
                  <c:v>132.9908744</c:v>
                </c:pt>
                <c:pt idx="10">
                  <c:v>135.41678160000001</c:v>
                </c:pt>
                <c:pt idx="11">
                  <c:v>99.204962870000003</c:v>
                </c:pt>
                <c:pt idx="12">
                  <c:v>115.75571170000001</c:v>
                </c:pt>
                <c:pt idx="13">
                  <c:v>132.32677609999999</c:v>
                </c:pt>
                <c:pt idx="14">
                  <c:v>136.2513855</c:v>
                </c:pt>
                <c:pt idx="15">
                  <c:v>144.02059080000001</c:v>
                </c:pt>
                <c:pt idx="16">
                  <c:v>125.0755683</c:v>
                </c:pt>
                <c:pt idx="17">
                  <c:v>143.06461340000001</c:v>
                </c:pt>
                <c:pt idx="18">
                  <c:v>117.82185130000001</c:v>
                </c:pt>
                <c:pt idx="19">
                  <c:v>113.9478879</c:v>
                </c:pt>
                <c:pt idx="20">
                  <c:v>118.90071519999999</c:v>
                </c:pt>
                <c:pt idx="21">
                  <c:v>118.3054269</c:v>
                </c:pt>
                <c:pt idx="22">
                  <c:v>133.08676579999999</c:v>
                </c:pt>
                <c:pt idx="23">
                  <c:v>144.89444309999999</c:v>
                </c:pt>
                <c:pt idx="24">
                  <c:v>164.5721618</c:v>
                </c:pt>
                <c:pt idx="25">
                  <c:v>147.2255767</c:v>
                </c:pt>
                <c:pt idx="26">
                  <c:v>134.10633680000001</c:v>
                </c:pt>
                <c:pt idx="27">
                  <c:v>131.36235769999999</c:v>
                </c:pt>
                <c:pt idx="28">
                  <c:v>137.97371419999999</c:v>
                </c:pt>
                <c:pt idx="29">
                  <c:v>166.5459267</c:v>
                </c:pt>
                <c:pt idx="30">
                  <c:v>125.41894739999999</c:v>
                </c:pt>
                <c:pt idx="31">
                  <c:v>143.7719697</c:v>
                </c:pt>
                <c:pt idx="32">
                  <c:v>138.51101439999999</c:v>
                </c:pt>
                <c:pt idx="33">
                  <c:v>127.3927039</c:v>
                </c:pt>
                <c:pt idx="34">
                  <c:v>139.7601334</c:v>
                </c:pt>
                <c:pt idx="35">
                  <c:v>126.0882369</c:v>
                </c:pt>
                <c:pt idx="36">
                  <c:v>141.2358682</c:v>
                </c:pt>
                <c:pt idx="37">
                  <c:v>128.5521717</c:v>
                </c:pt>
                <c:pt idx="38">
                  <c:v>150.4265346</c:v>
                </c:pt>
                <c:pt idx="39">
                  <c:v>130.90285009999999</c:v>
                </c:pt>
                <c:pt idx="40">
                  <c:v>119.4068031</c:v>
                </c:pt>
                <c:pt idx="41">
                  <c:v>112.5678539</c:v>
                </c:pt>
                <c:pt idx="42">
                  <c:v>128.15938059999999</c:v>
                </c:pt>
                <c:pt idx="43">
                  <c:v>109.9740984</c:v>
                </c:pt>
                <c:pt idx="44">
                  <c:v>121.2004554</c:v>
                </c:pt>
                <c:pt idx="45">
                  <c:v>134.97255430000001</c:v>
                </c:pt>
                <c:pt idx="46">
                  <c:v>126.22751479999999</c:v>
                </c:pt>
                <c:pt idx="47">
                  <c:v>151.3036439</c:v>
                </c:pt>
                <c:pt idx="48">
                  <c:v>137.4693001</c:v>
                </c:pt>
                <c:pt idx="49">
                  <c:v>139.6384501</c:v>
                </c:pt>
                <c:pt idx="50">
                  <c:v>140.0695059</c:v>
                </c:pt>
                <c:pt idx="51">
                  <c:v>134.62152570000001</c:v>
                </c:pt>
                <c:pt idx="52">
                  <c:v>137.21778599999999</c:v>
                </c:pt>
                <c:pt idx="53">
                  <c:v>154.65488189999999</c:v>
                </c:pt>
                <c:pt idx="54">
                  <c:v>108.796993</c:v>
                </c:pt>
                <c:pt idx="55">
                  <c:v>138.43847959999999</c:v>
                </c:pt>
                <c:pt idx="56">
                  <c:v>132.99519570000001</c:v>
                </c:pt>
                <c:pt idx="57">
                  <c:v>112.62195989999999</c:v>
                </c:pt>
                <c:pt idx="58">
                  <c:v>111.2758498</c:v>
                </c:pt>
                <c:pt idx="59">
                  <c:v>132.24393140000001</c:v>
                </c:pt>
                <c:pt idx="60">
                  <c:v>147.2991442</c:v>
                </c:pt>
                <c:pt idx="61">
                  <c:v>116.7480722</c:v>
                </c:pt>
                <c:pt idx="62">
                  <c:v>141.4308857</c:v>
                </c:pt>
                <c:pt idx="63">
                  <c:v>129.84754459999999</c:v>
                </c:pt>
                <c:pt idx="64">
                  <c:v>128.47991590000001</c:v>
                </c:pt>
                <c:pt idx="65">
                  <c:v>144.5802429</c:v>
                </c:pt>
                <c:pt idx="66">
                  <c:v>145.34919339999999</c:v>
                </c:pt>
                <c:pt idx="67">
                  <c:v>130.84493499999999</c:v>
                </c:pt>
                <c:pt idx="68">
                  <c:v>145.5841355</c:v>
                </c:pt>
                <c:pt idx="69">
                  <c:v>147.19196640000001</c:v>
                </c:pt>
                <c:pt idx="70">
                  <c:v>121.4524603</c:v>
                </c:pt>
                <c:pt idx="71">
                  <c:v>137.3176881</c:v>
                </c:pt>
                <c:pt idx="72">
                  <c:v>112.8314324</c:v>
                </c:pt>
                <c:pt idx="73">
                  <c:v>111.1817353</c:v>
                </c:pt>
                <c:pt idx="74">
                  <c:v>125.0278587</c:v>
                </c:pt>
                <c:pt idx="75">
                  <c:v>126.37454750000001</c:v>
                </c:pt>
                <c:pt idx="76">
                  <c:v>136.1596898</c:v>
                </c:pt>
                <c:pt idx="77">
                  <c:v>140.88457550000001</c:v>
                </c:pt>
                <c:pt idx="78">
                  <c:v>126.0338038</c:v>
                </c:pt>
                <c:pt idx="79">
                  <c:v>122.3075886</c:v>
                </c:pt>
                <c:pt idx="80">
                  <c:v>135.64258100000001</c:v>
                </c:pt>
                <c:pt idx="81">
                  <c:v>144.08759699999999</c:v>
                </c:pt>
                <c:pt idx="82">
                  <c:v>161.29237140000001</c:v>
                </c:pt>
                <c:pt idx="83">
                  <c:v>141.58851319999999</c:v>
                </c:pt>
                <c:pt idx="84">
                  <c:v>117.0158136</c:v>
                </c:pt>
                <c:pt idx="85">
                  <c:v>108.8516776</c:v>
                </c:pt>
                <c:pt idx="86">
                  <c:v>136.67041560000001</c:v>
                </c:pt>
                <c:pt idx="87">
                  <c:v>142.5338849</c:v>
                </c:pt>
                <c:pt idx="88">
                  <c:v>162.63265580000001</c:v>
                </c:pt>
                <c:pt idx="89">
                  <c:v>145.93357230000001</c:v>
                </c:pt>
                <c:pt idx="90">
                  <c:v>134.2149622</c:v>
                </c:pt>
                <c:pt idx="91">
                  <c:v>131.34146630000001</c:v>
                </c:pt>
                <c:pt idx="92">
                  <c:v>130.9559892</c:v>
                </c:pt>
                <c:pt idx="93">
                  <c:v>133.53523809999999</c:v>
                </c:pt>
                <c:pt idx="94">
                  <c:v>147.30211499999999</c:v>
                </c:pt>
                <c:pt idx="95">
                  <c:v>133.53992880000001</c:v>
                </c:pt>
                <c:pt idx="96">
                  <c:v>156.86695779999999</c:v>
                </c:pt>
                <c:pt idx="97">
                  <c:v>124.5732766</c:v>
                </c:pt>
                <c:pt idx="98">
                  <c:v>101.7889271</c:v>
                </c:pt>
                <c:pt idx="99">
                  <c:v>117.3492947</c:v>
                </c:pt>
                <c:pt idx="100">
                  <c:v>110.52889759999999</c:v>
                </c:pt>
                <c:pt idx="101">
                  <c:v>115.17836869999999</c:v>
                </c:pt>
                <c:pt idx="102">
                  <c:v>129.3638421</c:v>
                </c:pt>
                <c:pt idx="103">
                  <c:v>150.15055240000001</c:v>
                </c:pt>
                <c:pt idx="104">
                  <c:v>135.87563489999999</c:v>
                </c:pt>
                <c:pt idx="105">
                  <c:v>120.03232029999999</c:v>
                </c:pt>
                <c:pt idx="106">
                  <c:v>115.1770267</c:v>
                </c:pt>
                <c:pt idx="107">
                  <c:v>114.63269409999999</c:v>
                </c:pt>
                <c:pt idx="108">
                  <c:v>142.06060260000001</c:v>
                </c:pt>
                <c:pt idx="109">
                  <c:v>109.96886069999999</c:v>
                </c:pt>
                <c:pt idx="110">
                  <c:v>153.9050038</c:v>
                </c:pt>
                <c:pt idx="111">
                  <c:v>125.8983829</c:v>
                </c:pt>
                <c:pt idx="112">
                  <c:v>128.94315539999999</c:v>
                </c:pt>
                <c:pt idx="113">
                  <c:v>144.74006270000001</c:v>
                </c:pt>
                <c:pt idx="114">
                  <c:v>134.7651554</c:v>
                </c:pt>
                <c:pt idx="115">
                  <c:v>153.33740900000001</c:v>
                </c:pt>
                <c:pt idx="116">
                  <c:v>150.81747609999999</c:v>
                </c:pt>
                <c:pt idx="117">
                  <c:v>146.22319379999999</c:v>
                </c:pt>
                <c:pt idx="118">
                  <c:v>152.4910706</c:v>
                </c:pt>
                <c:pt idx="119">
                  <c:v>135.7074681</c:v>
                </c:pt>
                <c:pt idx="120">
                  <c:v>156.6148436</c:v>
                </c:pt>
                <c:pt idx="121">
                  <c:v>168.765242</c:v>
                </c:pt>
                <c:pt idx="122">
                  <c:v>131.23311519999999</c:v>
                </c:pt>
                <c:pt idx="123">
                  <c:v>129.5559433</c:v>
                </c:pt>
                <c:pt idx="124">
                  <c:v>134.03653510000001</c:v>
                </c:pt>
                <c:pt idx="125">
                  <c:v>122.3841977</c:v>
                </c:pt>
                <c:pt idx="126">
                  <c:v>119.00644079999999</c:v>
                </c:pt>
                <c:pt idx="127">
                  <c:v>132.8842252</c:v>
                </c:pt>
                <c:pt idx="128">
                  <c:v>121.6954817</c:v>
                </c:pt>
                <c:pt idx="129">
                  <c:v>134.99774099999999</c:v>
                </c:pt>
                <c:pt idx="130">
                  <c:v>126.76783949999999</c:v>
                </c:pt>
                <c:pt idx="131">
                  <c:v>120.2355304</c:v>
                </c:pt>
                <c:pt idx="132">
                  <c:v>130.2448967</c:v>
                </c:pt>
              </c:numCache>
            </c:numRef>
          </c:xVal>
          <c:yVal>
            <c:numRef>
              <c:f>'N1-Cu-C angle beta1'!$C$2:$C$134</c:f>
              <c:numCache>
                <c:formatCode>General</c:formatCode>
                <c:ptCount val="133"/>
                <c:pt idx="0">
                  <c:v>138.02483470000001</c:v>
                </c:pt>
                <c:pt idx="1">
                  <c:v>121.69411940000001</c:v>
                </c:pt>
                <c:pt idx="2">
                  <c:v>137.91116199999999</c:v>
                </c:pt>
                <c:pt idx="3">
                  <c:v>138.7887891</c:v>
                </c:pt>
                <c:pt idx="4">
                  <c:v>142.64327520000001</c:v>
                </c:pt>
                <c:pt idx="5">
                  <c:v>142.00612029999999</c:v>
                </c:pt>
                <c:pt idx="6">
                  <c:v>134.68236210000001</c:v>
                </c:pt>
                <c:pt idx="7">
                  <c:v>120.92230170000001</c:v>
                </c:pt>
                <c:pt idx="8">
                  <c:v>137.80114459999999</c:v>
                </c:pt>
                <c:pt idx="9">
                  <c:v>133.1907774</c:v>
                </c:pt>
                <c:pt idx="10">
                  <c:v>134.46694299999999</c:v>
                </c:pt>
                <c:pt idx="11">
                  <c:v>119.0642761</c:v>
                </c:pt>
                <c:pt idx="12">
                  <c:v>116.2882264</c:v>
                </c:pt>
                <c:pt idx="13">
                  <c:v>136.49374570000001</c:v>
                </c:pt>
                <c:pt idx="14">
                  <c:v>135.3084705</c:v>
                </c:pt>
                <c:pt idx="15">
                  <c:v>141.6514851</c:v>
                </c:pt>
                <c:pt idx="16">
                  <c:v>124.81510950000001</c:v>
                </c:pt>
                <c:pt idx="17">
                  <c:v>151.57108170000001</c:v>
                </c:pt>
                <c:pt idx="18">
                  <c:v>124.99985100000001</c:v>
                </c:pt>
                <c:pt idx="19">
                  <c:v>126.0239682</c:v>
                </c:pt>
                <c:pt idx="20">
                  <c:v>125.50068880000001</c:v>
                </c:pt>
                <c:pt idx="21">
                  <c:v>113.1466174</c:v>
                </c:pt>
                <c:pt idx="22">
                  <c:v>125.2717952</c:v>
                </c:pt>
                <c:pt idx="23">
                  <c:v>153.40856729999999</c:v>
                </c:pt>
                <c:pt idx="24">
                  <c:v>156.44376249999999</c:v>
                </c:pt>
                <c:pt idx="25">
                  <c:v>151.9346596</c:v>
                </c:pt>
                <c:pt idx="26">
                  <c:v>136.11987450000001</c:v>
                </c:pt>
                <c:pt idx="27">
                  <c:v>109.6614016</c:v>
                </c:pt>
                <c:pt idx="28">
                  <c:v>138.00867109999999</c:v>
                </c:pt>
                <c:pt idx="29">
                  <c:v>158.3128782</c:v>
                </c:pt>
                <c:pt idx="30">
                  <c:v>145.66505979999999</c:v>
                </c:pt>
                <c:pt idx="31">
                  <c:v>167.19945609999999</c:v>
                </c:pt>
                <c:pt idx="32">
                  <c:v>107.9336512</c:v>
                </c:pt>
                <c:pt idx="33">
                  <c:v>128.55683379999999</c:v>
                </c:pt>
                <c:pt idx="34">
                  <c:v>141.3308802</c:v>
                </c:pt>
                <c:pt idx="35">
                  <c:v>128.34160309999999</c:v>
                </c:pt>
                <c:pt idx="36">
                  <c:v>133.85350489999999</c:v>
                </c:pt>
                <c:pt idx="37">
                  <c:v>127.2096404</c:v>
                </c:pt>
                <c:pt idx="38">
                  <c:v>153.29372459999999</c:v>
                </c:pt>
                <c:pt idx="39">
                  <c:v>129.15414999999999</c:v>
                </c:pt>
                <c:pt idx="40">
                  <c:v>120.0802611</c:v>
                </c:pt>
                <c:pt idx="41">
                  <c:v>115.17508599999999</c:v>
                </c:pt>
                <c:pt idx="42">
                  <c:v>115.91535810000001</c:v>
                </c:pt>
                <c:pt idx="43">
                  <c:v>113.19866949999999</c:v>
                </c:pt>
                <c:pt idx="44">
                  <c:v>113.9491232</c:v>
                </c:pt>
                <c:pt idx="45">
                  <c:v>132.88440220000001</c:v>
                </c:pt>
                <c:pt idx="46">
                  <c:v>132.81226599999999</c:v>
                </c:pt>
                <c:pt idx="47">
                  <c:v>134.2930854</c:v>
                </c:pt>
                <c:pt idx="48">
                  <c:v>134.4658259</c:v>
                </c:pt>
                <c:pt idx="49">
                  <c:v>149.17985110000001</c:v>
                </c:pt>
                <c:pt idx="50">
                  <c:v>135.97963050000001</c:v>
                </c:pt>
                <c:pt idx="51">
                  <c:v>129.1053282</c:v>
                </c:pt>
                <c:pt idx="52">
                  <c:v>132.50394650000001</c:v>
                </c:pt>
                <c:pt idx="53">
                  <c:v>159.66201419999999</c:v>
                </c:pt>
                <c:pt idx="54">
                  <c:v>94.667070649999999</c:v>
                </c:pt>
                <c:pt idx="55">
                  <c:v>135.0354561</c:v>
                </c:pt>
                <c:pt idx="56">
                  <c:v>127.6885339</c:v>
                </c:pt>
                <c:pt idx="57">
                  <c:v>122.6077355</c:v>
                </c:pt>
                <c:pt idx="58">
                  <c:v>137.08376390000001</c:v>
                </c:pt>
                <c:pt idx="59">
                  <c:v>144.63748290000001</c:v>
                </c:pt>
                <c:pt idx="60">
                  <c:v>146.45290739999999</c:v>
                </c:pt>
                <c:pt idx="61">
                  <c:v>111.05977900000001</c:v>
                </c:pt>
                <c:pt idx="62">
                  <c:v>141.18140750000001</c:v>
                </c:pt>
                <c:pt idx="63">
                  <c:v>138.28289129999999</c:v>
                </c:pt>
                <c:pt idx="64">
                  <c:v>132.199376</c:v>
                </c:pt>
                <c:pt idx="65">
                  <c:v>136.07625049999999</c:v>
                </c:pt>
                <c:pt idx="66">
                  <c:v>144.66384740000001</c:v>
                </c:pt>
                <c:pt idx="67">
                  <c:v>132.92938359999999</c:v>
                </c:pt>
                <c:pt idx="68">
                  <c:v>149.2756009</c:v>
                </c:pt>
                <c:pt idx="69">
                  <c:v>148.47169249999999</c:v>
                </c:pt>
                <c:pt idx="70">
                  <c:v>118.3302419</c:v>
                </c:pt>
                <c:pt idx="71">
                  <c:v>127.5392095</c:v>
                </c:pt>
                <c:pt idx="72">
                  <c:v>120.19113350000001</c:v>
                </c:pt>
                <c:pt idx="73">
                  <c:v>111.95590079999999</c:v>
                </c:pt>
                <c:pt idx="74">
                  <c:v>124.3139633</c:v>
                </c:pt>
                <c:pt idx="75">
                  <c:v>120.4786149</c:v>
                </c:pt>
                <c:pt idx="76">
                  <c:v>139.35526290000001</c:v>
                </c:pt>
                <c:pt idx="77">
                  <c:v>137.05484849999999</c:v>
                </c:pt>
                <c:pt idx="78">
                  <c:v>131.4272172</c:v>
                </c:pt>
                <c:pt idx="79">
                  <c:v>117.9254816</c:v>
                </c:pt>
                <c:pt idx="80">
                  <c:v>135.29658370000001</c:v>
                </c:pt>
                <c:pt idx="81">
                  <c:v>137.3557089</c:v>
                </c:pt>
                <c:pt idx="82">
                  <c:v>176.2996028</c:v>
                </c:pt>
                <c:pt idx="83">
                  <c:v>133.3964618</c:v>
                </c:pt>
                <c:pt idx="84">
                  <c:v>116.8467543</c:v>
                </c:pt>
                <c:pt idx="85">
                  <c:v>107.68652760000001</c:v>
                </c:pt>
                <c:pt idx="86">
                  <c:v>107.53065599999999</c:v>
                </c:pt>
                <c:pt idx="87">
                  <c:v>155.2675783</c:v>
                </c:pt>
                <c:pt idx="88">
                  <c:v>153.73811929999999</c:v>
                </c:pt>
                <c:pt idx="89">
                  <c:v>156.46593060000001</c:v>
                </c:pt>
                <c:pt idx="90">
                  <c:v>130.1671097</c:v>
                </c:pt>
                <c:pt idx="91">
                  <c:v>132.2376884</c:v>
                </c:pt>
                <c:pt idx="92">
                  <c:v>135.80124169999999</c:v>
                </c:pt>
                <c:pt idx="93">
                  <c:v>131.9047363</c:v>
                </c:pt>
                <c:pt idx="94">
                  <c:v>158.0168754</c:v>
                </c:pt>
                <c:pt idx="95">
                  <c:v>140.99184149999999</c:v>
                </c:pt>
                <c:pt idx="96">
                  <c:v>153.29514940000001</c:v>
                </c:pt>
                <c:pt idx="97">
                  <c:v>121.9578987</c:v>
                </c:pt>
                <c:pt idx="98">
                  <c:v>132.0621337</c:v>
                </c:pt>
                <c:pt idx="99">
                  <c:v>116.7914127</c:v>
                </c:pt>
                <c:pt idx="100">
                  <c:v>87.326117740000001</c:v>
                </c:pt>
                <c:pt idx="101">
                  <c:v>115.10782380000001</c:v>
                </c:pt>
                <c:pt idx="102">
                  <c:v>124.2964161</c:v>
                </c:pt>
                <c:pt idx="103">
                  <c:v>153.320987</c:v>
                </c:pt>
                <c:pt idx="104">
                  <c:v>140.08047740000001</c:v>
                </c:pt>
                <c:pt idx="105">
                  <c:v>125.36968109999999</c:v>
                </c:pt>
                <c:pt idx="106">
                  <c:v>119.7542826</c:v>
                </c:pt>
                <c:pt idx="107">
                  <c:v>138.40904449999999</c:v>
                </c:pt>
                <c:pt idx="108">
                  <c:v>137.2105071</c:v>
                </c:pt>
                <c:pt idx="109">
                  <c:v>104.8377302</c:v>
                </c:pt>
                <c:pt idx="110">
                  <c:v>145.95119560000001</c:v>
                </c:pt>
                <c:pt idx="111">
                  <c:v>119.0862504</c:v>
                </c:pt>
                <c:pt idx="112">
                  <c:v>124.6177173</c:v>
                </c:pt>
                <c:pt idx="113">
                  <c:v>147.2682811</c:v>
                </c:pt>
                <c:pt idx="114">
                  <c:v>132.84956159999999</c:v>
                </c:pt>
                <c:pt idx="115">
                  <c:v>144.2960191</c:v>
                </c:pt>
                <c:pt idx="116">
                  <c:v>142.64667209999999</c:v>
                </c:pt>
                <c:pt idx="117">
                  <c:v>132.5405432</c:v>
                </c:pt>
                <c:pt idx="118">
                  <c:v>158.2136275</c:v>
                </c:pt>
                <c:pt idx="119">
                  <c:v>145.344448</c:v>
                </c:pt>
                <c:pt idx="120">
                  <c:v>165.6366563</c:v>
                </c:pt>
                <c:pt idx="121">
                  <c:v>160.93320209999999</c:v>
                </c:pt>
                <c:pt idx="122">
                  <c:v>133.08821689999999</c:v>
                </c:pt>
                <c:pt idx="123">
                  <c:v>136.33756360000001</c:v>
                </c:pt>
                <c:pt idx="124">
                  <c:v>132.7320211</c:v>
                </c:pt>
                <c:pt idx="125">
                  <c:v>121.192554</c:v>
                </c:pt>
                <c:pt idx="126">
                  <c:v>134.77813119999999</c:v>
                </c:pt>
                <c:pt idx="127">
                  <c:v>137.3925122</c:v>
                </c:pt>
                <c:pt idx="128">
                  <c:v>124.52090990000001</c:v>
                </c:pt>
                <c:pt idx="129">
                  <c:v>145.6019268</c:v>
                </c:pt>
                <c:pt idx="130">
                  <c:v>119.7837215</c:v>
                </c:pt>
                <c:pt idx="131">
                  <c:v>116.09905120000001</c:v>
                </c:pt>
                <c:pt idx="132">
                  <c:v>133.5100745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147-4490-A761-857135FF05C0}"/>
            </c:ext>
          </c:extLst>
        </c:ser>
        <c:ser>
          <c:idx val="1"/>
          <c:order val="1"/>
          <c:tx>
            <c:v>Perfect line</c:v>
          </c:tx>
          <c:spPr>
            <a:ln w="25400" cap="rnd">
              <a:solidFill>
                <a:schemeClr val="bg1">
                  <a:lumMod val="8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'N1-Cu-C angle beta1'!$B$2:$B$134</c:f>
              <c:numCache>
                <c:formatCode>General</c:formatCode>
                <c:ptCount val="133"/>
                <c:pt idx="0">
                  <c:v>143.3137418</c:v>
                </c:pt>
                <c:pt idx="1">
                  <c:v>123.5460848</c:v>
                </c:pt>
                <c:pt idx="2">
                  <c:v>137.64240720000001</c:v>
                </c:pt>
                <c:pt idx="3">
                  <c:v>142.74658529999999</c:v>
                </c:pt>
                <c:pt idx="4">
                  <c:v>154.8822145</c:v>
                </c:pt>
                <c:pt idx="5">
                  <c:v>143.01979890000001</c:v>
                </c:pt>
                <c:pt idx="6">
                  <c:v>131.0861108</c:v>
                </c:pt>
                <c:pt idx="7">
                  <c:v>118.03717810000001</c:v>
                </c:pt>
                <c:pt idx="8">
                  <c:v>139.90516650000001</c:v>
                </c:pt>
                <c:pt idx="9">
                  <c:v>132.9908744</c:v>
                </c:pt>
                <c:pt idx="10">
                  <c:v>135.41678160000001</c:v>
                </c:pt>
                <c:pt idx="11">
                  <c:v>99.204962870000003</c:v>
                </c:pt>
                <c:pt idx="12">
                  <c:v>115.75571170000001</c:v>
                </c:pt>
                <c:pt idx="13">
                  <c:v>132.32677609999999</c:v>
                </c:pt>
                <c:pt idx="14">
                  <c:v>136.2513855</c:v>
                </c:pt>
                <c:pt idx="15">
                  <c:v>144.02059080000001</c:v>
                </c:pt>
                <c:pt idx="16">
                  <c:v>125.0755683</c:v>
                </c:pt>
                <c:pt idx="17">
                  <c:v>143.06461340000001</c:v>
                </c:pt>
                <c:pt idx="18">
                  <c:v>117.82185130000001</c:v>
                </c:pt>
                <c:pt idx="19">
                  <c:v>113.9478879</c:v>
                </c:pt>
                <c:pt idx="20">
                  <c:v>118.90071519999999</c:v>
                </c:pt>
                <c:pt idx="21">
                  <c:v>118.3054269</c:v>
                </c:pt>
                <c:pt idx="22">
                  <c:v>133.08676579999999</c:v>
                </c:pt>
                <c:pt idx="23">
                  <c:v>144.89444309999999</c:v>
                </c:pt>
                <c:pt idx="24">
                  <c:v>164.5721618</c:v>
                </c:pt>
                <c:pt idx="25">
                  <c:v>147.2255767</c:v>
                </c:pt>
                <c:pt idx="26">
                  <c:v>134.10633680000001</c:v>
                </c:pt>
                <c:pt idx="27">
                  <c:v>131.36235769999999</c:v>
                </c:pt>
                <c:pt idx="28">
                  <c:v>137.97371419999999</c:v>
                </c:pt>
                <c:pt idx="29">
                  <c:v>166.5459267</c:v>
                </c:pt>
                <c:pt idx="30">
                  <c:v>125.41894739999999</c:v>
                </c:pt>
                <c:pt idx="31">
                  <c:v>143.7719697</c:v>
                </c:pt>
                <c:pt idx="32">
                  <c:v>138.51101439999999</c:v>
                </c:pt>
                <c:pt idx="33">
                  <c:v>127.3927039</c:v>
                </c:pt>
                <c:pt idx="34">
                  <c:v>139.7601334</c:v>
                </c:pt>
                <c:pt idx="35">
                  <c:v>126.0882369</c:v>
                </c:pt>
                <c:pt idx="36">
                  <c:v>141.2358682</c:v>
                </c:pt>
                <c:pt idx="37">
                  <c:v>128.5521717</c:v>
                </c:pt>
                <c:pt idx="38">
                  <c:v>150.4265346</c:v>
                </c:pt>
                <c:pt idx="39">
                  <c:v>130.90285009999999</c:v>
                </c:pt>
                <c:pt idx="40">
                  <c:v>119.4068031</c:v>
                </c:pt>
                <c:pt idx="41">
                  <c:v>112.5678539</c:v>
                </c:pt>
                <c:pt idx="42">
                  <c:v>128.15938059999999</c:v>
                </c:pt>
                <c:pt idx="43">
                  <c:v>109.9740984</c:v>
                </c:pt>
                <c:pt idx="44">
                  <c:v>121.2004554</c:v>
                </c:pt>
                <c:pt idx="45">
                  <c:v>134.97255430000001</c:v>
                </c:pt>
                <c:pt idx="46">
                  <c:v>126.22751479999999</c:v>
                </c:pt>
                <c:pt idx="47">
                  <c:v>151.3036439</c:v>
                </c:pt>
                <c:pt idx="48">
                  <c:v>137.4693001</c:v>
                </c:pt>
                <c:pt idx="49">
                  <c:v>139.6384501</c:v>
                </c:pt>
                <c:pt idx="50">
                  <c:v>140.0695059</c:v>
                </c:pt>
                <c:pt idx="51">
                  <c:v>134.62152570000001</c:v>
                </c:pt>
                <c:pt idx="52">
                  <c:v>137.21778599999999</c:v>
                </c:pt>
                <c:pt idx="53">
                  <c:v>154.65488189999999</c:v>
                </c:pt>
                <c:pt idx="54">
                  <c:v>108.796993</c:v>
                </c:pt>
                <c:pt idx="55">
                  <c:v>138.43847959999999</c:v>
                </c:pt>
                <c:pt idx="56">
                  <c:v>132.99519570000001</c:v>
                </c:pt>
                <c:pt idx="57">
                  <c:v>112.62195989999999</c:v>
                </c:pt>
                <c:pt idx="58">
                  <c:v>111.2758498</c:v>
                </c:pt>
                <c:pt idx="59">
                  <c:v>132.24393140000001</c:v>
                </c:pt>
                <c:pt idx="60">
                  <c:v>147.2991442</c:v>
                </c:pt>
                <c:pt idx="61">
                  <c:v>116.7480722</c:v>
                </c:pt>
                <c:pt idx="62">
                  <c:v>141.4308857</c:v>
                </c:pt>
                <c:pt idx="63">
                  <c:v>129.84754459999999</c:v>
                </c:pt>
                <c:pt idx="64">
                  <c:v>128.47991590000001</c:v>
                </c:pt>
                <c:pt idx="65">
                  <c:v>144.5802429</c:v>
                </c:pt>
                <c:pt idx="66">
                  <c:v>145.34919339999999</c:v>
                </c:pt>
                <c:pt idx="67">
                  <c:v>130.84493499999999</c:v>
                </c:pt>
                <c:pt idx="68">
                  <c:v>145.5841355</c:v>
                </c:pt>
                <c:pt idx="69">
                  <c:v>147.19196640000001</c:v>
                </c:pt>
                <c:pt idx="70">
                  <c:v>121.4524603</c:v>
                </c:pt>
                <c:pt idx="71">
                  <c:v>137.3176881</c:v>
                </c:pt>
                <c:pt idx="72">
                  <c:v>112.8314324</c:v>
                </c:pt>
                <c:pt idx="73">
                  <c:v>111.1817353</c:v>
                </c:pt>
                <c:pt idx="74">
                  <c:v>125.0278587</c:v>
                </c:pt>
                <c:pt idx="75">
                  <c:v>126.37454750000001</c:v>
                </c:pt>
                <c:pt idx="76">
                  <c:v>136.1596898</c:v>
                </c:pt>
                <c:pt idx="77">
                  <c:v>140.88457550000001</c:v>
                </c:pt>
                <c:pt idx="78">
                  <c:v>126.0338038</c:v>
                </c:pt>
                <c:pt idx="79">
                  <c:v>122.3075886</c:v>
                </c:pt>
                <c:pt idx="80">
                  <c:v>135.64258100000001</c:v>
                </c:pt>
                <c:pt idx="81">
                  <c:v>144.08759699999999</c:v>
                </c:pt>
                <c:pt idx="82">
                  <c:v>161.29237140000001</c:v>
                </c:pt>
                <c:pt idx="83">
                  <c:v>141.58851319999999</c:v>
                </c:pt>
                <c:pt idx="84">
                  <c:v>117.0158136</c:v>
                </c:pt>
                <c:pt idx="85">
                  <c:v>108.8516776</c:v>
                </c:pt>
                <c:pt idx="86">
                  <c:v>136.67041560000001</c:v>
                </c:pt>
                <c:pt idx="87">
                  <c:v>142.5338849</c:v>
                </c:pt>
                <c:pt idx="88">
                  <c:v>162.63265580000001</c:v>
                </c:pt>
                <c:pt idx="89">
                  <c:v>145.93357230000001</c:v>
                </c:pt>
                <c:pt idx="90">
                  <c:v>134.2149622</c:v>
                </c:pt>
                <c:pt idx="91">
                  <c:v>131.34146630000001</c:v>
                </c:pt>
                <c:pt idx="92">
                  <c:v>130.9559892</c:v>
                </c:pt>
                <c:pt idx="93">
                  <c:v>133.53523809999999</c:v>
                </c:pt>
                <c:pt idx="94">
                  <c:v>147.30211499999999</c:v>
                </c:pt>
                <c:pt idx="95">
                  <c:v>133.53992880000001</c:v>
                </c:pt>
                <c:pt idx="96">
                  <c:v>156.86695779999999</c:v>
                </c:pt>
                <c:pt idx="97">
                  <c:v>124.5732766</c:v>
                </c:pt>
                <c:pt idx="98">
                  <c:v>101.7889271</c:v>
                </c:pt>
                <c:pt idx="99">
                  <c:v>117.3492947</c:v>
                </c:pt>
                <c:pt idx="100">
                  <c:v>110.52889759999999</c:v>
                </c:pt>
                <c:pt idx="101">
                  <c:v>115.17836869999999</c:v>
                </c:pt>
                <c:pt idx="102">
                  <c:v>129.3638421</c:v>
                </c:pt>
                <c:pt idx="103">
                  <c:v>150.15055240000001</c:v>
                </c:pt>
                <c:pt idx="104">
                  <c:v>135.87563489999999</c:v>
                </c:pt>
                <c:pt idx="105">
                  <c:v>120.03232029999999</c:v>
                </c:pt>
                <c:pt idx="106">
                  <c:v>115.1770267</c:v>
                </c:pt>
                <c:pt idx="107">
                  <c:v>114.63269409999999</c:v>
                </c:pt>
                <c:pt idx="108">
                  <c:v>142.06060260000001</c:v>
                </c:pt>
                <c:pt idx="109">
                  <c:v>109.96886069999999</c:v>
                </c:pt>
                <c:pt idx="110">
                  <c:v>153.9050038</c:v>
                </c:pt>
                <c:pt idx="111">
                  <c:v>125.8983829</c:v>
                </c:pt>
                <c:pt idx="112">
                  <c:v>128.94315539999999</c:v>
                </c:pt>
                <c:pt idx="113">
                  <c:v>144.74006270000001</c:v>
                </c:pt>
                <c:pt idx="114">
                  <c:v>134.7651554</c:v>
                </c:pt>
                <c:pt idx="115">
                  <c:v>153.33740900000001</c:v>
                </c:pt>
                <c:pt idx="116">
                  <c:v>150.81747609999999</c:v>
                </c:pt>
                <c:pt idx="117">
                  <c:v>146.22319379999999</c:v>
                </c:pt>
                <c:pt idx="118">
                  <c:v>152.4910706</c:v>
                </c:pt>
                <c:pt idx="119">
                  <c:v>135.7074681</c:v>
                </c:pt>
                <c:pt idx="120">
                  <c:v>156.6148436</c:v>
                </c:pt>
                <c:pt idx="121">
                  <c:v>168.765242</c:v>
                </c:pt>
                <c:pt idx="122">
                  <c:v>131.23311519999999</c:v>
                </c:pt>
                <c:pt idx="123">
                  <c:v>129.5559433</c:v>
                </c:pt>
                <c:pt idx="124">
                  <c:v>134.03653510000001</c:v>
                </c:pt>
                <c:pt idx="125">
                  <c:v>122.3841977</c:v>
                </c:pt>
                <c:pt idx="126">
                  <c:v>119.00644079999999</c:v>
                </c:pt>
                <c:pt idx="127">
                  <c:v>132.8842252</c:v>
                </c:pt>
                <c:pt idx="128">
                  <c:v>121.6954817</c:v>
                </c:pt>
                <c:pt idx="129">
                  <c:v>134.99774099999999</c:v>
                </c:pt>
                <c:pt idx="130">
                  <c:v>126.76783949999999</c:v>
                </c:pt>
                <c:pt idx="131">
                  <c:v>120.2355304</c:v>
                </c:pt>
                <c:pt idx="132">
                  <c:v>130.2448967</c:v>
                </c:pt>
              </c:numCache>
            </c:numRef>
          </c:xVal>
          <c:yVal>
            <c:numRef>
              <c:f>'N1-Cu-C angle beta1'!$I$2:$I$134</c:f>
              <c:numCache>
                <c:formatCode>General</c:formatCode>
                <c:ptCount val="133"/>
                <c:pt idx="0">
                  <c:v>143.3137418</c:v>
                </c:pt>
                <c:pt idx="1">
                  <c:v>123.5460848</c:v>
                </c:pt>
                <c:pt idx="2">
                  <c:v>137.64240720000001</c:v>
                </c:pt>
                <c:pt idx="3">
                  <c:v>142.74658529999999</c:v>
                </c:pt>
                <c:pt idx="4">
                  <c:v>154.8822145</c:v>
                </c:pt>
                <c:pt idx="5">
                  <c:v>143.01979890000001</c:v>
                </c:pt>
                <c:pt idx="6">
                  <c:v>131.0861108</c:v>
                </c:pt>
                <c:pt idx="7">
                  <c:v>118.03717810000001</c:v>
                </c:pt>
                <c:pt idx="8">
                  <c:v>139.90516650000001</c:v>
                </c:pt>
                <c:pt idx="9">
                  <c:v>132.9908744</c:v>
                </c:pt>
                <c:pt idx="10">
                  <c:v>135.41678160000001</c:v>
                </c:pt>
                <c:pt idx="11">
                  <c:v>99.204962870000003</c:v>
                </c:pt>
                <c:pt idx="12">
                  <c:v>115.75571170000001</c:v>
                </c:pt>
                <c:pt idx="13">
                  <c:v>132.32677609999999</c:v>
                </c:pt>
                <c:pt idx="14">
                  <c:v>136.2513855</c:v>
                </c:pt>
                <c:pt idx="15">
                  <c:v>144.02059080000001</c:v>
                </c:pt>
                <c:pt idx="16">
                  <c:v>125.0755683</c:v>
                </c:pt>
                <c:pt idx="17">
                  <c:v>143.06461340000001</c:v>
                </c:pt>
                <c:pt idx="18">
                  <c:v>117.82185130000001</c:v>
                </c:pt>
                <c:pt idx="19">
                  <c:v>113.9478879</c:v>
                </c:pt>
                <c:pt idx="20">
                  <c:v>118.90071519999999</c:v>
                </c:pt>
                <c:pt idx="21">
                  <c:v>118.3054269</c:v>
                </c:pt>
                <c:pt idx="22">
                  <c:v>133.08676579999999</c:v>
                </c:pt>
                <c:pt idx="23">
                  <c:v>144.89444309999999</c:v>
                </c:pt>
                <c:pt idx="24">
                  <c:v>164.5721618</c:v>
                </c:pt>
                <c:pt idx="25">
                  <c:v>147.2255767</c:v>
                </c:pt>
                <c:pt idx="26">
                  <c:v>134.10633680000001</c:v>
                </c:pt>
                <c:pt idx="27">
                  <c:v>131.36235769999999</c:v>
                </c:pt>
                <c:pt idx="28">
                  <c:v>137.97371419999999</c:v>
                </c:pt>
                <c:pt idx="29">
                  <c:v>166.5459267</c:v>
                </c:pt>
                <c:pt idx="30">
                  <c:v>125.41894739999999</c:v>
                </c:pt>
                <c:pt idx="31">
                  <c:v>143.7719697</c:v>
                </c:pt>
                <c:pt idx="32">
                  <c:v>138.51101439999999</c:v>
                </c:pt>
                <c:pt idx="33">
                  <c:v>127.3927039</c:v>
                </c:pt>
                <c:pt idx="34">
                  <c:v>139.7601334</c:v>
                </c:pt>
                <c:pt idx="35">
                  <c:v>126.0882369</c:v>
                </c:pt>
                <c:pt idx="36">
                  <c:v>141.2358682</c:v>
                </c:pt>
                <c:pt idx="37">
                  <c:v>128.5521717</c:v>
                </c:pt>
                <c:pt idx="38">
                  <c:v>150.4265346</c:v>
                </c:pt>
                <c:pt idx="39">
                  <c:v>130.90285009999999</c:v>
                </c:pt>
                <c:pt idx="40">
                  <c:v>119.4068031</c:v>
                </c:pt>
                <c:pt idx="41">
                  <c:v>112.5678539</c:v>
                </c:pt>
                <c:pt idx="42">
                  <c:v>128.15938059999999</c:v>
                </c:pt>
                <c:pt idx="43">
                  <c:v>109.9740984</c:v>
                </c:pt>
                <c:pt idx="44">
                  <c:v>121.2004554</c:v>
                </c:pt>
                <c:pt idx="45">
                  <c:v>134.97255430000001</c:v>
                </c:pt>
                <c:pt idx="46">
                  <c:v>126.22751479999999</c:v>
                </c:pt>
                <c:pt idx="47">
                  <c:v>151.3036439</c:v>
                </c:pt>
                <c:pt idx="48">
                  <c:v>137.4693001</c:v>
                </c:pt>
                <c:pt idx="49">
                  <c:v>139.6384501</c:v>
                </c:pt>
                <c:pt idx="50">
                  <c:v>140.0695059</c:v>
                </c:pt>
                <c:pt idx="51">
                  <c:v>134.62152570000001</c:v>
                </c:pt>
                <c:pt idx="52">
                  <c:v>137.21778599999999</c:v>
                </c:pt>
                <c:pt idx="53">
                  <c:v>154.65488189999999</c:v>
                </c:pt>
                <c:pt idx="54">
                  <c:v>108.796993</c:v>
                </c:pt>
                <c:pt idx="55">
                  <c:v>138.43847959999999</c:v>
                </c:pt>
                <c:pt idx="56">
                  <c:v>132.99519570000001</c:v>
                </c:pt>
                <c:pt idx="57">
                  <c:v>112.62195989999999</c:v>
                </c:pt>
                <c:pt idx="58">
                  <c:v>111.2758498</c:v>
                </c:pt>
                <c:pt idx="59">
                  <c:v>132.24393140000001</c:v>
                </c:pt>
                <c:pt idx="60">
                  <c:v>147.2991442</c:v>
                </c:pt>
                <c:pt idx="61">
                  <c:v>116.7480722</c:v>
                </c:pt>
                <c:pt idx="62">
                  <c:v>141.4308857</c:v>
                </c:pt>
                <c:pt idx="63">
                  <c:v>129.84754459999999</c:v>
                </c:pt>
                <c:pt idx="64">
                  <c:v>128.47991590000001</c:v>
                </c:pt>
                <c:pt idx="65">
                  <c:v>144.5802429</c:v>
                </c:pt>
                <c:pt idx="66">
                  <c:v>145.34919339999999</c:v>
                </c:pt>
                <c:pt idx="67">
                  <c:v>130.84493499999999</c:v>
                </c:pt>
                <c:pt idx="68">
                  <c:v>145.5841355</c:v>
                </c:pt>
                <c:pt idx="69">
                  <c:v>147.19196640000001</c:v>
                </c:pt>
                <c:pt idx="70">
                  <c:v>121.4524603</c:v>
                </c:pt>
                <c:pt idx="71">
                  <c:v>137.3176881</c:v>
                </c:pt>
                <c:pt idx="72">
                  <c:v>112.8314324</c:v>
                </c:pt>
                <c:pt idx="73">
                  <c:v>111.1817353</c:v>
                </c:pt>
                <c:pt idx="74">
                  <c:v>125.0278587</c:v>
                </c:pt>
                <c:pt idx="75">
                  <c:v>126.37454750000001</c:v>
                </c:pt>
                <c:pt idx="76">
                  <c:v>136.1596898</c:v>
                </c:pt>
                <c:pt idx="77">
                  <c:v>140.88457550000001</c:v>
                </c:pt>
                <c:pt idx="78">
                  <c:v>126.0338038</c:v>
                </c:pt>
                <c:pt idx="79">
                  <c:v>122.3075886</c:v>
                </c:pt>
                <c:pt idx="80">
                  <c:v>135.64258100000001</c:v>
                </c:pt>
                <c:pt idx="81">
                  <c:v>144.08759699999999</c:v>
                </c:pt>
                <c:pt idx="82">
                  <c:v>161.29237140000001</c:v>
                </c:pt>
                <c:pt idx="83">
                  <c:v>141.58851319999999</c:v>
                </c:pt>
                <c:pt idx="84">
                  <c:v>117.0158136</c:v>
                </c:pt>
                <c:pt idx="85">
                  <c:v>108.8516776</c:v>
                </c:pt>
                <c:pt idx="86">
                  <c:v>136.67041560000001</c:v>
                </c:pt>
                <c:pt idx="87">
                  <c:v>142.5338849</c:v>
                </c:pt>
                <c:pt idx="88">
                  <c:v>162.63265580000001</c:v>
                </c:pt>
                <c:pt idx="89">
                  <c:v>145.93357230000001</c:v>
                </c:pt>
                <c:pt idx="90">
                  <c:v>134.2149622</c:v>
                </c:pt>
                <c:pt idx="91">
                  <c:v>131.34146630000001</c:v>
                </c:pt>
                <c:pt idx="92">
                  <c:v>130.9559892</c:v>
                </c:pt>
                <c:pt idx="93">
                  <c:v>133.53523809999999</c:v>
                </c:pt>
                <c:pt idx="94">
                  <c:v>147.30211499999999</c:v>
                </c:pt>
                <c:pt idx="95">
                  <c:v>133.53992880000001</c:v>
                </c:pt>
                <c:pt idx="96">
                  <c:v>156.86695779999999</c:v>
                </c:pt>
                <c:pt idx="97">
                  <c:v>124.5732766</c:v>
                </c:pt>
                <c:pt idx="98">
                  <c:v>101.7889271</c:v>
                </c:pt>
                <c:pt idx="99">
                  <c:v>117.3492947</c:v>
                </c:pt>
                <c:pt idx="100">
                  <c:v>110.52889759999999</c:v>
                </c:pt>
                <c:pt idx="101">
                  <c:v>115.17836869999999</c:v>
                </c:pt>
                <c:pt idx="102">
                  <c:v>129.3638421</c:v>
                </c:pt>
                <c:pt idx="103">
                  <c:v>150.15055240000001</c:v>
                </c:pt>
                <c:pt idx="104">
                  <c:v>135.87563489999999</c:v>
                </c:pt>
                <c:pt idx="105">
                  <c:v>120.03232029999999</c:v>
                </c:pt>
                <c:pt idx="106">
                  <c:v>115.1770267</c:v>
                </c:pt>
                <c:pt idx="107">
                  <c:v>114.63269409999999</c:v>
                </c:pt>
                <c:pt idx="108">
                  <c:v>142.06060260000001</c:v>
                </c:pt>
                <c:pt idx="109">
                  <c:v>109.96886069999999</c:v>
                </c:pt>
                <c:pt idx="110">
                  <c:v>153.9050038</c:v>
                </c:pt>
                <c:pt idx="111">
                  <c:v>125.8983829</c:v>
                </c:pt>
                <c:pt idx="112">
                  <c:v>128.94315539999999</c:v>
                </c:pt>
                <c:pt idx="113">
                  <c:v>144.74006270000001</c:v>
                </c:pt>
                <c:pt idx="114">
                  <c:v>134.7651554</c:v>
                </c:pt>
                <c:pt idx="115">
                  <c:v>153.33740900000001</c:v>
                </c:pt>
                <c:pt idx="116">
                  <c:v>150.81747609999999</c:v>
                </c:pt>
                <c:pt idx="117">
                  <c:v>146.22319379999999</c:v>
                </c:pt>
                <c:pt idx="118">
                  <c:v>152.4910706</c:v>
                </c:pt>
                <c:pt idx="119">
                  <c:v>135.7074681</c:v>
                </c:pt>
                <c:pt idx="120">
                  <c:v>156.6148436</c:v>
                </c:pt>
                <c:pt idx="121">
                  <c:v>168.765242</c:v>
                </c:pt>
                <c:pt idx="122">
                  <c:v>131.23311519999999</c:v>
                </c:pt>
                <c:pt idx="123">
                  <c:v>129.5559433</c:v>
                </c:pt>
                <c:pt idx="124">
                  <c:v>134.03653510000001</c:v>
                </c:pt>
                <c:pt idx="125">
                  <c:v>122.3841977</c:v>
                </c:pt>
                <c:pt idx="126">
                  <c:v>119.00644079999999</c:v>
                </c:pt>
                <c:pt idx="127">
                  <c:v>132.8842252</c:v>
                </c:pt>
                <c:pt idx="128">
                  <c:v>121.6954817</c:v>
                </c:pt>
                <c:pt idx="129">
                  <c:v>134.99774099999999</c:v>
                </c:pt>
                <c:pt idx="130">
                  <c:v>126.76783949999999</c:v>
                </c:pt>
                <c:pt idx="131">
                  <c:v>120.2355304</c:v>
                </c:pt>
                <c:pt idx="132">
                  <c:v>130.2448967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147-4490-A761-857135FF05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5447664"/>
        <c:axId val="745434704"/>
      </c:scatterChart>
      <c:valAx>
        <c:axId val="745447664"/>
        <c:scaling>
          <c:orientation val="minMax"/>
          <c:max val="180"/>
          <c:min val="97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cs typeface="Times New Roman" panose="02020603050405020304" pitchFamily="18" charset="0"/>
                  </a:rPr>
                  <a:t>β</a:t>
                </a:r>
                <a:r>
                  <a:rPr lang="en-GB"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cs typeface="Times New Roman" panose="02020603050405020304" pitchFamily="18" charset="0"/>
                  </a:rPr>
                  <a:t>1</a:t>
                </a:r>
                <a:r>
                  <a:rPr lang="en-GB" sz="1400" b="0" i="0" u="none" strike="noStrike" kern="1200" spc="0" baseline="-25000">
                    <a:solidFill>
                      <a:sysClr val="windowText" lastClr="000000"/>
                    </a:solidFill>
                    <a:effectLst/>
                    <a:latin typeface="+mn-lt"/>
                    <a:cs typeface="Times New Roman" panose="02020603050405020304" pitchFamily="18" charset="0"/>
                  </a:rPr>
                  <a:t>xTB</a:t>
                </a:r>
                <a:r>
                  <a:rPr lang="en-GB"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</a:rPr>
                  <a:t>(</a:t>
                </a:r>
                <a:r>
                  <a:rPr lang="en-IN"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</a:rPr>
                  <a:t>°</a:t>
                </a:r>
                <a:r>
                  <a:rPr lang="en-GB"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</a:rPr>
                  <a:t>)</a:t>
                </a:r>
                <a:endParaRPr lang="en-IN" sz="1400" b="0" i="0" u="none" strike="noStrike" kern="1200" baseline="-25000">
                  <a:solidFill>
                    <a:sysClr val="windowText" lastClr="000000"/>
                  </a:solidFill>
                  <a:latin typeface="+mn-lt"/>
                </a:endParaRPr>
              </a:p>
            </c:rich>
          </c:tx>
          <c:layout>
            <c:manualLayout>
              <c:xMode val="edge"/>
              <c:yMode val="edge"/>
              <c:x val="0.47731932203360983"/>
              <c:y val="0.7924514825981324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5434704"/>
        <c:crosses val="autoZero"/>
        <c:crossBetween val="midCat"/>
      </c:valAx>
      <c:valAx>
        <c:axId val="745434704"/>
        <c:scaling>
          <c:orientation val="minMax"/>
          <c:max val="180"/>
          <c:min val="8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4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β</a:t>
                </a:r>
                <a:r>
                  <a:rPr lang="en-GB" sz="14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1</a:t>
                </a:r>
                <a:r>
                  <a:rPr lang="en-GB" sz="1400" b="0" i="0" u="none" strike="noStrike" kern="1200" spc="0" baseline="-25000">
                    <a:solidFill>
                      <a:sysClr val="windowText" lastClr="000000"/>
                    </a:solidFill>
                    <a:effectLst/>
                    <a:cs typeface="Times New Roman" panose="02020603050405020304" pitchFamily="18" charset="0"/>
                  </a:rPr>
                  <a:t>DFT</a:t>
                </a:r>
                <a:r>
                  <a:rPr lang="en-GB" sz="1400" b="0" i="0" u="none" strike="noStrike" kern="1200" baseline="0">
                    <a:solidFill>
                      <a:sysClr val="windowText" lastClr="000000"/>
                    </a:solidFill>
                  </a:rPr>
                  <a:t>(</a:t>
                </a:r>
                <a:r>
                  <a:rPr lang="en-IN" sz="1400" b="0" i="0" u="none" strike="noStrike" kern="1200" baseline="0">
                    <a:solidFill>
                      <a:sysClr val="windowText" lastClr="000000"/>
                    </a:solidFill>
                  </a:rPr>
                  <a:t>°</a:t>
                </a:r>
                <a:r>
                  <a:rPr lang="en-GB" sz="1400" b="0" i="0" u="none" strike="noStrike" kern="1200" baseline="0">
                    <a:solidFill>
                      <a:sysClr val="windowText" lastClr="000000"/>
                    </a:solidFill>
                  </a:rPr>
                  <a:t>)</a:t>
                </a:r>
                <a:endParaRPr lang="en-IN" sz="1400" b="0" i="0" u="none" strike="noStrike" kern="1200" baseline="-25000">
                  <a:solidFill>
                    <a:sysClr val="windowText" lastClr="000000"/>
                  </a:solidFill>
                </a:endParaRPr>
              </a:p>
            </c:rich>
          </c:tx>
          <c:layout>
            <c:manualLayout>
              <c:xMode val="edge"/>
              <c:yMode val="edge"/>
              <c:x val="2.7385301131846917E-4"/>
              <c:y val="0.3784601924759405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54476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4173737991488932E-2"/>
          <c:y val="0.89313466025080201"/>
          <c:w val="0.89165266841644797"/>
          <c:h val="8.371719160104987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GB" sz="1600" b="1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Angle </a:t>
            </a:r>
            <a:r>
              <a:rPr lang="el-GR" sz="1600" b="1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β</a:t>
            </a:r>
            <a:r>
              <a:rPr lang="en-GB" sz="1600" b="1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2</a:t>
            </a:r>
            <a:endParaRPr lang="en-IN" sz="1600" b="1" i="0" u="none" strike="noStrike" kern="1200" spc="0" baseline="0">
              <a:solidFill>
                <a:sysClr val="windowText" lastClr="000000"/>
              </a:solidFill>
            </a:endParaRPr>
          </a:p>
        </c:rich>
      </c:tx>
      <c:layout>
        <c:manualLayout>
          <c:xMode val="edge"/>
          <c:yMode val="edge"/>
          <c:x val="0.44933856133287181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0.11024692301811788"/>
          <c:y val="0.17374999999999999"/>
          <c:w val="0.84452666717631175"/>
          <c:h val="0.58797880748177855"/>
        </c:manualLayout>
      </c:layout>
      <c:scatterChart>
        <c:scatterStyle val="lineMarker"/>
        <c:varyColors val="0"/>
        <c:ser>
          <c:idx val="0"/>
          <c:order val="0"/>
          <c:tx>
            <c:v>Data points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25400" cap="rnd">
                <a:solidFill>
                  <a:schemeClr val="accent6">
                    <a:lumMod val="75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8172983501847749"/>
                  <c:y val="-0.17374990219169567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1000" b="1" i="0" u="none" strike="noStrike" kern="1200" baseline="0">
                        <a:solidFill>
                          <a:sysClr val="windowText" lastClr="00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l-GR" sz="1000" b="1" i="0" u="none" strike="noStrike" baseline="0">
                        <a:effectLst/>
                      </a:rPr>
                      <a:t>β</a:t>
                    </a:r>
                    <a:r>
                      <a:rPr lang="en-GB" sz="1000" b="1" i="0" u="none" strike="noStrike" baseline="0">
                        <a:effectLst/>
                      </a:rPr>
                      <a:t>2</a:t>
                    </a:r>
                    <a:r>
                      <a:rPr lang="en-GB" sz="1000" b="1" i="0" u="none" strike="noStrike" baseline="-25000">
                        <a:effectLst/>
                      </a:rPr>
                      <a:t>DFT</a:t>
                    </a:r>
                    <a:r>
                      <a:rPr lang="en-US" b="1" baseline="0"/>
                      <a:t> = 0.93</a:t>
                    </a:r>
                    <a:r>
                      <a:rPr lang="el-GR" sz="1000" b="1" i="0" u="none" strike="noStrike" baseline="0">
                        <a:effectLst/>
                      </a:rPr>
                      <a:t>β</a:t>
                    </a:r>
                    <a:r>
                      <a:rPr lang="en-GB" sz="1000" b="1" i="0" u="none" strike="noStrike" baseline="0">
                        <a:effectLst/>
                      </a:rPr>
                      <a:t>2</a:t>
                    </a:r>
                    <a:r>
                      <a:rPr lang="en-GB" sz="1000" b="1" i="0" u="none" strike="noStrike" baseline="-25000">
                        <a:effectLst/>
                      </a:rPr>
                      <a:t>xTB</a:t>
                    </a:r>
                    <a:r>
                      <a:rPr lang="en-US" b="1" baseline="0"/>
                      <a:t> + 9.79</a:t>
                    </a:r>
                    <a:br>
                      <a:rPr lang="en-US" b="1" baseline="0"/>
                    </a:br>
                    <a:r>
                      <a:rPr lang="en-US" b="1" baseline="0"/>
                      <a:t>R² = 0.71</a:t>
                    </a:r>
                  </a:p>
                  <a:p>
                    <a:pPr>
                      <a:defRPr sz="1000" b="1">
                        <a:solidFill>
                          <a:sysClr val="windowText" lastClr="000000"/>
                        </a:solidFill>
                      </a:defRPr>
                    </a:pPr>
                    <a:r>
                      <a:rPr lang="en-US" b="1" baseline="0"/>
                      <a:t>Pearson R = 0.85</a:t>
                    </a:r>
                  </a:p>
                  <a:p>
                    <a:pPr>
                      <a:defRPr sz="1000" b="1">
                        <a:solidFill>
                          <a:sysClr val="windowText" lastClr="000000"/>
                        </a:solidFill>
                      </a:defRPr>
                    </a:pPr>
                    <a:r>
                      <a:rPr lang="en-US" b="1" baseline="0"/>
                      <a:t>MAE = 5.76</a:t>
                    </a:r>
                    <a:r>
                      <a:rPr lang="en-IN" sz="1000" b="1" i="0" u="none" strike="noStrike" baseline="0">
                        <a:effectLst/>
                      </a:rPr>
                      <a:t>°</a:t>
                    </a:r>
                    <a:endParaRPr lang="en-US" b="1" baseline="0"/>
                  </a:p>
                  <a:p>
                    <a:pPr>
                      <a:defRPr sz="1000" b="1">
                        <a:solidFill>
                          <a:sysClr val="windowText" lastClr="000000"/>
                        </a:solidFill>
                      </a:defRPr>
                    </a:pPr>
                    <a:r>
                      <a:rPr lang="en-US" b="1" baseline="0"/>
                      <a:t>RMSE = 7.64</a:t>
                    </a:r>
                    <a:r>
                      <a:rPr lang="en-IN" sz="1000" b="1" i="0" u="none" strike="noStrike" baseline="0">
                        <a:effectLst/>
                      </a:rPr>
                      <a:t>°</a:t>
                    </a:r>
                    <a:endParaRPr lang="en-US" b="1" baseline="0"/>
                  </a:p>
                  <a:p>
                    <a:pPr>
                      <a:defRPr sz="1000" b="1">
                        <a:solidFill>
                          <a:sysClr val="windowText" lastClr="000000"/>
                        </a:solidFill>
                      </a:defRPr>
                    </a:pPr>
                    <a:r>
                      <a:rPr lang="en-US" b="1" baseline="0"/>
                      <a:t>N = 133</a:t>
                    </a:r>
                    <a:endParaRPr lang="en-US" b="1"/>
                  </a:p>
                </c:rich>
              </c:tx>
              <c:numFmt formatCode="General" sourceLinked="0"/>
              <c:spPr>
                <a:solidFill>
                  <a:schemeClr val="bg1">
                    <a:lumMod val="9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'N2-Cu-C angle beta2'!$B$2:$B$133</c:f>
              <c:numCache>
                <c:formatCode>General</c:formatCode>
                <c:ptCount val="132"/>
                <c:pt idx="0">
                  <c:v>123.5641913</c:v>
                </c:pt>
                <c:pt idx="1">
                  <c:v>145.8929023</c:v>
                </c:pt>
                <c:pt idx="2">
                  <c:v>131.5294504</c:v>
                </c:pt>
                <c:pt idx="3">
                  <c:v>122.3796423</c:v>
                </c:pt>
                <c:pt idx="4">
                  <c:v>116.0358913</c:v>
                </c:pt>
                <c:pt idx="5">
                  <c:v>95.777013920000002</c:v>
                </c:pt>
                <c:pt idx="6">
                  <c:v>115.7062348</c:v>
                </c:pt>
                <c:pt idx="7">
                  <c:v>129.2991557</c:v>
                </c:pt>
                <c:pt idx="8">
                  <c:v>115.4914228</c:v>
                </c:pt>
                <c:pt idx="9">
                  <c:v>128.2919507</c:v>
                </c:pt>
                <c:pt idx="10">
                  <c:v>121.6394284</c:v>
                </c:pt>
                <c:pt idx="11">
                  <c:v>141.9198887</c:v>
                </c:pt>
                <c:pt idx="12">
                  <c:v>139.71342480000001</c:v>
                </c:pt>
                <c:pt idx="13">
                  <c:v>133.1512907</c:v>
                </c:pt>
                <c:pt idx="14">
                  <c:v>120.81778559999999</c:v>
                </c:pt>
                <c:pt idx="15">
                  <c:v>115.7444631</c:v>
                </c:pt>
                <c:pt idx="16">
                  <c:v>141.29728789999999</c:v>
                </c:pt>
                <c:pt idx="17">
                  <c:v>138.8687276</c:v>
                </c:pt>
                <c:pt idx="18">
                  <c:v>139.5514895</c:v>
                </c:pt>
                <c:pt idx="19">
                  <c:v>133.76996800000001</c:v>
                </c:pt>
                <c:pt idx="20">
                  <c:v>133.91578630000001</c:v>
                </c:pt>
                <c:pt idx="21">
                  <c:v>146.9232083</c:v>
                </c:pt>
                <c:pt idx="22">
                  <c:v>131.81316559999999</c:v>
                </c:pt>
                <c:pt idx="23">
                  <c:v>107.12935160000001</c:v>
                </c:pt>
                <c:pt idx="24">
                  <c:v>129.0952829</c:v>
                </c:pt>
                <c:pt idx="25">
                  <c:v>140.47496369999999</c:v>
                </c:pt>
                <c:pt idx="26">
                  <c:v>144.0303193</c:v>
                </c:pt>
                <c:pt idx="27">
                  <c:v>137.36758639999999</c:v>
                </c:pt>
                <c:pt idx="28">
                  <c:v>104.549626</c:v>
                </c:pt>
                <c:pt idx="29">
                  <c:v>149.6626646</c:v>
                </c:pt>
                <c:pt idx="30">
                  <c:v>122.0559397</c:v>
                </c:pt>
                <c:pt idx="31">
                  <c:v>128.46793600000001</c:v>
                </c:pt>
                <c:pt idx="32">
                  <c:v>137.0744038</c:v>
                </c:pt>
                <c:pt idx="33">
                  <c:v>127.0240701</c:v>
                </c:pt>
                <c:pt idx="34">
                  <c:v>106.0918424</c:v>
                </c:pt>
                <c:pt idx="35">
                  <c:v>140.43769750000001</c:v>
                </c:pt>
                <c:pt idx="36">
                  <c:v>120.4543559</c:v>
                </c:pt>
                <c:pt idx="37">
                  <c:v>120.2306581</c:v>
                </c:pt>
                <c:pt idx="38">
                  <c:v>125.5657312</c:v>
                </c:pt>
                <c:pt idx="39">
                  <c:v>138.26877820000001</c:v>
                </c:pt>
                <c:pt idx="40">
                  <c:v>127.2825169</c:v>
                </c:pt>
                <c:pt idx="41">
                  <c:v>134.45144809999999</c:v>
                </c:pt>
                <c:pt idx="42">
                  <c:v>125.884016</c:v>
                </c:pt>
                <c:pt idx="43">
                  <c:v>144.9696691</c:v>
                </c:pt>
                <c:pt idx="44">
                  <c:v>153.2023786</c:v>
                </c:pt>
                <c:pt idx="45">
                  <c:v>139.5846027</c:v>
                </c:pt>
                <c:pt idx="46">
                  <c:v>149.07712140000001</c:v>
                </c:pt>
                <c:pt idx="47">
                  <c:v>123.5455255</c:v>
                </c:pt>
                <c:pt idx="48">
                  <c:v>127.9290237</c:v>
                </c:pt>
                <c:pt idx="49">
                  <c:v>130.2347551</c:v>
                </c:pt>
                <c:pt idx="50">
                  <c:v>134.90489299999999</c:v>
                </c:pt>
                <c:pt idx="51">
                  <c:v>140.84900010000001</c:v>
                </c:pt>
                <c:pt idx="52">
                  <c:v>139.38515609999999</c:v>
                </c:pt>
                <c:pt idx="53">
                  <c:v>113.3613414</c:v>
                </c:pt>
                <c:pt idx="54">
                  <c:v>156.902434</c:v>
                </c:pt>
                <c:pt idx="55">
                  <c:v>129.85150379999999</c:v>
                </c:pt>
                <c:pt idx="56">
                  <c:v>145.83506819999999</c:v>
                </c:pt>
                <c:pt idx="57">
                  <c:v>137.40856049999999</c:v>
                </c:pt>
                <c:pt idx="58">
                  <c:v>155.97343799999999</c:v>
                </c:pt>
                <c:pt idx="59">
                  <c:v>128.8176516</c:v>
                </c:pt>
                <c:pt idx="60">
                  <c:v>115.4239718</c:v>
                </c:pt>
                <c:pt idx="61">
                  <c:v>148.32661440000001</c:v>
                </c:pt>
                <c:pt idx="62">
                  <c:v>136.36428470000001</c:v>
                </c:pt>
                <c:pt idx="63">
                  <c:v>137.9580775</c:v>
                </c:pt>
                <c:pt idx="64">
                  <c:v>122.2466561</c:v>
                </c:pt>
                <c:pt idx="65">
                  <c:v>114.4560745</c:v>
                </c:pt>
                <c:pt idx="66">
                  <c:v>115.3298197</c:v>
                </c:pt>
                <c:pt idx="67">
                  <c:v>125.15739910000001</c:v>
                </c:pt>
                <c:pt idx="68">
                  <c:v>132.8022905</c:v>
                </c:pt>
                <c:pt idx="69">
                  <c:v>122.433921</c:v>
                </c:pt>
                <c:pt idx="70">
                  <c:v>144.9409694</c:v>
                </c:pt>
                <c:pt idx="71">
                  <c:v>133.2967975</c:v>
                </c:pt>
                <c:pt idx="72">
                  <c:v>149.05415930000001</c:v>
                </c:pt>
                <c:pt idx="73">
                  <c:v>134.81290279999999</c:v>
                </c:pt>
                <c:pt idx="74">
                  <c:v>120.5974934</c:v>
                </c:pt>
                <c:pt idx="75">
                  <c:v>129.1678895</c:v>
                </c:pt>
                <c:pt idx="76">
                  <c:v>123.4168207</c:v>
                </c:pt>
                <c:pt idx="77">
                  <c:v>112.3364565</c:v>
                </c:pt>
                <c:pt idx="78">
                  <c:v>123.83367730000001</c:v>
                </c:pt>
                <c:pt idx="79">
                  <c:v>136.80868219999999</c:v>
                </c:pt>
                <c:pt idx="80">
                  <c:v>121.3126651</c:v>
                </c:pt>
                <c:pt idx="81">
                  <c:v>95.551842750000006</c:v>
                </c:pt>
                <c:pt idx="82">
                  <c:v>116.206496</c:v>
                </c:pt>
                <c:pt idx="83">
                  <c:v>138.2564021</c:v>
                </c:pt>
                <c:pt idx="84">
                  <c:v>138.89411770000001</c:v>
                </c:pt>
                <c:pt idx="85">
                  <c:v>137.42136919999999</c:v>
                </c:pt>
                <c:pt idx="86">
                  <c:v>107.3358162</c:v>
                </c:pt>
                <c:pt idx="87">
                  <c:v>130.30401900000001</c:v>
                </c:pt>
                <c:pt idx="88">
                  <c:v>142.22196640000001</c:v>
                </c:pt>
                <c:pt idx="89">
                  <c:v>143.23970370000001</c:v>
                </c:pt>
                <c:pt idx="90">
                  <c:v>144.50904969999999</c:v>
                </c:pt>
                <c:pt idx="91">
                  <c:v>139.37298609999999</c:v>
                </c:pt>
                <c:pt idx="92">
                  <c:v>127.08427260000001</c:v>
                </c:pt>
                <c:pt idx="93">
                  <c:v>141.77016</c:v>
                </c:pt>
                <c:pt idx="94">
                  <c:v>107.1920624</c:v>
                </c:pt>
                <c:pt idx="95">
                  <c:v>145.26536239999999</c:v>
                </c:pt>
                <c:pt idx="96">
                  <c:v>157.61271070000001</c:v>
                </c:pt>
                <c:pt idx="97">
                  <c:v>118.0672196</c:v>
                </c:pt>
                <c:pt idx="98">
                  <c:v>157.50219730000001</c:v>
                </c:pt>
                <c:pt idx="99">
                  <c:v>150.94473310000001</c:v>
                </c:pt>
                <c:pt idx="100">
                  <c:v>118.6535715</c:v>
                </c:pt>
                <c:pt idx="101">
                  <c:v>125.8905867</c:v>
                </c:pt>
                <c:pt idx="102">
                  <c:v>133.22609499999999</c:v>
                </c:pt>
                <c:pt idx="103">
                  <c:v>135.98142970000001</c:v>
                </c:pt>
                <c:pt idx="104">
                  <c:v>137.87582549999999</c:v>
                </c:pt>
                <c:pt idx="105">
                  <c:v>129.4337543</c:v>
                </c:pt>
                <c:pt idx="106">
                  <c:v>120.79034129999999</c:v>
                </c:pt>
                <c:pt idx="107">
                  <c:v>139.06117760000001</c:v>
                </c:pt>
                <c:pt idx="108">
                  <c:v>111.7451444</c:v>
                </c:pt>
                <c:pt idx="109">
                  <c:v>143.9075929</c:v>
                </c:pt>
                <c:pt idx="110">
                  <c:v>145.63021230000001</c:v>
                </c:pt>
                <c:pt idx="111">
                  <c:v>129.4943715</c:v>
                </c:pt>
                <c:pt idx="112">
                  <c:v>133.98963470000001</c:v>
                </c:pt>
                <c:pt idx="113">
                  <c:v>120.0013965</c:v>
                </c:pt>
                <c:pt idx="114">
                  <c:v>118.77536790000001</c:v>
                </c:pt>
                <c:pt idx="115">
                  <c:v>127.556984</c:v>
                </c:pt>
                <c:pt idx="116">
                  <c:v>117.8235451</c:v>
                </c:pt>
                <c:pt idx="117">
                  <c:v>137.87397480000001</c:v>
                </c:pt>
                <c:pt idx="118">
                  <c:v>107.05419620000001</c:v>
                </c:pt>
                <c:pt idx="119">
                  <c:v>104.87901650000001</c:v>
                </c:pt>
                <c:pt idx="120">
                  <c:v>132.45410190000001</c:v>
                </c:pt>
                <c:pt idx="121">
                  <c:v>136.83625129999999</c:v>
                </c:pt>
                <c:pt idx="122">
                  <c:v>129.8489136</c:v>
                </c:pt>
                <c:pt idx="123">
                  <c:v>145.0501064</c:v>
                </c:pt>
                <c:pt idx="124">
                  <c:v>139.71605700000001</c:v>
                </c:pt>
                <c:pt idx="125">
                  <c:v>145.10007519999999</c:v>
                </c:pt>
                <c:pt idx="126">
                  <c:v>147.3346722</c:v>
                </c:pt>
                <c:pt idx="127">
                  <c:v>119.419533</c:v>
                </c:pt>
                <c:pt idx="128">
                  <c:v>121.22724030000001</c:v>
                </c:pt>
                <c:pt idx="129">
                  <c:v>130.3771873</c:v>
                </c:pt>
                <c:pt idx="130">
                  <c:v>123.9510762</c:v>
                </c:pt>
                <c:pt idx="131">
                  <c:v>145.0859226</c:v>
                </c:pt>
              </c:numCache>
            </c:numRef>
          </c:xVal>
          <c:yVal>
            <c:numRef>
              <c:f>'N2-Cu-C angle beta2'!$C$2:$C$133</c:f>
              <c:numCache>
                <c:formatCode>General</c:formatCode>
                <c:ptCount val="132"/>
                <c:pt idx="0">
                  <c:v>130.9631062</c:v>
                </c:pt>
                <c:pt idx="1">
                  <c:v>148.49691799999999</c:v>
                </c:pt>
                <c:pt idx="2">
                  <c:v>131.3808344</c:v>
                </c:pt>
                <c:pt idx="3">
                  <c:v>135.8337066</c:v>
                </c:pt>
                <c:pt idx="4">
                  <c:v>125.43313929999999</c:v>
                </c:pt>
                <c:pt idx="5">
                  <c:v>91.801185469999993</c:v>
                </c:pt>
                <c:pt idx="6">
                  <c:v>109.8453043</c:v>
                </c:pt>
                <c:pt idx="7">
                  <c:v>123.9495543</c:v>
                </c:pt>
                <c:pt idx="8">
                  <c:v>116.3555771</c:v>
                </c:pt>
                <c:pt idx="9">
                  <c:v>126.058797</c:v>
                </c:pt>
                <c:pt idx="10">
                  <c:v>122.36527460000001</c:v>
                </c:pt>
                <c:pt idx="11">
                  <c:v>131.42288379999999</c:v>
                </c:pt>
                <c:pt idx="12">
                  <c:v>137.40713210000001</c:v>
                </c:pt>
                <c:pt idx="13">
                  <c:v>130.99655730000001</c:v>
                </c:pt>
                <c:pt idx="14">
                  <c:v>120.18157119999999</c:v>
                </c:pt>
                <c:pt idx="15">
                  <c:v>131.76967769999999</c:v>
                </c:pt>
                <c:pt idx="16">
                  <c:v>143.25175669999999</c:v>
                </c:pt>
                <c:pt idx="17">
                  <c:v>133.36613130000001</c:v>
                </c:pt>
                <c:pt idx="18">
                  <c:v>128.43023719999999</c:v>
                </c:pt>
                <c:pt idx="19">
                  <c:v>127.17213</c:v>
                </c:pt>
                <c:pt idx="20">
                  <c:v>135.83413780000001</c:v>
                </c:pt>
                <c:pt idx="21">
                  <c:v>154.89078040000001</c:v>
                </c:pt>
                <c:pt idx="22">
                  <c:v>125.295455</c:v>
                </c:pt>
                <c:pt idx="23">
                  <c:v>121.96157530000001</c:v>
                </c:pt>
                <c:pt idx="24">
                  <c:v>126.562999</c:v>
                </c:pt>
                <c:pt idx="25">
                  <c:v>140.2879805</c:v>
                </c:pt>
                <c:pt idx="26">
                  <c:v>167.00772269999999</c:v>
                </c:pt>
                <c:pt idx="27">
                  <c:v>138.65702039999999</c:v>
                </c:pt>
                <c:pt idx="28">
                  <c:v>112.4689686</c:v>
                </c:pt>
                <c:pt idx="29">
                  <c:v>127.1186393</c:v>
                </c:pt>
                <c:pt idx="30">
                  <c:v>101.9646128</c:v>
                </c:pt>
                <c:pt idx="31">
                  <c:v>121.21067720000001</c:v>
                </c:pt>
                <c:pt idx="32">
                  <c:v>136.45226270000001</c:v>
                </c:pt>
                <c:pt idx="33">
                  <c:v>132.7707302</c:v>
                </c:pt>
                <c:pt idx="34">
                  <c:v>104.81207670000001</c:v>
                </c:pt>
                <c:pt idx="35">
                  <c:v>140.06529900000001</c:v>
                </c:pt>
                <c:pt idx="36">
                  <c:v>128.36849359999999</c:v>
                </c:pt>
                <c:pt idx="37">
                  <c:v>119.1957412</c:v>
                </c:pt>
                <c:pt idx="38">
                  <c:v>124.055477</c:v>
                </c:pt>
                <c:pt idx="39">
                  <c:v>140.2254126</c:v>
                </c:pt>
                <c:pt idx="40">
                  <c:v>130.08393169999999</c:v>
                </c:pt>
                <c:pt idx="41">
                  <c:v>132.52409209999999</c:v>
                </c:pt>
                <c:pt idx="42">
                  <c:v>134.28495749999999</c:v>
                </c:pt>
                <c:pt idx="43">
                  <c:v>140.2484504</c:v>
                </c:pt>
                <c:pt idx="44">
                  <c:v>159.64336130000001</c:v>
                </c:pt>
                <c:pt idx="45">
                  <c:v>141.8810574</c:v>
                </c:pt>
                <c:pt idx="46">
                  <c:v>143.16980380000001</c:v>
                </c:pt>
                <c:pt idx="47">
                  <c:v>141.41591550000001</c:v>
                </c:pt>
                <c:pt idx="48">
                  <c:v>130.31081270000001</c:v>
                </c:pt>
                <c:pt idx="49">
                  <c:v>124.426672</c:v>
                </c:pt>
                <c:pt idx="50">
                  <c:v>138.8287569</c:v>
                </c:pt>
                <c:pt idx="51">
                  <c:v>146.72692480000001</c:v>
                </c:pt>
                <c:pt idx="52">
                  <c:v>146.4200592</c:v>
                </c:pt>
                <c:pt idx="53">
                  <c:v>112.35399</c:v>
                </c:pt>
                <c:pt idx="54">
                  <c:v>162.60375569999999</c:v>
                </c:pt>
                <c:pt idx="55">
                  <c:v>132.63115759999999</c:v>
                </c:pt>
                <c:pt idx="56">
                  <c:v>152.83479460000001</c:v>
                </c:pt>
                <c:pt idx="57">
                  <c:v>131.1832742</c:v>
                </c:pt>
                <c:pt idx="58">
                  <c:v>168.8095592</c:v>
                </c:pt>
                <c:pt idx="59">
                  <c:v>119.3996013</c:v>
                </c:pt>
                <c:pt idx="60">
                  <c:v>115.71439100000001</c:v>
                </c:pt>
                <c:pt idx="61">
                  <c:v>153.74070119999999</c:v>
                </c:pt>
                <c:pt idx="62">
                  <c:v>139.29530270000001</c:v>
                </c:pt>
                <c:pt idx="63">
                  <c:v>130.06974719999999</c:v>
                </c:pt>
                <c:pt idx="64">
                  <c:v>115.17675370000001</c:v>
                </c:pt>
                <c:pt idx="65">
                  <c:v>118.7820734</c:v>
                </c:pt>
                <c:pt idx="66">
                  <c:v>111.9009046</c:v>
                </c:pt>
                <c:pt idx="67">
                  <c:v>121.29702810000001</c:v>
                </c:pt>
                <c:pt idx="68">
                  <c:v>131.2494423</c:v>
                </c:pt>
                <c:pt idx="69">
                  <c:v>121.7296365</c:v>
                </c:pt>
                <c:pt idx="70">
                  <c:v>148.35072160000001</c:v>
                </c:pt>
                <c:pt idx="71">
                  <c:v>140.5988184</c:v>
                </c:pt>
                <c:pt idx="72">
                  <c:v>136.33809780000001</c:v>
                </c:pt>
                <c:pt idx="73">
                  <c:v>134.1776175</c:v>
                </c:pt>
                <c:pt idx="74">
                  <c:v>119.4037182</c:v>
                </c:pt>
                <c:pt idx="75">
                  <c:v>140.14522220000001</c:v>
                </c:pt>
                <c:pt idx="76">
                  <c:v>119.3284128</c:v>
                </c:pt>
                <c:pt idx="77">
                  <c:v>115.6373038</c:v>
                </c:pt>
                <c:pt idx="78">
                  <c:v>119.0653161</c:v>
                </c:pt>
                <c:pt idx="79">
                  <c:v>136.062285</c:v>
                </c:pt>
                <c:pt idx="80">
                  <c:v>120.178217</c:v>
                </c:pt>
                <c:pt idx="81">
                  <c:v>93.656608169999998</c:v>
                </c:pt>
                <c:pt idx="82">
                  <c:v>124.9778756</c:v>
                </c:pt>
                <c:pt idx="83">
                  <c:v>139.00912719999999</c:v>
                </c:pt>
                <c:pt idx="84">
                  <c:v>146.35261639999999</c:v>
                </c:pt>
                <c:pt idx="85">
                  <c:v>124.8476215</c:v>
                </c:pt>
                <c:pt idx="86">
                  <c:v>124.83581169999999</c:v>
                </c:pt>
                <c:pt idx="87">
                  <c:v>121.9437135</c:v>
                </c:pt>
                <c:pt idx="88">
                  <c:v>147.9607092</c:v>
                </c:pt>
                <c:pt idx="89">
                  <c:v>143.6943742</c:v>
                </c:pt>
                <c:pt idx="90">
                  <c:v>140.63056019999999</c:v>
                </c:pt>
                <c:pt idx="91">
                  <c:v>142.75427529999999</c:v>
                </c:pt>
                <c:pt idx="92">
                  <c:v>119.17906670000001</c:v>
                </c:pt>
                <c:pt idx="93">
                  <c:v>132.14704119999999</c:v>
                </c:pt>
                <c:pt idx="94">
                  <c:v>113.1155163</c:v>
                </c:pt>
                <c:pt idx="95">
                  <c:v>149.96676629999999</c:v>
                </c:pt>
                <c:pt idx="96">
                  <c:v>138.98043809999999</c:v>
                </c:pt>
                <c:pt idx="97">
                  <c:v>115.5285877</c:v>
                </c:pt>
                <c:pt idx="98">
                  <c:v>165.52354059999999</c:v>
                </c:pt>
                <c:pt idx="99">
                  <c:v>154.62097080000001</c:v>
                </c:pt>
                <c:pt idx="100">
                  <c:v>121.9300853</c:v>
                </c:pt>
                <c:pt idx="101">
                  <c:v>124.0283688</c:v>
                </c:pt>
                <c:pt idx="102">
                  <c:v>129.3746883</c:v>
                </c:pt>
                <c:pt idx="103">
                  <c:v>131.4994092</c:v>
                </c:pt>
                <c:pt idx="104">
                  <c:v>134.87133309999999</c:v>
                </c:pt>
                <c:pt idx="105">
                  <c:v>108.50490720000001</c:v>
                </c:pt>
                <c:pt idx="106">
                  <c:v>121.69699009999999</c:v>
                </c:pt>
                <c:pt idx="107">
                  <c:v>139.80883639999999</c:v>
                </c:pt>
                <c:pt idx="108">
                  <c:v>120.7098756</c:v>
                </c:pt>
                <c:pt idx="109">
                  <c:v>156.7786328</c:v>
                </c:pt>
                <c:pt idx="110">
                  <c:v>150.0304639</c:v>
                </c:pt>
                <c:pt idx="111">
                  <c:v>126.84978409999999</c:v>
                </c:pt>
                <c:pt idx="112">
                  <c:v>136.5072529</c:v>
                </c:pt>
                <c:pt idx="113">
                  <c:v>130.10383680000001</c:v>
                </c:pt>
                <c:pt idx="114">
                  <c:v>131.83159670000001</c:v>
                </c:pt>
                <c:pt idx="115">
                  <c:v>143.0466887</c:v>
                </c:pt>
                <c:pt idx="116">
                  <c:v>114.5270931</c:v>
                </c:pt>
                <c:pt idx="117">
                  <c:v>132.9050039</c:v>
                </c:pt>
                <c:pt idx="118">
                  <c:v>102.1628602</c:v>
                </c:pt>
                <c:pt idx="119">
                  <c:v>109.0732363</c:v>
                </c:pt>
                <c:pt idx="120">
                  <c:v>124.2777045</c:v>
                </c:pt>
                <c:pt idx="121">
                  <c:v>136.56539989999999</c:v>
                </c:pt>
                <c:pt idx="122">
                  <c:v>129.05473119999999</c:v>
                </c:pt>
                <c:pt idx="123">
                  <c:v>144.85967640000001</c:v>
                </c:pt>
                <c:pt idx="124">
                  <c:v>128.70909080000001</c:v>
                </c:pt>
                <c:pt idx="125">
                  <c:v>142.83074199999999</c:v>
                </c:pt>
                <c:pt idx="126">
                  <c:v>144.91615429999999</c:v>
                </c:pt>
                <c:pt idx="127">
                  <c:v>112.2078636</c:v>
                </c:pt>
                <c:pt idx="128">
                  <c:v>127.8471156</c:v>
                </c:pt>
                <c:pt idx="129">
                  <c:v>132.12185840000001</c:v>
                </c:pt>
                <c:pt idx="130">
                  <c:v>122.95011580000001</c:v>
                </c:pt>
                <c:pt idx="131">
                  <c:v>154.4146619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4AF-4EDB-993C-5DB99F72A791}"/>
            </c:ext>
          </c:extLst>
        </c:ser>
        <c:ser>
          <c:idx val="1"/>
          <c:order val="1"/>
          <c:tx>
            <c:v>Perfect line</c:v>
          </c:tx>
          <c:spPr>
            <a:ln w="25400" cap="rnd">
              <a:solidFill>
                <a:schemeClr val="bg1">
                  <a:lumMod val="8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'N2-Cu-C angle beta2'!$B$2:$B$133</c:f>
              <c:numCache>
                <c:formatCode>General</c:formatCode>
                <c:ptCount val="132"/>
                <c:pt idx="0">
                  <c:v>123.5641913</c:v>
                </c:pt>
                <c:pt idx="1">
                  <c:v>145.8929023</c:v>
                </c:pt>
                <c:pt idx="2">
                  <c:v>131.5294504</c:v>
                </c:pt>
                <c:pt idx="3">
                  <c:v>122.3796423</c:v>
                </c:pt>
                <c:pt idx="4">
                  <c:v>116.0358913</c:v>
                </c:pt>
                <c:pt idx="5">
                  <c:v>95.777013920000002</c:v>
                </c:pt>
                <c:pt idx="6">
                  <c:v>115.7062348</c:v>
                </c:pt>
                <c:pt idx="7">
                  <c:v>129.2991557</c:v>
                </c:pt>
                <c:pt idx="8">
                  <c:v>115.4914228</c:v>
                </c:pt>
                <c:pt idx="9">
                  <c:v>128.2919507</c:v>
                </c:pt>
                <c:pt idx="10">
                  <c:v>121.6394284</c:v>
                </c:pt>
                <c:pt idx="11">
                  <c:v>141.9198887</c:v>
                </c:pt>
                <c:pt idx="12">
                  <c:v>139.71342480000001</c:v>
                </c:pt>
                <c:pt idx="13">
                  <c:v>133.1512907</c:v>
                </c:pt>
                <c:pt idx="14">
                  <c:v>120.81778559999999</c:v>
                </c:pt>
                <c:pt idx="15">
                  <c:v>115.7444631</c:v>
                </c:pt>
                <c:pt idx="16">
                  <c:v>141.29728789999999</c:v>
                </c:pt>
                <c:pt idx="17">
                  <c:v>138.8687276</c:v>
                </c:pt>
                <c:pt idx="18">
                  <c:v>139.5514895</c:v>
                </c:pt>
                <c:pt idx="19">
                  <c:v>133.76996800000001</c:v>
                </c:pt>
                <c:pt idx="20">
                  <c:v>133.91578630000001</c:v>
                </c:pt>
                <c:pt idx="21">
                  <c:v>146.9232083</c:v>
                </c:pt>
                <c:pt idx="22">
                  <c:v>131.81316559999999</c:v>
                </c:pt>
                <c:pt idx="23">
                  <c:v>107.12935160000001</c:v>
                </c:pt>
                <c:pt idx="24">
                  <c:v>129.0952829</c:v>
                </c:pt>
                <c:pt idx="25">
                  <c:v>140.47496369999999</c:v>
                </c:pt>
                <c:pt idx="26">
                  <c:v>144.0303193</c:v>
                </c:pt>
                <c:pt idx="27">
                  <c:v>137.36758639999999</c:v>
                </c:pt>
                <c:pt idx="28">
                  <c:v>104.549626</c:v>
                </c:pt>
                <c:pt idx="29">
                  <c:v>149.6626646</c:v>
                </c:pt>
                <c:pt idx="30">
                  <c:v>122.0559397</c:v>
                </c:pt>
                <c:pt idx="31">
                  <c:v>128.46793600000001</c:v>
                </c:pt>
                <c:pt idx="32">
                  <c:v>137.0744038</c:v>
                </c:pt>
                <c:pt idx="33">
                  <c:v>127.0240701</c:v>
                </c:pt>
                <c:pt idx="34">
                  <c:v>106.0918424</c:v>
                </c:pt>
                <c:pt idx="35">
                  <c:v>140.43769750000001</c:v>
                </c:pt>
                <c:pt idx="36">
                  <c:v>120.4543559</c:v>
                </c:pt>
                <c:pt idx="37">
                  <c:v>120.2306581</c:v>
                </c:pt>
                <c:pt idx="38">
                  <c:v>125.5657312</c:v>
                </c:pt>
                <c:pt idx="39">
                  <c:v>138.26877820000001</c:v>
                </c:pt>
                <c:pt idx="40">
                  <c:v>127.2825169</c:v>
                </c:pt>
                <c:pt idx="41">
                  <c:v>134.45144809999999</c:v>
                </c:pt>
                <c:pt idx="42">
                  <c:v>125.884016</c:v>
                </c:pt>
                <c:pt idx="43">
                  <c:v>144.9696691</c:v>
                </c:pt>
                <c:pt idx="44">
                  <c:v>153.2023786</c:v>
                </c:pt>
                <c:pt idx="45">
                  <c:v>139.5846027</c:v>
                </c:pt>
                <c:pt idx="46">
                  <c:v>149.07712140000001</c:v>
                </c:pt>
                <c:pt idx="47">
                  <c:v>123.5455255</c:v>
                </c:pt>
                <c:pt idx="48">
                  <c:v>127.9290237</c:v>
                </c:pt>
                <c:pt idx="49">
                  <c:v>130.2347551</c:v>
                </c:pt>
                <c:pt idx="50">
                  <c:v>134.90489299999999</c:v>
                </c:pt>
                <c:pt idx="51">
                  <c:v>140.84900010000001</c:v>
                </c:pt>
                <c:pt idx="52">
                  <c:v>139.38515609999999</c:v>
                </c:pt>
                <c:pt idx="53">
                  <c:v>113.3613414</c:v>
                </c:pt>
                <c:pt idx="54">
                  <c:v>156.902434</c:v>
                </c:pt>
                <c:pt idx="55">
                  <c:v>129.85150379999999</c:v>
                </c:pt>
                <c:pt idx="56">
                  <c:v>145.83506819999999</c:v>
                </c:pt>
                <c:pt idx="57">
                  <c:v>137.40856049999999</c:v>
                </c:pt>
                <c:pt idx="58">
                  <c:v>155.97343799999999</c:v>
                </c:pt>
                <c:pt idx="59">
                  <c:v>128.8176516</c:v>
                </c:pt>
                <c:pt idx="60">
                  <c:v>115.4239718</c:v>
                </c:pt>
                <c:pt idx="61">
                  <c:v>148.32661440000001</c:v>
                </c:pt>
                <c:pt idx="62">
                  <c:v>136.36428470000001</c:v>
                </c:pt>
                <c:pt idx="63">
                  <c:v>137.9580775</c:v>
                </c:pt>
                <c:pt idx="64">
                  <c:v>122.2466561</c:v>
                </c:pt>
                <c:pt idx="65">
                  <c:v>114.4560745</c:v>
                </c:pt>
                <c:pt idx="66">
                  <c:v>115.3298197</c:v>
                </c:pt>
                <c:pt idx="67">
                  <c:v>125.15739910000001</c:v>
                </c:pt>
                <c:pt idx="68">
                  <c:v>132.8022905</c:v>
                </c:pt>
                <c:pt idx="69">
                  <c:v>122.433921</c:v>
                </c:pt>
                <c:pt idx="70">
                  <c:v>144.9409694</c:v>
                </c:pt>
                <c:pt idx="71">
                  <c:v>133.2967975</c:v>
                </c:pt>
                <c:pt idx="72">
                  <c:v>149.05415930000001</c:v>
                </c:pt>
                <c:pt idx="73">
                  <c:v>134.81290279999999</c:v>
                </c:pt>
                <c:pt idx="74">
                  <c:v>120.5974934</c:v>
                </c:pt>
                <c:pt idx="75">
                  <c:v>129.1678895</c:v>
                </c:pt>
                <c:pt idx="76">
                  <c:v>123.4168207</c:v>
                </c:pt>
                <c:pt idx="77">
                  <c:v>112.3364565</c:v>
                </c:pt>
                <c:pt idx="78">
                  <c:v>123.83367730000001</c:v>
                </c:pt>
                <c:pt idx="79">
                  <c:v>136.80868219999999</c:v>
                </c:pt>
                <c:pt idx="80">
                  <c:v>121.3126651</c:v>
                </c:pt>
                <c:pt idx="81">
                  <c:v>95.551842750000006</c:v>
                </c:pt>
                <c:pt idx="82">
                  <c:v>116.206496</c:v>
                </c:pt>
                <c:pt idx="83">
                  <c:v>138.2564021</c:v>
                </c:pt>
                <c:pt idx="84">
                  <c:v>138.89411770000001</c:v>
                </c:pt>
                <c:pt idx="85">
                  <c:v>137.42136919999999</c:v>
                </c:pt>
                <c:pt idx="86">
                  <c:v>107.3358162</c:v>
                </c:pt>
                <c:pt idx="87">
                  <c:v>130.30401900000001</c:v>
                </c:pt>
                <c:pt idx="88">
                  <c:v>142.22196640000001</c:v>
                </c:pt>
                <c:pt idx="89">
                  <c:v>143.23970370000001</c:v>
                </c:pt>
                <c:pt idx="90">
                  <c:v>144.50904969999999</c:v>
                </c:pt>
                <c:pt idx="91">
                  <c:v>139.37298609999999</c:v>
                </c:pt>
                <c:pt idx="92">
                  <c:v>127.08427260000001</c:v>
                </c:pt>
                <c:pt idx="93">
                  <c:v>141.77016</c:v>
                </c:pt>
                <c:pt idx="94">
                  <c:v>107.1920624</c:v>
                </c:pt>
                <c:pt idx="95">
                  <c:v>145.26536239999999</c:v>
                </c:pt>
                <c:pt idx="96">
                  <c:v>157.61271070000001</c:v>
                </c:pt>
                <c:pt idx="97">
                  <c:v>118.0672196</c:v>
                </c:pt>
                <c:pt idx="98">
                  <c:v>157.50219730000001</c:v>
                </c:pt>
                <c:pt idx="99">
                  <c:v>150.94473310000001</c:v>
                </c:pt>
                <c:pt idx="100">
                  <c:v>118.6535715</c:v>
                </c:pt>
                <c:pt idx="101">
                  <c:v>125.8905867</c:v>
                </c:pt>
                <c:pt idx="102">
                  <c:v>133.22609499999999</c:v>
                </c:pt>
                <c:pt idx="103">
                  <c:v>135.98142970000001</c:v>
                </c:pt>
                <c:pt idx="104">
                  <c:v>137.87582549999999</c:v>
                </c:pt>
                <c:pt idx="105">
                  <c:v>129.4337543</c:v>
                </c:pt>
                <c:pt idx="106">
                  <c:v>120.79034129999999</c:v>
                </c:pt>
                <c:pt idx="107">
                  <c:v>139.06117760000001</c:v>
                </c:pt>
                <c:pt idx="108">
                  <c:v>111.7451444</c:v>
                </c:pt>
                <c:pt idx="109">
                  <c:v>143.9075929</c:v>
                </c:pt>
                <c:pt idx="110">
                  <c:v>145.63021230000001</c:v>
                </c:pt>
                <c:pt idx="111">
                  <c:v>129.4943715</c:v>
                </c:pt>
                <c:pt idx="112">
                  <c:v>133.98963470000001</c:v>
                </c:pt>
                <c:pt idx="113">
                  <c:v>120.0013965</c:v>
                </c:pt>
                <c:pt idx="114">
                  <c:v>118.77536790000001</c:v>
                </c:pt>
                <c:pt idx="115">
                  <c:v>127.556984</c:v>
                </c:pt>
                <c:pt idx="116">
                  <c:v>117.8235451</c:v>
                </c:pt>
                <c:pt idx="117">
                  <c:v>137.87397480000001</c:v>
                </c:pt>
                <c:pt idx="118">
                  <c:v>107.05419620000001</c:v>
                </c:pt>
                <c:pt idx="119">
                  <c:v>104.87901650000001</c:v>
                </c:pt>
                <c:pt idx="120">
                  <c:v>132.45410190000001</c:v>
                </c:pt>
                <c:pt idx="121">
                  <c:v>136.83625129999999</c:v>
                </c:pt>
                <c:pt idx="122">
                  <c:v>129.8489136</c:v>
                </c:pt>
                <c:pt idx="123">
                  <c:v>145.0501064</c:v>
                </c:pt>
                <c:pt idx="124">
                  <c:v>139.71605700000001</c:v>
                </c:pt>
                <c:pt idx="125">
                  <c:v>145.10007519999999</c:v>
                </c:pt>
                <c:pt idx="126">
                  <c:v>147.3346722</c:v>
                </c:pt>
                <c:pt idx="127">
                  <c:v>119.419533</c:v>
                </c:pt>
                <c:pt idx="128">
                  <c:v>121.22724030000001</c:v>
                </c:pt>
                <c:pt idx="129">
                  <c:v>130.3771873</c:v>
                </c:pt>
                <c:pt idx="130">
                  <c:v>123.9510762</c:v>
                </c:pt>
                <c:pt idx="131">
                  <c:v>145.0859226</c:v>
                </c:pt>
              </c:numCache>
            </c:numRef>
          </c:xVal>
          <c:yVal>
            <c:numRef>
              <c:f>'N2-Cu-C angle beta2'!$I$2:$I$133</c:f>
              <c:numCache>
                <c:formatCode>General</c:formatCode>
                <c:ptCount val="132"/>
                <c:pt idx="0">
                  <c:v>123.5641913</c:v>
                </c:pt>
                <c:pt idx="1">
                  <c:v>145.8929023</c:v>
                </c:pt>
                <c:pt idx="2">
                  <c:v>131.5294504</c:v>
                </c:pt>
                <c:pt idx="3">
                  <c:v>122.3796423</c:v>
                </c:pt>
                <c:pt idx="4">
                  <c:v>116.0358913</c:v>
                </c:pt>
                <c:pt idx="5">
                  <c:v>95.777013920000002</c:v>
                </c:pt>
                <c:pt idx="6">
                  <c:v>115.7062348</c:v>
                </c:pt>
                <c:pt idx="7">
                  <c:v>129.2991557</c:v>
                </c:pt>
                <c:pt idx="8">
                  <c:v>115.4914228</c:v>
                </c:pt>
                <c:pt idx="9">
                  <c:v>128.2919507</c:v>
                </c:pt>
                <c:pt idx="10">
                  <c:v>121.6394284</c:v>
                </c:pt>
                <c:pt idx="11">
                  <c:v>141.9198887</c:v>
                </c:pt>
                <c:pt idx="12">
                  <c:v>139.71342480000001</c:v>
                </c:pt>
                <c:pt idx="13">
                  <c:v>133.1512907</c:v>
                </c:pt>
                <c:pt idx="14">
                  <c:v>120.81778559999999</c:v>
                </c:pt>
                <c:pt idx="15">
                  <c:v>115.7444631</c:v>
                </c:pt>
                <c:pt idx="16">
                  <c:v>141.29728789999999</c:v>
                </c:pt>
                <c:pt idx="17">
                  <c:v>138.8687276</c:v>
                </c:pt>
                <c:pt idx="18">
                  <c:v>139.5514895</c:v>
                </c:pt>
                <c:pt idx="19">
                  <c:v>133.76996800000001</c:v>
                </c:pt>
                <c:pt idx="20">
                  <c:v>133.91578630000001</c:v>
                </c:pt>
                <c:pt idx="21">
                  <c:v>146.9232083</c:v>
                </c:pt>
                <c:pt idx="22">
                  <c:v>131.81316559999999</c:v>
                </c:pt>
                <c:pt idx="23">
                  <c:v>107.12935160000001</c:v>
                </c:pt>
                <c:pt idx="24">
                  <c:v>129.0952829</c:v>
                </c:pt>
                <c:pt idx="25">
                  <c:v>140.47496369999999</c:v>
                </c:pt>
                <c:pt idx="26">
                  <c:v>144.0303193</c:v>
                </c:pt>
                <c:pt idx="27">
                  <c:v>137.36758639999999</c:v>
                </c:pt>
                <c:pt idx="28">
                  <c:v>104.549626</c:v>
                </c:pt>
                <c:pt idx="29">
                  <c:v>149.6626646</c:v>
                </c:pt>
                <c:pt idx="30">
                  <c:v>122.0559397</c:v>
                </c:pt>
                <c:pt idx="31">
                  <c:v>128.46793600000001</c:v>
                </c:pt>
                <c:pt idx="32">
                  <c:v>137.0744038</c:v>
                </c:pt>
                <c:pt idx="33">
                  <c:v>127.0240701</c:v>
                </c:pt>
                <c:pt idx="34">
                  <c:v>106.0918424</c:v>
                </c:pt>
                <c:pt idx="35">
                  <c:v>140.43769750000001</c:v>
                </c:pt>
                <c:pt idx="36">
                  <c:v>120.4543559</c:v>
                </c:pt>
                <c:pt idx="37">
                  <c:v>120.2306581</c:v>
                </c:pt>
                <c:pt idx="38">
                  <c:v>125.5657312</c:v>
                </c:pt>
                <c:pt idx="39">
                  <c:v>138.26877820000001</c:v>
                </c:pt>
                <c:pt idx="40">
                  <c:v>127.2825169</c:v>
                </c:pt>
                <c:pt idx="41">
                  <c:v>134.45144809999999</c:v>
                </c:pt>
                <c:pt idx="42">
                  <c:v>125.884016</c:v>
                </c:pt>
                <c:pt idx="43">
                  <c:v>144.9696691</c:v>
                </c:pt>
                <c:pt idx="44">
                  <c:v>153.2023786</c:v>
                </c:pt>
                <c:pt idx="45">
                  <c:v>139.5846027</c:v>
                </c:pt>
                <c:pt idx="46">
                  <c:v>149.07712140000001</c:v>
                </c:pt>
                <c:pt idx="47">
                  <c:v>123.5455255</c:v>
                </c:pt>
                <c:pt idx="48">
                  <c:v>127.9290237</c:v>
                </c:pt>
                <c:pt idx="49">
                  <c:v>130.2347551</c:v>
                </c:pt>
                <c:pt idx="50">
                  <c:v>134.90489299999999</c:v>
                </c:pt>
                <c:pt idx="51">
                  <c:v>140.84900010000001</c:v>
                </c:pt>
                <c:pt idx="52">
                  <c:v>139.38515609999999</c:v>
                </c:pt>
                <c:pt idx="53">
                  <c:v>113.3613414</c:v>
                </c:pt>
                <c:pt idx="54">
                  <c:v>156.902434</c:v>
                </c:pt>
                <c:pt idx="55">
                  <c:v>129.85150379999999</c:v>
                </c:pt>
                <c:pt idx="56">
                  <c:v>145.83506819999999</c:v>
                </c:pt>
                <c:pt idx="57">
                  <c:v>137.40856049999999</c:v>
                </c:pt>
                <c:pt idx="58">
                  <c:v>155.97343799999999</c:v>
                </c:pt>
                <c:pt idx="59">
                  <c:v>128.8176516</c:v>
                </c:pt>
                <c:pt idx="60">
                  <c:v>115.4239718</c:v>
                </c:pt>
                <c:pt idx="61">
                  <c:v>148.32661440000001</c:v>
                </c:pt>
                <c:pt idx="62">
                  <c:v>136.36428470000001</c:v>
                </c:pt>
                <c:pt idx="63">
                  <c:v>137.9580775</c:v>
                </c:pt>
                <c:pt idx="64">
                  <c:v>122.2466561</c:v>
                </c:pt>
                <c:pt idx="65">
                  <c:v>114.4560745</c:v>
                </c:pt>
                <c:pt idx="66">
                  <c:v>115.3298197</c:v>
                </c:pt>
                <c:pt idx="67">
                  <c:v>125.15739910000001</c:v>
                </c:pt>
                <c:pt idx="68">
                  <c:v>132.8022905</c:v>
                </c:pt>
                <c:pt idx="69">
                  <c:v>122.433921</c:v>
                </c:pt>
                <c:pt idx="70">
                  <c:v>144.9409694</c:v>
                </c:pt>
                <c:pt idx="71">
                  <c:v>133.2967975</c:v>
                </c:pt>
                <c:pt idx="72">
                  <c:v>149.05415930000001</c:v>
                </c:pt>
                <c:pt idx="73">
                  <c:v>134.81290279999999</c:v>
                </c:pt>
                <c:pt idx="74">
                  <c:v>120.5974934</c:v>
                </c:pt>
                <c:pt idx="75">
                  <c:v>129.1678895</c:v>
                </c:pt>
                <c:pt idx="76">
                  <c:v>123.4168207</c:v>
                </c:pt>
                <c:pt idx="77">
                  <c:v>112.3364565</c:v>
                </c:pt>
                <c:pt idx="78">
                  <c:v>123.83367730000001</c:v>
                </c:pt>
                <c:pt idx="79">
                  <c:v>136.80868219999999</c:v>
                </c:pt>
                <c:pt idx="80">
                  <c:v>121.3126651</c:v>
                </c:pt>
                <c:pt idx="81">
                  <c:v>95.551842750000006</c:v>
                </c:pt>
                <c:pt idx="82">
                  <c:v>116.206496</c:v>
                </c:pt>
                <c:pt idx="83">
                  <c:v>138.2564021</c:v>
                </c:pt>
                <c:pt idx="84">
                  <c:v>138.89411770000001</c:v>
                </c:pt>
                <c:pt idx="85">
                  <c:v>137.42136919999999</c:v>
                </c:pt>
                <c:pt idx="86">
                  <c:v>107.3358162</c:v>
                </c:pt>
                <c:pt idx="87">
                  <c:v>130.30401900000001</c:v>
                </c:pt>
                <c:pt idx="88">
                  <c:v>142.22196640000001</c:v>
                </c:pt>
                <c:pt idx="89">
                  <c:v>143.23970370000001</c:v>
                </c:pt>
                <c:pt idx="90">
                  <c:v>144.50904969999999</c:v>
                </c:pt>
                <c:pt idx="91">
                  <c:v>139.37298609999999</c:v>
                </c:pt>
                <c:pt idx="92">
                  <c:v>127.08427260000001</c:v>
                </c:pt>
                <c:pt idx="93">
                  <c:v>141.77016</c:v>
                </c:pt>
                <c:pt idx="94">
                  <c:v>107.1920624</c:v>
                </c:pt>
                <c:pt idx="95">
                  <c:v>145.26536239999999</c:v>
                </c:pt>
                <c:pt idx="96">
                  <c:v>157.61271070000001</c:v>
                </c:pt>
                <c:pt idx="97">
                  <c:v>118.0672196</c:v>
                </c:pt>
                <c:pt idx="98">
                  <c:v>157.50219730000001</c:v>
                </c:pt>
                <c:pt idx="99">
                  <c:v>150.94473310000001</c:v>
                </c:pt>
                <c:pt idx="100">
                  <c:v>118.6535715</c:v>
                </c:pt>
                <c:pt idx="101">
                  <c:v>125.8905867</c:v>
                </c:pt>
                <c:pt idx="102">
                  <c:v>133.22609499999999</c:v>
                </c:pt>
                <c:pt idx="103">
                  <c:v>135.98142970000001</c:v>
                </c:pt>
                <c:pt idx="104">
                  <c:v>137.87582549999999</c:v>
                </c:pt>
                <c:pt idx="105">
                  <c:v>129.4337543</c:v>
                </c:pt>
                <c:pt idx="106">
                  <c:v>120.79034129999999</c:v>
                </c:pt>
                <c:pt idx="107">
                  <c:v>139.06117760000001</c:v>
                </c:pt>
                <c:pt idx="108">
                  <c:v>111.7451444</c:v>
                </c:pt>
                <c:pt idx="109">
                  <c:v>143.9075929</c:v>
                </c:pt>
                <c:pt idx="110">
                  <c:v>145.63021230000001</c:v>
                </c:pt>
                <c:pt idx="111">
                  <c:v>129.4943715</c:v>
                </c:pt>
                <c:pt idx="112">
                  <c:v>133.98963470000001</c:v>
                </c:pt>
                <c:pt idx="113">
                  <c:v>120.0013965</c:v>
                </c:pt>
                <c:pt idx="114">
                  <c:v>118.77536790000001</c:v>
                </c:pt>
                <c:pt idx="115">
                  <c:v>127.556984</c:v>
                </c:pt>
                <c:pt idx="116">
                  <c:v>117.8235451</c:v>
                </c:pt>
                <c:pt idx="117">
                  <c:v>137.87397480000001</c:v>
                </c:pt>
                <c:pt idx="118">
                  <c:v>107.05419620000001</c:v>
                </c:pt>
                <c:pt idx="119">
                  <c:v>104.87901650000001</c:v>
                </c:pt>
                <c:pt idx="120">
                  <c:v>132.45410190000001</c:v>
                </c:pt>
                <c:pt idx="121">
                  <c:v>136.83625129999999</c:v>
                </c:pt>
                <c:pt idx="122">
                  <c:v>129.8489136</c:v>
                </c:pt>
                <c:pt idx="123">
                  <c:v>145.0501064</c:v>
                </c:pt>
                <c:pt idx="124">
                  <c:v>139.71605700000001</c:v>
                </c:pt>
                <c:pt idx="125">
                  <c:v>145.10007519999999</c:v>
                </c:pt>
                <c:pt idx="126">
                  <c:v>147.3346722</c:v>
                </c:pt>
                <c:pt idx="127">
                  <c:v>119.419533</c:v>
                </c:pt>
                <c:pt idx="128">
                  <c:v>121.22724030000001</c:v>
                </c:pt>
                <c:pt idx="129">
                  <c:v>130.3771873</c:v>
                </c:pt>
                <c:pt idx="130">
                  <c:v>123.9510762</c:v>
                </c:pt>
                <c:pt idx="131">
                  <c:v>145.0859226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4AF-4EDB-993C-5DB99F72A7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5447664"/>
        <c:axId val="745434704"/>
      </c:scatterChart>
      <c:valAx>
        <c:axId val="745447664"/>
        <c:scaling>
          <c:orientation val="minMax"/>
          <c:max val="160"/>
          <c:min val="9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400" b="0" i="0" u="none" strike="noStrike" kern="1200" baseline="0">
                    <a:solidFill>
                      <a:sysClr val="windowText" lastClr="000000"/>
                    </a:solidFill>
                    <a:cs typeface="Times New Roman" panose="02020603050405020304" pitchFamily="18" charset="0"/>
                  </a:rPr>
                  <a:t>β</a:t>
                </a:r>
                <a:r>
                  <a:rPr lang="en-GB" sz="1400" b="0" i="0" u="none" strike="noStrike" kern="1200" baseline="0">
                    <a:solidFill>
                      <a:sysClr val="windowText" lastClr="000000"/>
                    </a:solidFill>
                    <a:cs typeface="Times New Roman" panose="02020603050405020304" pitchFamily="18" charset="0"/>
                  </a:rPr>
                  <a:t>2</a:t>
                </a:r>
                <a:r>
                  <a:rPr lang="en-GB" sz="1400" b="0" i="0" u="none" strike="noStrike" kern="1200" spc="0" baseline="-25000">
                    <a:solidFill>
                      <a:sysClr val="windowText" lastClr="000000"/>
                    </a:solidFill>
                    <a:effectLst/>
                    <a:cs typeface="Times New Roman" panose="02020603050405020304" pitchFamily="18" charset="0"/>
                  </a:rPr>
                  <a:t>xTB</a:t>
                </a:r>
                <a:r>
                  <a:rPr lang="en-GB" sz="1400" b="0" i="0" u="none" strike="noStrike" kern="1200" baseline="0">
                    <a:solidFill>
                      <a:sysClr val="windowText" lastClr="000000"/>
                    </a:solidFill>
                  </a:rPr>
                  <a:t>(</a:t>
                </a:r>
                <a:r>
                  <a:rPr lang="en-IN" sz="1400" b="0" i="0" u="none" strike="noStrike" kern="1200" baseline="0">
                    <a:solidFill>
                      <a:sysClr val="windowText" lastClr="000000"/>
                    </a:solidFill>
                  </a:rPr>
                  <a:t>°</a:t>
                </a:r>
                <a:r>
                  <a:rPr lang="en-GB" sz="1400" b="0" i="0" u="none" strike="noStrike" kern="1200" baseline="0">
                    <a:solidFill>
                      <a:sysClr val="windowText" lastClr="000000"/>
                    </a:solidFill>
                  </a:rPr>
                  <a:t>)</a:t>
                </a:r>
                <a:endParaRPr lang="en-IN" sz="1400" b="0" i="0" u="none" strike="noStrike" kern="1200" baseline="-25000">
                  <a:solidFill>
                    <a:sysClr val="windowText" lastClr="000000"/>
                  </a:solidFill>
                </a:endParaRPr>
              </a:p>
            </c:rich>
          </c:tx>
          <c:layout>
            <c:manualLayout>
              <c:xMode val="edge"/>
              <c:yMode val="edge"/>
              <c:x val="0.45760986872490605"/>
              <c:y val="0.8122780005659144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5434704"/>
        <c:crosses val="autoZero"/>
        <c:crossBetween val="midCat"/>
      </c:valAx>
      <c:valAx>
        <c:axId val="745434704"/>
        <c:scaling>
          <c:orientation val="minMax"/>
          <c:max val="170"/>
          <c:min val="9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400" b="0" i="0" u="none" strike="noStrike" kern="1200" baseline="0">
                    <a:solidFill>
                      <a:sysClr val="windowText" lastClr="000000"/>
                    </a:solidFill>
                    <a:cs typeface="Times New Roman" panose="02020603050405020304" pitchFamily="18" charset="0"/>
                  </a:rPr>
                  <a:t>β</a:t>
                </a:r>
                <a:r>
                  <a:rPr lang="en-GB" sz="1400" b="0" i="0" u="none" strike="noStrike" kern="1200" baseline="0">
                    <a:solidFill>
                      <a:sysClr val="windowText" lastClr="000000"/>
                    </a:solidFill>
                    <a:cs typeface="Times New Roman" panose="02020603050405020304" pitchFamily="18" charset="0"/>
                  </a:rPr>
                  <a:t>2</a:t>
                </a:r>
                <a:r>
                  <a:rPr lang="en-GB" sz="1400" b="0" i="0" u="none" strike="noStrike" kern="1200" spc="0" baseline="-25000">
                    <a:solidFill>
                      <a:sysClr val="windowText" lastClr="000000"/>
                    </a:solidFill>
                    <a:effectLst/>
                    <a:cs typeface="Times New Roman" panose="02020603050405020304" pitchFamily="18" charset="0"/>
                  </a:rPr>
                  <a:t>DFT</a:t>
                </a:r>
                <a:r>
                  <a:rPr lang="en-GB" sz="1400" b="0" i="0" u="none" strike="noStrike" kern="1200" baseline="0">
                    <a:solidFill>
                      <a:sysClr val="windowText" lastClr="000000"/>
                    </a:solidFill>
                  </a:rPr>
                  <a:t>(</a:t>
                </a:r>
                <a:r>
                  <a:rPr lang="en-IN" sz="1400" b="0" i="0" u="none" strike="noStrike" kern="1200" baseline="0">
                    <a:solidFill>
                      <a:sysClr val="windowText" lastClr="000000"/>
                    </a:solidFill>
                  </a:rPr>
                  <a:t>°</a:t>
                </a:r>
                <a:r>
                  <a:rPr lang="en-GB" sz="1400" b="0" i="0" u="none" strike="noStrike" kern="1200" baseline="0">
                    <a:solidFill>
                      <a:sysClr val="windowText" lastClr="000000"/>
                    </a:solidFill>
                  </a:rPr>
                  <a:t>)</a:t>
                </a:r>
                <a:endParaRPr lang="en-IN" sz="1400" b="0" i="0" u="none" strike="noStrike" kern="1200" baseline="-25000">
                  <a:solidFill>
                    <a:sysClr val="windowText" lastClr="000000"/>
                  </a:solidFill>
                </a:endParaRPr>
              </a:p>
            </c:rich>
          </c:tx>
          <c:layout>
            <c:manualLayout>
              <c:xMode val="edge"/>
              <c:yMode val="edge"/>
              <c:x val="2.7385301131846917E-4"/>
              <c:y val="0.3784601924759405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54476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4173737991488932E-2"/>
          <c:y val="0.89313466025080201"/>
          <c:w val="0.89165266841644797"/>
          <c:h val="8.371719160104987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IN" sz="1600" b="1">
                <a:solidFill>
                  <a:sysClr val="windowText" lastClr="000000"/>
                </a:solidFill>
              </a:rPr>
              <a:t>Bite angle </a:t>
            </a:r>
            <a:r>
              <a:rPr lang="el-GR" sz="1600" b="1" i="0" u="none" strike="noStrike" kern="1200" spc="0" baseline="0">
                <a:solidFill>
                  <a:sysClr val="windowText" lastClr="000000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θ</a:t>
            </a:r>
            <a:endParaRPr lang="en-IN" sz="1600" b="1">
              <a:solidFill>
                <a:sysClr val="windowText" lastClr="000000"/>
              </a:solidFill>
            </a:endParaRPr>
          </a:p>
        </c:rich>
      </c:tx>
      <c:layout>
        <c:manualLayout>
          <c:xMode val="edge"/>
          <c:yMode val="edge"/>
          <c:x val="0.40881170798455596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0.11024686916761674"/>
          <c:y val="0.1687935290616554"/>
          <c:w val="0.84452666717631175"/>
          <c:h val="0.53841243802857974"/>
        </c:manualLayout>
      </c:layout>
      <c:scatterChart>
        <c:scatterStyle val="lineMarker"/>
        <c:varyColors val="0"/>
        <c:ser>
          <c:idx val="0"/>
          <c:order val="0"/>
          <c:tx>
            <c:v>Data points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25400" cap="rnd">
                <a:solidFill>
                  <a:schemeClr val="accent6">
                    <a:lumMod val="75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5.043519032835686E-2"/>
                  <c:y val="0.11869098147118227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1000" b="1" i="0" u="none" strike="noStrike" kern="1200" baseline="0">
                        <a:solidFill>
                          <a:sysClr val="windowText" lastClr="00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l-GR" sz="1000" b="1" i="0" u="none" strike="noStrike" baseline="0">
                        <a:effectLst/>
                      </a:rPr>
                      <a:t>θ</a:t>
                    </a:r>
                    <a:r>
                      <a:rPr lang="en-GB" sz="1000" b="1" i="0" u="none" strike="noStrike" baseline="-25000">
                        <a:effectLst/>
                      </a:rPr>
                      <a:t>DFT</a:t>
                    </a:r>
                    <a:r>
                      <a:rPr lang="en-US" sz="1000" b="1" baseline="0"/>
                      <a:t> = 1.07</a:t>
                    </a:r>
                    <a:r>
                      <a:rPr lang="el-GR" sz="1000" b="1" i="0" u="none" strike="noStrike" baseline="0">
                        <a:effectLst/>
                      </a:rPr>
                      <a:t>θ</a:t>
                    </a:r>
                    <a:r>
                      <a:rPr lang="en-GB" sz="1000" b="1" i="0" u="none" strike="noStrike" baseline="-25000">
                        <a:effectLst/>
                      </a:rPr>
                      <a:t>xTB</a:t>
                    </a:r>
                    <a:r>
                      <a:rPr lang="en-US" sz="1000" b="1" baseline="0"/>
                      <a:t> - 7.16</a:t>
                    </a:r>
                    <a:br>
                      <a:rPr lang="en-US" sz="1000" b="1" baseline="0"/>
                    </a:br>
                    <a:r>
                      <a:rPr lang="en-US" sz="1000" b="1" baseline="0"/>
                      <a:t>R² = 0.95</a:t>
                    </a:r>
                  </a:p>
                  <a:p>
                    <a:pPr>
                      <a:defRPr sz="1000" b="1">
                        <a:solidFill>
                          <a:sysClr val="windowText" lastClr="000000"/>
                        </a:solidFill>
                      </a:defRPr>
                    </a:pPr>
                    <a:r>
                      <a:rPr lang="en-US" sz="1000" b="1" baseline="0"/>
                      <a:t>Pearson R = 0.97</a:t>
                    </a:r>
                  </a:p>
                  <a:p>
                    <a:pPr>
                      <a:defRPr sz="1000" b="1">
                        <a:solidFill>
                          <a:sysClr val="windowText" lastClr="000000"/>
                        </a:solidFill>
                      </a:defRPr>
                    </a:pPr>
                    <a:r>
                      <a:rPr lang="en-US" sz="1000" b="1" baseline="0"/>
                      <a:t>MAE = 2.03</a:t>
                    </a:r>
                    <a:r>
                      <a:rPr lang="en-IN" sz="1000" b="1" i="0" u="none" strike="noStrike" baseline="0">
                        <a:effectLst/>
                      </a:rPr>
                      <a:t>°</a:t>
                    </a:r>
                    <a:endParaRPr lang="en-US" sz="1000" b="1" baseline="0"/>
                  </a:p>
                  <a:p>
                    <a:pPr>
                      <a:defRPr sz="1000" b="1">
                        <a:solidFill>
                          <a:sysClr val="windowText" lastClr="000000"/>
                        </a:solidFill>
                      </a:defRPr>
                    </a:pPr>
                    <a:r>
                      <a:rPr lang="en-US" sz="1000" b="1" baseline="0"/>
                      <a:t>RMSE = 2.79</a:t>
                    </a:r>
                    <a:r>
                      <a:rPr lang="en-IN" sz="1000" b="1" i="0" u="none" strike="noStrike" baseline="0">
                        <a:effectLst/>
                      </a:rPr>
                      <a:t>°</a:t>
                    </a:r>
                    <a:endParaRPr lang="en-US" sz="1000" b="1" baseline="0"/>
                  </a:p>
                  <a:p>
                    <a:pPr>
                      <a:defRPr sz="1000" b="1">
                        <a:solidFill>
                          <a:sysClr val="windowText" lastClr="000000"/>
                        </a:solidFill>
                      </a:defRPr>
                    </a:pPr>
                    <a:r>
                      <a:rPr lang="en-US" sz="1000" b="1" baseline="0"/>
                      <a:t>N = 131</a:t>
                    </a:r>
                  </a:p>
                </c:rich>
              </c:tx>
              <c:numFmt formatCode="General" sourceLinked="0"/>
              <c:spPr>
                <a:solidFill>
                  <a:schemeClr val="bg1">
                    <a:lumMod val="9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'Bite angle theta wo outliers'!$B$2:$B$132</c:f>
              <c:numCache>
                <c:formatCode>General</c:formatCode>
                <c:ptCount val="131"/>
                <c:pt idx="0">
                  <c:v>91.258685279999995</c:v>
                </c:pt>
                <c:pt idx="1">
                  <c:v>89.850270879999997</c:v>
                </c:pt>
                <c:pt idx="2">
                  <c:v>90.819145739999996</c:v>
                </c:pt>
                <c:pt idx="3">
                  <c:v>77.926682330000006</c:v>
                </c:pt>
                <c:pt idx="4">
                  <c:v>89.077999500000004</c:v>
                </c:pt>
                <c:pt idx="5">
                  <c:v>72.180617150000003</c:v>
                </c:pt>
                <c:pt idx="6">
                  <c:v>113.1914419</c:v>
                </c:pt>
                <c:pt idx="7">
                  <c:v>112.3610477</c:v>
                </c:pt>
                <c:pt idx="8">
                  <c:v>104.2583101</c:v>
                </c:pt>
                <c:pt idx="9">
                  <c:v>98.716403029999995</c:v>
                </c:pt>
                <c:pt idx="10">
                  <c:v>100.47319589999999</c:v>
                </c:pt>
                <c:pt idx="11">
                  <c:v>109.6802507</c:v>
                </c:pt>
                <c:pt idx="12">
                  <c:v>104.5088185</c:v>
                </c:pt>
                <c:pt idx="13">
                  <c:v>89.575054499999993</c:v>
                </c:pt>
                <c:pt idx="14">
                  <c:v>100.46163919999999</c:v>
                </c:pt>
                <c:pt idx="15">
                  <c:v>74.143463370000006</c:v>
                </c:pt>
                <c:pt idx="16">
                  <c:v>93.050602409999996</c:v>
                </c:pt>
                <c:pt idx="17">
                  <c:v>101.6892556</c:v>
                </c:pt>
                <c:pt idx="18">
                  <c:v>103.627376</c:v>
                </c:pt>
                <c:pt idx="19">
                  <c:v>100.8654677</c:v>
                </c:pt>
                <c:pt idx="20">
                  <c:v>106.2482251</c:v>
                </c:pt>
                <c:pt idx="21">
                  <c:v>79.629050950000007</c:v>
                </c:pt>
                <c:pt idx="22">
                  <c:v>83.026475160000004</c:v>
                </c:pt>
                <c:pt idx="23">
                  <c:v>87.653648689999997</c:v>
                </c:pt>
                <c:pt idx="24">
                  <c:v>83.590012139999999</c:v>
                </c:pt>
                <c:pt idx="25">
                  <c:v>84.729683660000006</c:v>
                </c:pt>
                <c:pt idx="26">
                  <c:v>84.301551200000006</c:v>
                </c:pt>
                <c:pt idx="27">
                  <c:v>84.533700749999994</c:v>
                </c:pt>
                <c:pt idx="28">
                  <c:v>88.719491950000005</c:v>
                </c:pt>
                <c:pt idx="29">
                  <c:v>84.310374960000004</c:v>
                </c:pt>
                <c:pt idx="30">
                  <c:v>91.483094960000003</c:v>
                </c:pt>
                <c:pt idx="31">
                  <c:v>91.176191009999997</c:v>
                </c:pt>
                <c:pt idx="32">
                  <c:v>95.317804120000005</c:v>
                </c:pt>
                <c:pt idx="33">
                  <c:v>92.391578170000003</c:v>
                </c:pt>
                <c:pt idx="34">
                  <c:v>93.030932199999995</c:v>
                </c:pt>
                <c:pt idx="35">
                  <c:v>97.766808510000004</c:v>
                </c:pt>
                <c:pt idx="36">
                  <c:v>111.1898779</c:v>
                </c:pt>
                <c:pt idx="37">
                  <c:v>83.878644629999997</c:v>
                </c:pt>
                <c:pt idx="38">
                  <c:v>90.27855572</c:v>
                </c:pt>
                <c:pt idx="39">
                  <c:v>111.9289788</c:v>
                </c:pt>
                <c:pt idx="40">
                  <c:v>112.7491132</c:v>
                </c:pt>
                <c:pt idx="41">
                  <c:v>105.94938639999999</c:v>
                </c:pt>
                <c:pt idx="42">
                  <c:v>104.87650259999999</c:v>
                </c:pt>
                <c:pt idx="43">
                  <c:v>85.044258429999999</c:v>
                </c:pt>
                <c:pt idx="44">
                  <c:v>85.370693079999995</c:v>
                </c:pt>
                <c:pt idx="45">
                  <c:v>84.327758939999995</c:v>
                </c:pt>
                <c:pt idx="46">
                  <c:v>85.14903151</c:v>
                </c:pt>
                <c:pt idx="47">
                  <c:v>92.023344660000006</c:v>
                </c:pt>
                <c:pt idx="48">
                  <c:v>82.87431334</c:v>
                </c:pt>
                <c:pt idx="49">
                  <c:v>85.01360425</c:v>
                </c:pt>
                <c:pt idx="50">
                  <c:v>83.694305810000003</c:v>
                </c:pt>
                <c:pt idx="51">
                  <c:v>82.210611540000002</c:v>
                </c:pt>
                <c:pt idx="52">
                  <c:v>83.142563109999998</c:v>
                </c:pt>
                <c:pt idx="53">
                  <c:v>93.888593540000002</c:v>
                </c:pt>
                <c:pt idx="54">
                  <c:v>91.595191130000003</c:v>
                </c:pt>
                <c:pt idx="55">
                  <c:v>80.717403000000004</c:v>
                </c:pt>
                <c:pt idx="56">
                  <c:v>107.1068629</c:v>
                </c:pt>
                <c:pt idx="57">
                  <c:v>95.941040709999996</c:v>
                </c:pt>
                <c:pt idx="58">
                  <c:v>96.434994340000003</c:v>
                </c:pt>
                <c:pt idx="59">
                  <c:v>94.720714409999999</c:v>
                </c:pt>
                <c:pt idx="60">
                  <c:v>81.928563639999993</c:v>
                </c:pt>
                <c:pt idx="61">
                  <c:v>91.685113670000007</c:v>
                </c:pt>
                <c:pt idx="62">
                  <c:v>108.85873170000001</c:v>
                </c:pt>
                <c:pt idx="63">
                  <c:v>99.661803590000005</c:v>
                </c:pt>
                <c:pt idx="64">
                  <c:v>99.122250309999998</c:v>
                </c:pt>
                <c:pt idx="65">
                  <c:v>100.9525886</c:v>
                </c:pt>
                <c:pt idx="66">
                  <c:v>81.00884284</c:v>
                </c:pt>
                <c:pt idx="67">
                  <c:v>89.685483469999994</c:v>
                </c:pt>
                <c:pt idx="68">
                  <c:v>91.734347450000001</c:v>
                </c:pt>
                <c:pt idx="69">
                  <c:v>88.787781989999999</c:v>
                </c:pt>
                <c:pt idx="70">
                  <c:v>95.541111400000005</c:v>
                </c:pt>
                <c:pt idx="71">
                  <c:v>113.6297007</c:v>
                </c:pt>
                <c:pt idx="72">
                  <c:v>113.32402159999999</c:v>
                </c:pt>
                <c:pt idx="73">
                  <c:v>104.45655859999999</c:v>
                </c:pt>
                <c:pt idx="74">
                  <c:v>100.411658</c:v>
                </c:pt>
                <c:pt idx="75">
                  <c:v>105.6510251</c:v>
                </c:pt>
                <c:pt idx="76">
                  <c:v>108.99644000000001</c:v>
                </c:pt>
                <c:pt idx="77">
                  <c:v>100.68572589999999</c:v>
                </c:pt>
                <c:pt idx="78">
                  <c:v>100.4285051</c:v>
                </c:pt>
                <c:pt idx="79">
                  <c:v>71.467418069999994</c:v>
                </c:pt>
                <c:pt idx="80">
                  <c:v>99.468662370000004</c:v>
                </c:pt>
                <c:pt idx="81">
                  <c:v>103.78301209999999</c:v>
                </c:pt>
                <c:pt idx="82">
                  <c:v>104.7517476</c:v>
                </c:pt>
                <c:pt idx="83">
                  <c:v>112.71741230000001</c:v>
                </c:pt>
                <c:pt idx="84">
                  <c:v>79.811236109999996</c:v>
                </c:pt>
                <c:pt idx="85">
                  <c:v>87.579713380000001</c:v>
                </c:pt>
                <c:pt idx="86">
                  <c:v>83.654989049999998</c:v>
                </c:pt>
                <c:pt idx="87">
                  <c:v>83.519548420000007</c:v>
                </c:pt>
                <c:pt idx="88">
                  <c:v>84.7246351</c:v>
                </c:pt>
                <c:pt idx="89">
                  <c:v>84.460283709999999</c:v>
                </c:pt>
                <c:pt idx="90">
                  <c:v>84.348283100000003</c:v>
                </c:pt>
                <c:pt idx="91">
                  <c:v>84.090844270000005</c:v>
                </c:pt>
                <c:pt idx="92">
                  <c:v>84.611467869999998</c:v>
                </c:pt>
                <c:pt idx="93">
                  <c:v>95.401815450000001</c:v>
                </c:pt>
                <c:pt idx="94">
                  <c:v>89.525864839999997</c:v>
                </c:pt>
                <c:pt idx="95">
                  <c:v>93.885374819999996</c:v>
                </c:pt>
                <c:pt idx="96">
                  <c:v>95.384020590000006</c:v>
                </c:pt>
                <c:pt idx="97">
                  <c:v>91.829746529999994</c:v>
                </c:pt>
                <c:pt idx="98">
                  <c:v>111.0270579</c:v>
                </c:pt>
                <c:pt idx="99">
                  <c:v>83.683074610000006</c:v>
                </c:pt>
                <c:pt idx="100">
                  <c:v>90.441336980000003</c:v>
                </c:pt>
                <c:pt idx="101">
                  <c:v>101.9461158</c:v>
                </c:pt>
                <c:pt idx="102">
                  <c:v>106.48178350000001</c:v>
                </c:pt>
                <c:pt idx="103">
                  <c:v>115.46171390000001</c:v>
                </c:pt>
                <c:pt idx="104">
                  <c:v>97.147863799999996</c:v>
                </c:pt>
                <c:pt idx="105">
                  <c:v>109.6236767</c:v>
                </c:pt>
                <c:pt idx="106">
                  <c:v>88.952783920000002</c:v>
                </c:pt>
                <c:pt idx="107">
                  <c:v>84.96101754</c:v>
                </c:pt>
                <c:pt idx="108">
                  <c:v>84.753510329999997</c:v>
                </c:pt>
                <c:pt idx="109">
                  <c:v>85.39669001</c:v>
                </c:pt>
                <c:pt idx="110">
                  <c:v>91.085218549999993</c:v>
                </c:pt>
                <c:pt idx="111">
                  <c:v>84.944099910000006</c:v>
                </c:pt>
                <c:pt idx="112">
                  <c:v>87.896341969999995</c:v>
                </c:pt>
                <c:pt idx="113">
                  <c:v>84.851769950000005</c:v>
                </c:pt>
                <c:pt idx="114">
                  <c:v>83.270625719999998</c:v>
                </c:pt>
                <c:pt idx="115">
                  <c:v>82.237559739999995</c:v>
                </c:pt>
                <c:pt idx="116">
                  <c:v>95.057980689999994</c:v>
                </c:pt>
                <c:pt idx="117">
                  <c:v>86.351051200000001</c:v>
                </c:pt>
                <c:pt idx="118">
                  <c:v>92.310979829999994</c:v>
                </c:pt>
                <c:pt idx="119">
                  <c:v>92.134606250000004</c:v>
                </c:pt>
                <c:pt idx="120">
                  <c:v>92.54412963</c:v>
                </c:pt>
                <c:pt idx="121">
                  <c:v>92.470655780000001</c:v>
                </c:pt>
                <c:pt idx="122">
                  <c:v>97.126676160000002</c:v>
                </c:pt>
                <c:pt idx="123">
                  <c:v>81.751812380000004</c:v>
                </c:pt>
                <c:pt idx="124">
                  <c:v>90.877196650000002</c:v>
                </c:pt>
                <c:pt idx="125">
                  <c:v>105.1212221</c:v>
                </c:pt>
                <c:pt idx="126">
                  <c:v>111.7767767</c:v>
                </c:pt>
                <c:pt idx="127">
                  <c:v>109.28908850000001</c:v>
                </c:pt>
                <c:pt idx="128">
                  <c:v>104.1100813</c:v>
                </c:pt>
                <c:pt idx="129">
                  <c:v>80.20683124</c:v>
                </c:pt>
                <c:pt idx="130">
                  <c:v>80.086143219999997</c:v>
                </c:pt>
              </c:numCache>
            </c:numRef>
          </c:xVal>
          <c:yVal>
            <c:numRef>
              <c:f>'Bite angle theta wo outliers'!$C$2:$C$132</c:f>
              <c:numCache>
                <c:formatCode>General</c:formatCode>
                <c:ptCount val="131"/>
                <c:pt idx="0">
                  <c:v>90.775949600000004</c:v>
                </c:pt>
                <c:pt idx="1">
                  <c:v>89.244592269999998</c:v>
                </c:pt>
                <c:pt idx="2">
                  <c:v>90.469790020000005</c:v>
                </c:pt>
                <c:pt idx="3">
                  <c:v>78.253115840000007</c:v>
                </c:pt>
                <c:pt idx="4">
                  <c:v>89.048078459999999</c:v>
                </c:pt>
                <c:pt idx="5">
                  <c:v>65.134303399999993</c:v>
                </c:pt>
                <c:pt idx="6">
                  <c:v>114.65891569999999</c:v>
                </c:pt>
                <c:pt idx="7">
                  <c:v>113.09976</c:v>
                </c:pt>
                <c:pt idx="8">
                  <c:v>105.58440950000001</c:v>
                </c:pt>
                <c:pt idx="9">
                  <c:v>100.6490429</c:v>
                </c:pt>
                <c:pt idx="10">
                  <c:v>101.1050104</c:v>
                </c:pt>
                <c:pt idx="11">
                  <c:v>107.90839870000001</c:v>
                </c:pt>
                <c:pt idx="12">
                  <c:v>106.2838847</c:v>
                </c:pt>
                <c:pt idx="13">
                  <c:v>89.264170669999999</c:v>
                </c:pt>
                <c:pt idx="14">
                  <c:v>102.2050007</c:v>
                </c:pt>
                <c:pt idx="15">
                  <c:v>76.860238910000007</c:v>
                </c:pt>
                <c:pt idx="16">
                  <c:v>91.496638079999997</c:v>
                </c:pt>
                <c:pt idx="17">
                  <c:v>101.24506100000001</c:v>
                </c:pt>
                <c:pt idx="18">
                  <c:v>105.11332520000001</c:v>
                </c:pt>
                <c:pt idx="19">
                  <c:v>100.705556</c:v>
                </c:pt>
                <c:pt idx="20">
                  <c:v>107.407538</c:v>
                </c:pt>
                <c:pt idx="21">
                  <c:v>79.803147780000003</c:v>
                </c:pt>
                <c:pt idx="22">
                  <c:v>81.291257560000005</c:v>
                </c:pt>
                <c:pt idx="23">
                  <c:v>81.594549400000005</c:v>
                </c:pt>
                <c:pt idx="24">
                  <c:v>81.460338680000007</c:v>
                </c:pt>
                <c:pt idx="25">
                  <c:v>83.001458929999998</c:v>
                </c:pt>
                <c:pt idx="26">
                  <c:v>82.341795390000001</c:v>
                </c:pt>
                <c:pt idx="27">
                  <c:v>82.780403089999993</c:v>
                </c:pt>
                <c:pt idx="28">
                  <c:v>82.447185660000002</c:v>
                </c:pt>
                <c:pt idx="29">
                  <c:v>82.705386619999999</c:v>
                </c:pt>
                <c:pt idx="30">
                  <c:v>89.375655379999998</c:v>
                </c:pt>
                <c:pt idx="31">
                  <c:v>84.109583079999993</c:v>
                </c:pt>
                <c:pt idx="32">
                  <c:v>93.956632540000001</c:v>
                </c:pt>
                <c:pt idx="33">
                  <c:v>85.435365610000005</c:v>
                </c:pt>
                <c:pt idx="34">
                  <c:v>91.534884349999999</c:v>
                </c:pt>
                <c:pt idx="35">
                  <c:v>94.192598360000005</c:v>
                </c:pt>
                <c:pt idx="36">
                  <c:v>113.59068619999999</c:v>
                </c:pt>
                <c:pt idx="37">
                  <c:v>82.546912309999996</c:v>
                </c:pt>
                <c:pt idx="38">
                  <c:v>90.323584159999996</c:v>
                </c:pt>
                <c:pt idx="39">
                  <c:v>108.02647159999999</c:v>
                </c:pt>
                <c:pt idx="40">
                  <c:v>112.1929552</c:v>
                </c:pt>
                <c:pt idx="41">
                  <c:v>109.5315051</c:v>
                </c:pt>
                <c:pt idx="42">
                  <c:v>106.5368989</c:v>
                </c:pt>
                <c:pt idx="43">
                  <c:v>84.315894049999997</c:v>
                </c:pt>
                <c:pt idx="44">
                  <c:v>85.030792300000002</c:v>
                </c:pt>
                <c:pt idx="45">
                  <c:v>83.882705430000001</c:v>
                </c:pt>
                <c:pt idx="46">
                  <c:v>84.253102999999996</c:v>
                </c:pt>
                <c:pt idx="47">
                  <c:v>91.749671739999997</c:v>
                </c:pt>
                <c:pt idx="48">
                  <c:v>84.242707159999995</c:v>
                </c:pt>
                <c:pt idx="49">
                  <c:v>85.188671909999997</c:v>
                </c:pt>
                <c:pt idx="50">
                  <c:v>83.536115890000005</c:v>
                </c:pt>
                <c:pt idx="51">
                  <c:v>80.922410499999998</c:v>
                </c:pt>
                <c:pt idx="52">
                  <c:v>80.779277390000004</c:v>
                </c:pt>
                <c:pt idx="53">
                  <c:v>94.278400070000004</c:v>
                </c:pt>
                <c:pt idx="54">
                  <c:v>92.275003069999997</c:v>
                </c:pt>
                <c:pt idx="55">
                  <c:v>79.442241569999993</c:v>
                </c:pt>
                <c:pt idx="56">
                  <c:v>104.93915920000001</c:v>
                </c:pt>
                <c:pt idx="57">
                  <c:v>95.222282539999995</c:v>
                </c:pt>
                <c:pt idx="58">
                  <c:v>97.654811910000006</c:v>
                </c:pt>
                <c:pt idx="59">
                  <c:v>94.889175390000005</c:v>
                </c:pt>
                <c:pt idx="60">
                  <c:v>79.517549750000001</c:v>
                </c:pt>
                <c:pt idx="61">
                  <c:v>91.506549160000006</c:v>
                </c:pt>
                <c:pt idx="62">
                  <c:v>112.5775</c:v>
                </c:pt>
                <c:pt idx="63">
                  <c:v>103.4140498</c:v>
                </c:pt>
                <c:pt idx="64">
                  <c:v>103.1034277</c:v>
                </c:pt>
                <c:pt idx="65">
                  <c:v>103.7116923</c:v>
                </c:pt>
                <c:pt idx="66">
                  <c:v>79.441078039999994</c:v>
                </c:pt>
                <c:pt idx="67">
                  <c:v>89.242081659999997</c:v>
                </c:pt>
                <c:pt idx="68">
                  <c:v>90.784104619999994</c:v>
                </c:pt>
                <c:pt idx="69">
                  <c:v>88.768770829999994</c:v>
                </c:pt>
                <c:pt idx="70">
                  <c:v>101.6506181</c:v>
                </c:pt>
                <c:pt idx="71">
                  <c:v>113.7944</c:v>
                </c:pt>
                <c:pt idx="72">
                  <c:v>114.5496223</c:v>
                </c:pt>
                <c:pt idx="73">
                  <c:v>99.174409990000001</c:v>
                </c:pt>
                <c:pt idx="74">
                  <c:v>101.2959599</c:v>
                </c:pt>
                <c:pt idx="75">
                  <c:v>106.8637552</c:v>
                </c:pt>
                <c:pt idx="76">
                  <c:v>107.9060738</c:v>
                </c:pt>
                <c:pt idx="77">
                  <c:v>105.603694</c:v>
                </c:pt>
                <c:pt idx="78">
                  <c:v>102.22845890000001</c:v>
                </c:pt>
                <c:pt idx="79">
                  <c:v>67.396896749999996</c:v>
                </c:pt>
                <c:pt idx="80">
                  <c:v>101.2414145</c:v>
                </c:pt>
                <c:pt idx="81">
                  <c:v>104.12412550000001</c:v>
                </c:pt>
                <c:pt idx="82">
                  <c:v>100.6571955</c:v>
                </c:pt>
                <c:pt idx="83">
                  <c:v>114.0636104</c:v>
                </c:pt>
                <c:pt idx="84">
                  <c:v>79.882712350000006</c:v>
                </c:pt>
                <c:pt idx="85">
                  <c:v>81.426068439999995</c:v>
                </c:pt>
                <c:pt idx="86">
                  <c:v>81.589673050000002</c:v>
                </c:pt>
                <c:pt idx="87">
                  <c:v>81.554233580000002</c:v>
                </c:pt>
                <c:pt idx="88">
                  <c:v>82.980038550000003</c:v>
                </c:pt>
                <c:pt idx="89">
                  <c:v>82.889872789999998</c:v>
                </c:pt>
                <c:pt idx="90">
                  <c:v>82.681644370000001</c:v>
                </c:pt>
                <c:pt idx="91">
                  <c:v>82.804044939999997</c:v>
                </c:pt>
                <c:pt idx="92">
                  <c:v>82.922402989999995</c:v>
                </c:pt>
                <c:pt idx="93">
                  <c:v>93.518241739999993</c:v>
                </c:pt>
                <c:pt idx="94">
                  <c:v>88.075236829999994</c:v>
                </c:pt>
                <c:pt idx="95">
                  <c:v>87.879047810000003</c:v>
                </c:pt>
                <c:pt idx="96">
                  <c:v>90.703646809999995</c:v>
                </c:pt>
                <c:pt idx="97">
                  <c:v>100.8121278</c:v>
                </c:pt>
                <c:pt idx="98">
                  <c:v>113.7712631</c:v>
                </c:pt>
                <c:pt idx="99">
                  <c:v>82.548079560000005</c:v>
                </c:pt>
                <c:pt idx="100">
                  <c:v>90.24726124</c:v>
                </c:pt>
                <c:pt idx="101">
                  <c:v>100.9572079</c:v>
                </c:pt>
                <c:pt idx="102">
                  <c:v>105.2386753</c:v>
                </c:pt>
                <c:pt idx="103">
                  <c:v>112.5082154</c:v>
                </c:pt>
                <c:pt idx="104">
                  <c:v>99.688404739999996</c:v>
                </c:pt>
                <c:pt idx="105">
                  <c:v>114.3129303</c:v>
                </c:pt>
                <c:pt idx="106">
                  <c:v>87.176174189999998</c:v>
                </c:pt>
                <c:pt idx="107">
                  <c:v>83.417228969999996</c:v>
                </c:pt>
                <c:pt idx="108">
                  <c:v>85.298437699999994</c:v>
                </c:pt>
                <c:pt idx="109">
                  <c:v>85.836145849999994</c:v>
                </c:pt>
                <c:pt idx="110">
                  <c:v>90.563608779999996</c:v>
                </c:pt>
                <c:pt idx="111">
                  <c:v>85.533040189999994</c:v>
                </c:pt>
                <c:pt idx="112">
                  <c:v>85.520716329999999</c:v>
                </c:pt>
                <c:pt idx="113">
                  <c:v>84.312209949999996</c:v>
                </c:pt>
                <c:pt idx="114">
                  <c:v>80.380349910000007</c:v>
                </c:pt>
                <c:pt idx="115">
                  <c:v>80.436566630000002</c:v>
                </c:pt>
                <c:pt idx="116">
                  <c:v>91.273492649999994</c:v>
                </c:pt>
                <c:pt idx="117">
                  <c:v>89.982645300000001</c:v>
                </c:pt>
                <c:pt idx="118">
                  <c:v>102.5519267</c:v>
                </c:pt>
                <c:pt idx="119">
                  <c:v>87.092638590000007</c:v>
                </c:pt>
                <c:pt idx="120">
                  <c:v>93.512893450000007</c:v>
                </c:pt>
                <c:pt idx="121">
                  <c:v>93.644945930000006</c:v>
                </c:pt>
                <c:pt idx="122">
                  <c:v>94.126095090000007</c:v>
                </c:pt>
                <c:pt idx="123">
                  <c:v>79.496838530000005</c:v>
                </c:pt>
                <c:pt idx="124">
                  <c:v>90.562909500000004</c:v>
                </c:pt>
                <c:pt idx="125">
                  <c:v>102.052778</c:v>
                </c:pt>
                <c:pt idx="126">
                  <c:v>111.9631819</c:v>
                </c:pt>
                <c:pt idx="127">
                  <c:v>111.7761265</c:v>
                </c:pt>
                <c:pt idx="128">
                  <c:v>102.981804</c:v>
                </c:pt>
                <c:pt idx="129">
                  <c:v>79.460185780000003</c:v>
                </c:pt>
                <c:pt idx="130">
                  <c:v>79.122058899999999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29A-49DF-B51A-F921EB710210}"/>
            </c:ext>
          </c:extLst>
        </c:ser>
        <c:ser>
          <c:idx val="1"/>
          <c:order val="1"/>
          <c:tx>
            <c:v>Perfect line</c:v>
          </c:tx>
          <c:spPr>
            <a:ln w="25400" cap="rnd">
              <a:solidFill>
                <a:schemeClr val="bg1">
                  <a:lumMod val="8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'Bite angle theta wo outliers'!$B$2:$B$132</c:f>
              <c:numCache>
                <c:formatCode>General</c:formatCode>
                <c:ptCount val="131"/>
                <c:pt idx="0">
                  <c:v>91.258685279999995</c:v>
                </c:pt>
                <c:pt idx="1">
                  <c:v>89.850270879999997</c:v>
                </c:pt>
                <c:pt idx="2">
                  <c:v>90.819145739999996</c:v>
                </c:pt>
                <c:pt idx="3">
                  <c:v>77.926682330000006</c:v>
                </c:pt>
                <c:pt idx="4">
                  <c:v>89.077999500000004</c:v>
                </c:pt>
                <c:pt idx="5">
                  <c:v>72.180617150000003</c:v>
                </c:pt>
                <c:pt idx="6">
                  <c:v>113.1914419</c:v>
                </c:pt>
                <c:pt idx="7">
                  <c:v>112.3610477</c:v>
                </c:pt>
                <c:pt idx="8">
                  <c:v>104.2583101</c:v>
                </c:pt>
                <c:pt idx="9">
                  <c:v>98.716403029999995</c:v>
                </c:pt>
                <c:pt idx="10">
                  <c:v>100.47319589999999</c:v>
                </c:pt>
                <c:pt idx="11">
                  <c:v>109.6802507</c:v>
                </c:pt>
                <c:pt idx="12">
                  <c:v>104.5088185</c:v>
                </c:pt>
                <c:pt idx="13">
                  <c:v>89.575054499999993</c:v>
                </c:pt>
                <c:pt idx="14">
                  <c:v>100.46163919999999</c:v>
                </c:pt>
                <c:pt idx="15">
                  <c:v>74.143463370000006</c:v>
                </c:pt>
                <c:pt idx="16">
                  <c:v>93.050602409999996</c:v>
                </c:pt>
                <c:pt idx="17">
                  <c:v>101.6892556</c:v>
                </c:pt>
                <c:pt idx="18">
                  <c:v>103.627376</c:v>
                </c:pt>
                <c:pt idx="19">
                  <c:v>100.8654677</c:v>
                </c:pt>
                <c:pt idx="20">
                  <c:v>106.2482251</c:v>
                </c:pt>
                <c:pt idx="21">
                  <c:v>79.629050950000007</c:v>
                </c:pt>
                <c:pt idx="22">
                  <c:v>83.026475160000004</c:v>
                </c:pt>
                <c:pt idx="23">
                  <c:v>87.653648689999997</c:v>
                </c:pt>
                <c:pt idx="24">
                  <c:v>83.590012139999999</c:v>
                </c:pt>
                <c:pt idx="25">
                  <c:v>84.729683660000006</c:v>
                </c:pt>
                <c:pt idx="26">
                  <c:v>84.301551200000006</c:v>
                </c:pt>
                <c:pt idx="27">
                  <c:v>84.533700749999994</c:v>
                </c:pt>
                <c:pt idx="28">
                  <c:v>88.719491950000005</c:v>
                </c:pt>
                <c:pt idx="29">
                  <c:v>84.310374960000004</c:v>
                </c:pt>
                <c:pt idx="30">
                  <c:v>91.483094960000003</c:v>
                </c:pt>
                <c:pt idx="31">
                  <c:v>91.176191009999997</c:v>
                </c:pt>
                <c:pt idx="32">
                  <c:v>95.317804120000005</c:v>
                </c:pt>
                <c:pt idx="33">
                  <c:v>92.391578170000003</c:v>
                </c:pt>
                <c:pt idx="34">
                  <c:v>93.030932199999995</c:v>
                </c:pt>
                <c:pt idx="35">
                  <c:v>97.766808510000004</c:v>
                </c:pt>
                <c:pt idx="36">
                  <c:v>111.1898779</c:v>
                </c:pt>
                <c:pt idx="37">
                  <c:v>83.878644629999997</c:v>
                </c:pt>
                <c:pt idx="38">
                  <c:v>90.27855572</c:v>
                </c:pt>
                <c:pt idx="39">
                  <c:v>111.9289788</c:v>
                </c:pt>
                <c:pt idx="40">
                  <c:v>112.7491132</c:v>
                </c:pt>
                <c:pt idx="41">
                  <c:v>105.94938639999999</c:v>
                </c:pt>
                <c:pt idx="42">
                  <c:v>104.87650259999999</c:v>
                </c:pt>
                <c:pt idx="43">
                  <c:v>85.044258429999999</c:v>
                </c:pt>
                <c:pt idx="44">
                  <c:v>85.370693079999995</c:v>
                </c:pt>
                <c:pt idx="45">
                  <c:v>84.327758939999995</c:v>
                </c:pt>
                <c:pt idx="46">
                  <c:v>85.14903151</c:v>
                </c:pt>
                <c:pt idx="47">
                  <c:v>92.023344660000006</c:v>
                </c:pt>
                <c:pt idx="48">
                  <c:v>82.87431334</c:v>
                </c:pt>
                <c:pt idx="49">
                  <c:v>85.01360425</c:v>
                </c:pt>
                <c:pt idx="50">
                  <c:v>83.694305810000003</c:v>
                </c:pt>
                <c:pt idx="51">
                  <c:v>82.210611540000002</c:v>
                </c:pt>
                <c:pt idx="52">
                  <c:v>83.142563109999998</c:v>
                </c:pt>
                <c:pt idx="53">
                  <c:v>93.888593540000002</c:v>
                </c:pt>
                <c:pt idx="54">
                  <c:v>91.595191130000003</c:v>
                </c:pt>
                <c:pt idx="55">
                  <c:v>80.717403000000004</c:v>
                </c:pt>
                <c:pt idx="56">
                  <c:v>107.1068629</c:v>
                </c:pt>
                <c:pt idx="57">
                  <c:v>95.941040709999996</c:v>
                </c:pt>
                <c:pt idx="58">
                  <c:v>96.434994340000003</c:v>
                </c:pt>
                <c:pt idx="59">
                  <c:v>94.720714409999999</c:v>
                </c:pt>
                <c:pt idx="60">
                  <c:v>81.928563639999993</c:v>
                </c:pt>
                <c:pt idx="61">
                  <c:v>91.685113670000007</c:v>
                </c:pt>
                <c:pt idx="62">
                  <c:v>108.85873170000001</c:v>
                </c:pt>
                <c:pt idx="63">
                  <c:v>99.661803590000005</c:v>
                </c:pt>
                <c:pt idx="64">
                  <c:v>99.122250309999998</c:v>
                </c:pt>
                <c:pt idx="65">
                  <c:v>100.9525886</c:v>
                </c:pt>
                <c:pt idx="66">
                  <c:v>81.00884284</c:v>
                </c:pt>
                <c:pt idx="67">
                  <c:v>89.685483469999994</c:v>
                </c:pt>
                <c:pt idx="68">
                  <c:v>91.734347450000001</c:v>
                </c:pt>
                <c:pt idx="69">
                  <c:v>88.787781989999999</c:v>
                </c:pt>
                <c:pt idx="70">
                  <c:v>95.541111400000005</c:v>
                </c:pt>
                <c:pt idx="71">
                  <c:v>113.6297007</c:v>
                </c:pt>
                <c:pt idx="72">
                  <c:v>113.32402159999999</c:v>
                </c:pt>
                <c:pt idx="73">
                  <c:v>104.45655859999999</c:v>
                </c:pt>
                <c:pt idx="74">
                  <c:v>100.411658</c:v>
                </c:pt>
                <c:pt idx="75">
                  <c:v>105.6510251</c:v>
                </c:pt>
                <c:pt idx="76">
                  <c:v>108.99644000000001</c:v>
                </c:pt>
                <c:pt idx="77">
                  <c:v>100.68572589999999</c:v>
                </c:pt>
                <c:pt idx="78">
                  <c:v>100.4285051</c:v>
                </c:pt>
                <c:pt idx="79">
                  <c:v>71.467418069999994</c:v>
                </c:pt>
                <c:pt idx="80">
                  <c:v>99.468662370000004</c:v>
                </c:pt>
                <c:pt idx="81">
                  <c:v>103.78301209999999</c:v>
                </c:pt>
                <c:pt idx="82">
                  <c:v>104.7517476</c:v>
                </c:pt>
                <c:pt idx="83">
                  <c:v>112.71741230000001</c:v>
                </c:pt>
                <c:pt idx="84">
                  <c:v>79.811236109999996</c:v>
                </c:pt>
                <c:pt idx="85">
                  <c:v>87.579713380000001</c:v>
                </c:pt>
                <c:pt idx="86">
                  <c:v>83.654989049999998</c:v>
                </c:pt>
                <c:pt idx="87">
                  <c:v>83.519548420000007</c:v>
                </c:pt>
                <c:pt idx="88">
                  <c:v>84.7246351</c:v>
                </c:pt>
                <c:pt idx="89">
                  <c:v>84.460283709999999</c:v>
                </c:pt>
                <c:pt idx="90">
                  <c:v>84.348283100000003</c:v>
                </c:pt>
                <c:pt idx="91">
                  <c:v>84.090844270000005</c:v>
                </c:pt>
                <c:pt idx="92">
                  <c:v>84.611467869999998</c:v>
                </c:pt>
                <c:pt idx="93">
                  <c:v>95.401815450000001</c:v>
                </c:pt>
                <c:pt idx="94">
                  <c:v>89.525864839999997</c:v>
                </c:pt>
                <c:pt idx="95">
                  <c:v>93.885374819999996</c:v>
                </c:pt>
                <c:pt idx="96">
                  <c:v>95.384020590000006</c:v>
                </c:pt>
                <c:pt idx="97">
                  <c:v>91.829746529999994</c:v>
                </c:pt>
                <c:pt idx="98">
                  <c:v>111.0270579</c:v>
                </c:pt>
                <c:pt idx="99">
                  <c:v>83.683074610000006</c:v>
                </c:pt>
                <c:pt idx="100">
                  <c:v>90.441336980000003</c:v>
                </c:pt>
                <c:pt idx="101">
                  <c:v>101.9461158</c:v>
                </c:pt>
                <c:pt idx="102">
                  <c:v>106.48178350000001</c:v>
                </c:pt>
                <c:pt idx="103">
                  <c:v>115.46171390000001</c:v>
                </c:pt>
                <c:pt idx="104">
                  <c:v>97.147863799999996</c:v>
                </c:pt>
                <c:pt idx="105">
                  <c:v>109.6236767</c:v>
                </c:pt>
                <c:pt idx="106">
                  <c:v>88.952783920000002</c:v>
                </c:pt>
                <c:pt idx="107">
                  <c:v>84.96101754</c:v>
                </c:pt>
                <c:pt idx="108">
                  <c:v>84.753510329999997</c:v>
                </c:pt>
                <c:pt idx="109">
                  <c:v>85.39669001</c:v>
                </c:pt>
                <c:pt idx="110">
                  <c:v>91.085218549999993</c:v>
                </c:pt>
                <c:pt idx="111">
                  <c:v>84.944099910000006</c:v>
                </c:pt>
                <c:pt idx="112">
                  <c:v>87.896341969999995</c:v>
                </c:pt>
                <c:pt idx="113">
                  <c:v>84.851769950000005</c:v>
                </c:pt>
                <c:pt idx="114">
                  <c:v>83.270625719999998</c:v>
                </c:pt>
                <c:pt idx="115">
                  <c:v>82.237559739999995</c:v>
                </c:pt>
                <c:pt idx="116">
                  <c:v>95.057980689999994</c:v>
                </c:pt>
                <c:pt idx="117">
                  <c:v>86.351051200000001</c:v>
                </c:pt>
                <c:pt idx="118">
                  <c:v>92.310979829999994</c:v>
                </c:pt>
                <c:pt idx="119">
                  <c:v>92.134606250000004</c:v>
                </c:pt>
                <c:pt idx="120">
                  <c:v>92.54412963</c:v>
                </c:pt>
                <c:pt idx="121">
                  <c:v>92.470655780000001</c:v>
                </c:pt>
                <c:pt idx="122">
                  <c:v>97.126676160000002</c:v>
                </c:pt>
                <c:pt idx="123">
                  <c:v>81.751812380000004</c:v>
                </c:pt>
                <c:pt idx="124">
                  <c:v>90.877196650000002</c:v>
                </c:pt>
                <c:pt idx="125">
                  <c:v>105.1212221</c:v>
                </c:pt>
                <c:pt idx="126">
                  <c:v>111.7767767</c:v>
                </c:pt>
                <c:pt idx="127">
                  <c:v>109.28908850000001</c:v>
                </c:pt>
                <c:pt idx="128">
                  <c:v>104.1100813</c:v>
                </c:pt>
                <c:pt idx="129">
                  <c:v>80.20683124</c:v>
                </c:pt>
                <c:pt idx="130">
                  <c:v>80.086143219999997</c:v>
                </c:pt>
              </c:numCache>
            </c:numRef>
          </c:xVal>
          <c:yVal>
            <c:numRef>
              <c:f>'Bite angle theta wo outliers'!$I$2:$I$132</c:f>
              <c:numCache>
                <c:formatCode>General</c:formatCode>
                <c:ptCount val="131"/>
                <c:pt idx="0">
                  <c:v>91.258685279999995</c:v>
                </c:pt>
                <c:pt idx="1">
                  <c:v>89.850270879999997</c:v>
                </c:pt>
                <c:pt idx="2">
                  <c:v>90.819145739999996</c:v>
                </c:pt>
                <c:pt idx="3">
                  <c:v>77.926682330000006</c:v>
                </c:pt>
                <c:pt idx="4">
                  <c:v>89.077999500000004</c:v>
                </c:pt>
                <c:pt idx="5">
                  <c:v>72.180617150000003</c:v>
                </c:pt>
                <c:pt idx="6">
                  <c:v>113.1914419</c:v>
                </c:pt>
                <c:pt idx="7">
                  <c:v>112.3610477</c:v>
                </c:pt>
                <c:pt idx="8">
                  <c:v>104.2583101</c:v>
                </c:pt>
                <c:pt idx="9">
                  <c:v>98.716403029999995</c:v>
                </c:pt>
                <c:pt idx="10">
                  <c:v>100.47319589999999</c:v>
                </c:pt>
                <c:pt idx="11">
                  <c:v>109.6802507</c:v>
                </c:pt>
                <c:pt idx="12">
                  <c:v>104.5088185</c:v>
                </c:pt>
                <c:pt idx="13">
                  <c:v>89.575054499999993</c:v>
                </c:pt>
                <c:pt idx="14">
                  <c:v>100.46163919999999</c:v>
                </c:pt>
                <c:pt idx="15">
                  <c:v>74.143463370000006</c:v>
                </c:pt>
                <c:pt idx="16">
                  <c:v>93.050602409999996</c:v>
                </c:pt>
                <c:pt idx="17">
                  <c:v>101.6892556</c:v>
                </c:pt>
                <c:pt idx="18">
                  <c:v>103.627376</c:v>
                </c:pt>
                <c:pt idx="19">
                  <c:v>100.8654677</c:v>
                </c:pt>
                <c:pt idx="20">
                  <c:v>106.2482251</c:v>
                </c:pt>
                <c:pt idx="21">
                  <c:v>79.629050950000007</c:v>
                </c:pt>
                <c:pt idx="22">
                  <c:v>83.026475160000004</c:v>
                </c:pt>
                <c:pt idx="23">
                  <c:v>87.653648689999997</c:v>
                </c:pt>
                <c:pt idx="24">
                  <c:v>83.590012139999999</c:v>
                </c:pt>
                <c:pt idx="25">
                  <c:v>84.729683660000006</c:v>
                </c:pt>
                <c:pt idx="26">
                  <c:v>84.301551200000006</c:v>
                </c:pt>
                <c:pt idx="27">
                  <c:v>84.533700749999994</c:v>
                </c:pt>
                <c:pt idx="28">
                  <c:v>88.719491950000005</c:v>
                </c:pt>
                <c:pt idx="29">
                  <c:v>84.310374960000004</c:v>
                </c:pt>
                <c:pt idx="30">
                  <c:v>91.483094960000003</c:v>
                </c:pt>
                <c:pt idx="31">
                  <c:v>91.176191009999997</c:v>
                </c:pt>
                <c:pt idx="32">
                  <c:v>95.317804120000005</c:v>
                </c:pt>
                <c:pt idx="33">
                  <c:v>92.391578170000003</c:v>
                </c:pt>
                <c:pt idx="34">
                  <c:v>93.030932199999995</c:v>
                </c:pt>
                <c:pt idx="35">
                  <c:v>97.766808510000004</c:v>
                </c:pt>
                <c:pt idx="36">
                  <c:v>111.1898779</c:v>
                </c:pt>
                <c:pt idx="37">
                  <c:v>83.878644629999997</c:v>
                </c:pt>
                <c:pt idx="38">
                  <c:v>90.27855572</c:v>
                </c:pt>
                <c:pt idx="39">
                  <c:v>111.9289788</c:v>
                </c:pt>
                <c:pt idx="40">
                  <c:v>112.7491132</c:v>
                </c:pt>
                <c:pt idx="41">
                  <c:v>105.94938639999999</c:v>
                </c:pt>
                <c:pt idx="42">
                  <c:v>104.87650259999999</c:v>
                </c:pt>
                <c:pt idx="43">
                  <c:v>85.044258429999999</c:v>
                </c:pt>
                <c:pt idx="44">
                  <c:v>85.370693079999995</c:v>
                </c:pt>
                <c:pt idx="45">
                  <c:v>84.327758939999995</c:v>
                </c:pt>
                <c:pt idx="46">
                  <c:v>85.14903151</c:v>
                </c:pt>
                <c:pt idx="47">
                  <c:v>92.023344660000006</c:v>
                </c:pt>
                <c:pt idx="48">
                  <c:v>82.87431334</c:v>
                </c:pt>
                <c:pt idx="49">
                  <c:v>85.01360425</c:v>
                </c:pt>
                <c:pt idx="50">
                  <c:v>83.694305810000003</c:v>
                </c:pt>
                <c:pt idx="51">
                  <c:v>82.210611540000002</c:v>
                </c:pt>
                <c:pt idx="52">
                  <c:v>83.142563109999998</c:v>
                </c:pt>
                <c:pt idx="53">
                  <c:v>93.888593540000002</c:v>
                </c:pt>
                <c:pt idx="54">
                  <c:v>91.595191130000003</c:v>
                </c:pt>
                <c:pt idx="55">
                  <c:v>80.717403000000004</c:v>
                </c:pt>
                <c:pt idx="56">
                  <c:v>107.1068629</c:v>
                </c:pt>
                <c:pt idx="57">
                  <c:v>95.941040709999996</c:v>
                </c:pt>
                <c:pt idx="58">
                  <c:v>96.434994340000003</c:v>
                </c:pt>
                <c:pt idx="59">
                  <c:v>94.720714409999999</c:v>
                </c:pt>
                <c:pt idx="60">
                  <c:v>81.928563639999993</c:v>
                </c:pt>
                <c:pt idx="61">
                  <c:v>91.685113670000007</c:v>
                </c:pt>
                <c:pt idx="62">
                  <c:v>108.85873170000001</c:v>
                </c:pt>
                <c:pt idx="63">
                  <c:v>99.661803590000005</c:v>
                </c:pt>
                <c:pt idx="64">
                  <c:v>99.122250309999998</c:v>
                </c:pt>
                <c:pt idx="65">
                  <c:v>100.9525886</c:v>
                </c:pt>
                <c:pt idx="66">
                  <c:v>81.00884284</c:v>
                </c:pt>
                <c:pt idx="67">
                  <c:v>89.685483469999994</c:v>
                </c:pt>
                <c:pt idx="68">
                  <c:v>91.734347450000001</c:v>
                </c:pt>
                <c:pt idx="69">
                  <c:v>88.787781989999999</c:v>
                </c:pt>
                <c:pt idx="70">
                  <c:v>95.541111400000005</c:v>
                </c:pt>
                <c:pt idx="71">
                  <c:v>113.6297007</c:v>
                </c:pt>
                <c:pt idx="72">
                  <c:v>113.32402159999999</c:v>
                </c:pt>
                <c:pt idx="73">
                  <c:v>104.45655859999999</c:v>
                </c:pt>
                <c:pt idx="74">
                  <c:v>100.411658</c:v>
                </c:pt>
                <c:pt idx="75">
                  <c:v>105.6510251</c:v>
                </c:pt>
                <c:pt idx="76">
                  <c:v>108.99644000000001</c:v>
                </c:pt>
                <c:pt idx="77">
                  <c:v>100.68572589999999</c:v>
                </c:pt>
                <c:pt idx="78">
                  <c:v>100.4285051</c:v>
                </c:pt>
                <c:pt idx="79">
                  <c:v>71.467418069999994</c:v>
                </c:pt>
                <c:pt idx="80">
                  <c:v>99.468662370000004</c:v>
                </c:pt>
                <c:pt idx="81">
                  <c:v>103.78301209999999</c:v>
                </c:pt>
                <c:pt idx="82">
                  <c:v>104.7517476</c:v>
                </c:pt>
                <c:pt idx="83">
                  <c:v>112.71741230000001</c:v>
                </c:pt>
                <c:pt idx="84">
                  <c:v>79.811236109999996</c:v>
                </c:pt>
                <c:pt idx="85">
                  <c:v>87.579713380000001</c:v>
                </c:pt>
                <c:pt idx="86">
                  <c:v>83.654989049999998</c:v>
                </c:pt>
                <c:pt idx="87">
                  <c:v>83.519548420000007</c:v>
                </c:pt>
                <c:pt idx="88">
                  <c:v>84.7246351</c:v>
                </c:pt>
                <c:pt idx="89">
                  <c:v>84.460283709999999</c:v>
                </c:pt>
                <c:pt idx="90">
                  <c:v>84.348283100000003</c:v>
                </c:pt>
                <c:pt idx="91">
                  <c:v>84.090844270000005</c:v>
                </c:pt>
                <c:pt idx="92">
                  <c:v>84.611467869999998</c:v>
                </c:pt>
                <c:pt idx="93">
                  <c:v>95.401815450000001</c:v>
                </c:pt>
                <c:pt idx="94">
                  <c:v>89.525864839999997</c:v>
                </c:pt>
                <c:pt idx="95">
                  <c:v>93.885374819999996</c:v>
                </c:pt>
                <c:pt idx="96">
                  <c:v>95.384020590000006</c:v>
                </c:pt>
                <c:pt idx="97">
                  <c:v>91.829746529999994</c:v>
                </c:pt>
                <c:pt idx="98">
                  <c:v>111.0270579</c:v>
                </c:pt>
                <c:pt idx="99">
                  <c:v>83.683074610000006</c:v>
                </c:pt>
                <c:pt idx="100">
                  <c:v>90.441336980000003</c:v>
                </c:pt>
                <c:pt idx="101">
                  <c:v>101.9461158</c:v>
                </c:pt>
                <c:pt idx="102">
                  <c:v>106.48178350000001</c:v>
                </c:pt>
                <c:pt idx="103">
                  <c:v>115.46171390000001</c:v>
                </c:pt>
                <c:pt idx="104">
                  <c:v>97.147863799999996</c:v>
                </c:pt>
                <c:pt idx="105">
                  <c:v>109.6236767</c:v>
                </c:pt>
                <c:pt idx="106">
                  <c:v>88.952783920000002</c:v>
                </c:pt>
                <c:pt idx="107">
                  <c:v>84.96101754</c:v>
                </c:pt>
                <c:pt idx="108">
                  <c:v>84.753510329999997</c:v>
                </c:pt>
                <c:pt idx="109">
                  <c:v>85.39669001</c:v>
                </c:pt>
                <c:pt idx="110">
                  <c:v>91.085218549999993</c:v>
                </c:pt>
                <c:pt idx="111">
                  <c:v>84.944099910000006</c:v>
                </c:pt>
                <c:pt idx="112">
                  <c:v>87.896341969999995</c:v>
                </c:pt>
                <c:pt idx="113">
                  <c:v>84.851769950000005</c:v>
                </c:pt>
                <c:pt idx="114">
                  <c:v>83.270625719999998</c:v>
                </c:pt>
                <c:pt idx="115">
                  <c:v>82.237559739999995</c:v>
                </c:pt>
                <c:pt idx="116">
                  <c:v>95.057980689999994</c:v>
                </c:pt>
                <c:pt idx="117">
                  <c:v>86.351051200000001</c:v>
                </c:pt>
                <c:pt idx="118">
                  <c:v>92.310979829999994</c:v>
                </c:pt>
                <c:pt idx="119">
                  <c:v>92.134606250000004</c:v>
                </c:pt>
                <c:pt idx="120">
                  <c:v>92.54412963</c:v>
                </c:pt>
                <c:pt idx="121">
                  <c:v>92.470655780000001</c:v>
                </c:pt>
                <c:pt idx="122">
                  <c:v>97.126676160000002</c:v>
                </c:pt>
                <c:pt idx="123">
                  <c:v>81.751812380000004</c:v>
                </c:pt>
                <c:pt idx="124">
                  <c:v>90.877196650000002</c:v>
                </c:pt>
                <c:pt idx="125">
                  <c:v>105.1212221</c:v>
                </c:pt>
                <c:pt idx="126">
                  <c:v>111.7767767</c:v>
                </c:pt>
                <c:pt idx="127">
                  <c:v>109.28908850000001</c:v>
                </c:pt>
                <c:pt idx="128">
                  <c:v>104.1100813</c:v>
                </c:pt>
                <c:pt idx="129">
                  <c:v>80.20683124</c:v>
                </c:pt>
                <c:pt idx="130">
                  <c:v>80.086143219999997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29A-49DF-B51A-F921EB7102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5447664"/>
        <c:axId val="745434704"/>
      </c:scatterChart>
      <c:valAx>
        <c:axId val="745447664"/>
        <c:scaling>
          <c:orientation val="minMax"/>
          <c:max val="116"/>
          <c:min val="7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4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θ</a:t>
                </a:r>
                <a:r>
                  <a:rPr lang="en-GB" sz="1400" b="0" i="0" u="none" strike="noStrike" kern="1200" spc="0" baseline="-25000">
                    <a:solidFill>
                      <a:sysClr val="windowText" lastClr="000000"/>
                    </a:solidFill>
                    <a:effectLst/>
                    <a:cs typeface="Times New Roman" panose="02020603050405020304" pitchFamily="18" charset="0"/>
                  </a:rPr>
                  <a:t>xTB</a:t>
                </a:r>
                <a:r>
                  <a:rPr lang="en-GB" sz="1400" b="0" i="0" u="none" strike="noStrike" kern="1200" baseline="0">
                    <a:solidFill>
                      <a:sysClr val="windowText" lastClr="000000"/>
                    </a:solidFill>
                  </a:rPr>
                  <a:t>(</a:t>
                </a:r>
                <a:r>
                  <a:rPr lang="en-IN" sz="1400" b="0" i="0" u="none" strike="noStrike" kern="1200" baseline="0">
                    <a:solidFill>
                      <a:sysClr val="windowText" lastClr="000000"/>
                    </a:solidFill>
                  </a:rPr>
                  <a:t>°</a:t>
                </a:r>
                <a:r>
                  <a:rPr lang="en-GB" sz="1400" b="0" i="0" u="none" strike="noStrike" kern="1200" baseline="0">
                    <a:solidFill>
                      <a:sysClr val="windowText" lastClr="000000"/>
                    </a:solidFill>
                  </a:rPr>
                  <a:t>)</a:t>
                </a:r>
                <a:endParaRPr lang="en-IN" sz="1400" b="0" i="0" u="none" strike="noStrike" kern="1200" baseline="-25000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5434704"/>
        <c:crosses val="autoZero"/>
        <c:crossBetween val="midCat"/>
      </c:valAx>
      <c:valAx>
        <c:axId val="745434704"/>
        <c:scaling>
          <c:orientation val="minMax"/>
          <c:max val="115"/>
          <c:min val="48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4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θ</a:t>
                </a:r>
                <a:r>
                  <a:rPr lang="en-GB" sz="1400" b="0" i="0" u="none" strike="noStrike" kern="1200" spc="0" baseline="-25000">
                    <a:solidFill>
                      <a:sysClr val="windowText" lastClr="000000"/>
                    </a:solidFill>
                    <a:effectLst/>
                    <a:cs typeface="Times New Roman" panose="02020603050405020304" pitchFamily="18" charset="0"/>
                  </a:rPr>
                  <a:t>DFT</a:t>
                </a:r>
                <a:r>
                  <a:rPr lang="en-GB" sz="1400" b="0" i="0" u="none" strike="noStrike" kern="1200" baseline="0">
                    <a:solidFill>
                      <a:sysClr val="windowText" lastClr="000000"/>
                    </a:solidFill>
                  </a:rPr>
                  <a:t>(</a:t>
                </a:r>
                <a:r>
                  <a:rPr lang="en-IN" sz="1400" b="0" i="0" u="none" strike="noStrike" kern="1200" baseline="0">
                    <a:solidFill>
                      <a:sysClr val="windowText" lastClr="000000"/>
                    </a:solidFill>
                  </a:rPr>
                  <a:t>°</a:t>
                </a:r>
                <a:r>
                  <a:rPr lang="en-GB" sz="1400" b="0" i="0" u="none" strike="noStrike" kern="1200" baseline="0">
                    <a:solidFill>
                      <a:sysClr val="windowText" lastClr="000000"/>
                    </a:solidFill>
                  </a:rPr>
                  <a:t>)</a:t>
                </a:r>
                <a:endParaRPr lang="en-IN" sz="1400" b="0" i="0" u="none" strike="noStrike" kern="1200" baseline="-25000">
                  <a:solidFill>
                    <a:sysClr val="windowText" lastClr="000000"/>
                  </a:solidFill>
                </a:endParaRPr>
              </a:p>
            </c:rich>
          </c:tx>
          <c:layout>
            <c:manualLayout>
              <c:xMode val="edge"/>
              <c:yMode val="edge"/>
              <c:x val="2.7385301131846917E-4"/>
              <c:y val="0.3784601924759405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54476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4173737991488932E-2"/>
          <c:y val="0.89313466025080201"/>
          <c:w val="0.89165266841644797"/>
          <c:h val="8.371719160104987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IN" sz="1600" b="1">
                <a:solidFill>
                  <a:sysClr val="windowText" lastClr="000000"/>
                </a:solidFill>
              </a:rPr>
              <a:t>Bite angle </a:t>
            </a:r>
            <a:r>
              <a:rPr lang="el-GR" sz="1600" b="1" i="0" u="none" strike="noStrike" kern="1200" spc="0" baseline="0">
                <a:solidFill>
                  <a:sysClr val="windowText" lastClr="000000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θ</a:t>
            </a:r>
            <a:endParaRPr lang="en-IN" sz="1600" b="1">
              <a:solidFill>
                <a:sysClr val="windowText" lastClr="000000"/>
              </a:solidFill>
            </a:endParaRPr>
          </a:p>
        </c:rich>
      </c:tx>
      <c:layout>
        <c:manualLayout>
          <c:xMode val="edge"/>
          <c:yMode val="edge"/>
          <c:x val="0.44933856133287181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0.11024692301811788"/>
          <c:y val="0.17374999999999999"/>
          <c:w val="0.84452666717631175"/>
          <c:h val="0.53841243802857974"/>
        </c:manualLayout>
      </c:layout>
      <c:scatterChart>
        <c:scatterStyle val="lineMarker"/>
        <c:varyColors val="0"/>
        <c:ser>
          <c:idx val="0"/>
          <c:order val="0"/>
          <c:tx>
            <c:v>Data points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25400" cap="rnd">
                <a:solidFill>
                  <a:schemeClr val="accent6">
                    <a:lumMod val="75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50359412558474081"/>
                  <c:y val="-0.15888027007776445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1000" b="1" i="0" u="none" strike="noStrike" kern="1200" baseline="0">
                        <a:solidFill>
                          <a:sysClr val="windowText" lastClr="00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l-GR" sz="1000" b="1" i="0" u="none" strike="noStrike" baseline="0">
                        <a:effectLst/>
                      </a:rPr>
                      <a:t>θ</a:t>
                    </a:r>
                    <a:r>
                      <a:rPr lang="en-GB" sz="1000" b="1" i="0" u="none" strike="noStrike" baseline="-25000">
                        <a:effectLst/>
                      </a:rPr>
                      <a:t>DFT</a:t>
                    </a:r>
                    <a:r>
                      <a:rPr lang="en-US" sz="1000" b="1" baseline="0"/>
                      <a:t> = 0.88</a:t>
                    </a:r>
                    <a:r>
                      <a:rPr lang="el-GR" sz="1000" b="1" i="0" u="none" strike="noStrike" baseline="0">
                        <a:effectLst/>
                      </a:rPr>
                      <a:t>θ</a:t>
                    </a:r>
                    <a:r>
                      <a:rPr lang="en-GB" sz="1000" b="1" i="0" u="none" strike="noStrike" baseline="-25000">
                        <a:effectLst/>
                      </a:rPr>
                      <a:t>xTB</a:t>
                    </a:r>
                    <a:r>
                      <a:rPr lang="en-US" sz="1000" b="1" baseline="0"/>
                      <a:t> + 9.90</a:t>
                    </a:r>
                    <a:br>
                      <a:rPr lang="en-US" sz="1000" b="1" baseline="0"/>
                    </a:br>
                    <a:r>
                      <a:rPr lang="en-US" sz="1000" b="1" baseline="0"/>
                      <a:t>R² = 0.68</a:t>
                    </a:r>
                  </a:p>
                  <a:p>
                    <a:pPr>
                      <a:defRPr sz="1000" b="1">
                        <a:solidFill>
                          <a:sysClr val="windowText" lastClr="000000"/>
                        </a:solidFill>
                      </a:defRPr>
                    </a:pPr>
                    <a:r>
                      <a:rPr lang="en-US" sz="1000" b="1" baseline="0"/>
                      <a:t>Pearson R = 0.82</a:t>
                    </a:r>
                  </a:p>
                  <a:p>
                    <a:pPr>
                      <a:defRPr sz="1000" b="1">
                        <a:solidFill>
                          <a:sysClr val="windowText" lastClr="000000"/>
                        </a:solidFill>
                      </a:defRPr>
                    </a:pPr>
                    <a:r>
                      <a:rPr lang="en-US" sz="1000" b="1" baseline="0"/>
                      <a:t>MAE = 2.88</a:t>
                    </a:r>
                    <a:r>
                      <a:rPr lang="en-IN" sz="1000" b="1" i="0" u="none" strike="noStrike" baseline="0">
                        <a:effectLst/>
                      </a:rPr>
                      <a:t>°</a:t>
                    </a:r>
                    <a:endParaRPr lang="en-US" sz="1000" b="1" baseline="0"/>
                  </a:p>
                  <a:p>
                    <a:pPr>
                      <a:defRPr sz="1000" b="1">
                        <a:solidFill>
                          <a:sysClr val="windowText" lastClr="000000"/>
                        </a:solidFill>
                      </a:defRPr>
                    </a:pPr>
                    <a:r>
                      <a:rPr lang="en-US" sz="1000" b="1" baseline="0"/>
                      <a:t>RMSE = 7.08</a:t>
                    </a:r>
                    <a:r>
                      <a:rPr lang="en-IN" sz="1000" b="1" i="0" u="none" strike="noStrike" baseline="0">
                        <a:effectLst/>
                      </a:rPr>
                      <a:t>°</a:t>
                    </a:r>
                    <a:endParaRPr lang="en-US" sz="1000" b="1" baseline="0"/>
                  </a:p>
                  <a:p>
                    <a:pPr>
                      <a:defRPr sz="1000" b="1">
                        <a:solidFill>
                          <a:sysClr val="windowText" lastClr="000000"/>
                        </a:solidFill>
                      </a:defRPr>
                    </a:pPr>
                    <a:r>
                      <a:rPr lang="en-US" sz="1000" b="1" baseline="0"/>
                      <a:t>N = 134</a:t>
                    </a:r>
                  </a:p>
                </c:rich>
              </c:tx>
              <c:numFmt formatCode="General" sourceLinked="0"/>
              <c:spPr>
                <a:solidFill>
                  <a:schemeClr val="bg1">
                    <a:lumMod val="9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'Bite angle theta with outliers'!$B$2:$B$135</c:f>
              <c:numCache>
                <c:formatCode>General</c:formatCode>
                <c:ptCount val="134"/>
                <c:pt idx="0">
                  <c:v>91.258685279999995</c:v>
                </c:pt>
                <c:pt idx="1">
                  <c:v>89.850270879999997</c:v>
                </c:pt>
                <c:pt idx="2">
                  <c:v>90.819145739999996</c:v>
                </c:pt>
                <c:pt idx="3">
                  <c:v>77.926682330000006</c:v>
                </c:pt>
                <c:pt idx="4">
                  <c:v>89.077999500000004</c:v>
                </c:pt>
                <c:pt idx="5">
                  <c:v>72.180617150000003</c:v>
                </c:pt>
                <c:pt idx="6">
                  <c:v>113.1914419</c:v>
                </c:pt>
                <c:pt idx="7">
                  <c:v>112.3610477</c:v>
                </c:pt>
                <c:pt idx="8">
                  <c:v>104.2583101</c:v>
                </c:pt>
                <c:pt idx="9">
                  <c:v>98.716403029999995</c:v>
                </c:pt>
                <c:pt idx="10">
                  <c:v>100.47319589999999</c:v>
                </c:pt>
                <c:pt idx="11">
                  <c:v>109.6802507</c:v>
                </c:pt>
                <c:pt idx="12">
                  <c:v>104.5088185</c:v>
                </c:pt>
                <c:pt idx="13">
                  <c:v>89.575054499999993</c:v>
                </c:pt>
                <c:pt idx="14">
                  <c:v>100.46163919999999</c:v>
                </c:pt>
                <c:pt idx="15">
                  <c:v>74.143463370000006</c:v>
                </c:pt>
                <c:pt idx="16">
                  <c:v>93.050602409999996</c:v>
                </c:pt>
                <c:pt idx="17">
                  <c:v>101.6892556</c:v>
                </c:pt>
                <c:pt idx="18">
                  <c:v>103.627376</c:v>
                </c:pt>
                <c:pt idx="19">
                  <c:v>100.8654677</c:v>
                </c:pt>
                <c:pt idx="20">
                  <c:v>106.2482251</c:v>
                </c:pt>
                <c:pt idx="21">
                  <c:v>79.629050950000007</c:v>
                </c:pt>
                <c:pt idx="22">
                  <c:v>83.026475160000004</c:v>
                </c:pt>
                <c:pt idx="23">
                  <c:v>87.653648689999997</c:v>
                </c:pt>
                <c:pt idx="24">
                  <c:v>83.590012139999999</c:v>
                </c:pt>
                <c:pt idx="25">
                  <c:v>84.729683660000006</c:v>
                </c:pt>
                <c:pt idx="26">
                  <c:v>84.301551200000006</c:v>
                </c:pt>
                <c:pt idx="27">
                  <c:v>84.533700749999994</c:v>
                </c:pt>
                <c:pt idx="28">
                  <c:v>88.719491950000005</c:v>
                </c:pt>
                <c:pt idx="29">
                  <c:v>84.310374960000004</c:v>
                </c:pt>
                <c:pt idx="30">
                  <c:v>91.483094960000003</c:v>
                </c:pt>
                <c:pt idx="31">
                  <c:v>91.176191009999997</c:v>
                </c:pt>
                <c:pt idx="32">
                  <c:v>95.317804120000005</c:v>
                </c:pt>
                <c:pt idx="33">
                  <c:v>92.391578170000003</c:v>
                </c:pt>
                <c:pt idx="34">
                  <c:v>146.7553351</c:v>
                </c:pt>
                <c:pt idx="35">
                  <c:v>93.030932199999995</c:v>
                </c:pt>
                <c:pt idx="36">
                  <c:v>97.766808510000004</c:v>
                </c:pt>
                <c:pt idx="37">
                  <c:v>111.1898779</c:v>
                </c:pt>
                <c:pt idx="38">
                  <c:v>83.878644629999997</c:v>
                </c:pt>
                <c:pt idx="39">
                  <c:v>90.27855572</c:v>
                </c:pt>
                <c:pt idx="40">
                  <c:v>111.9289788</c:v>
                </c:pt>
                <c:pt idx="41">
                  <c:v>112.7491132</c:v>
                </c:pt>
                <c:pt idx="42">
                  <c:v>105.94938639999999</c:v>
                </c:pt>
                <c:pt idx="43">
                  <c:v>104.87650259999999</c:v>
                </c:pt>
                <c:pt idx="44">
                  <c:v>85.044258429999999</c:v>
                </c:pt>
                <c:pt idx="45">
                  <c:v>85.370693079999995</c:v>
                </c:pt>
                <c:pt idx="46">
                  <c:v>84.327758939999995</c:v>
                </c:pt>
                <c:pt idx="47">
                  <c:v>85.14903151</c:v>
                </c:pt>
                <c:pt idx="48">
                  <c:v>92.023344660000006</c:v>
                </c:pt>
                <c:pt idx="49">
                  <c:v>82.87431334</c:v>
                </c:pt>
                <c:pt idx="50">
                  <c:v>85.01360425</c:v>
                </c:pt>
                <c:pt idx="51">
                  <c:v>83.694305810000003</c:v>
                </c:pt>
                <c:pt idx="52">
                  <c:v>82.210611540000002</c:v>
                </c:pt>
                <c:pt idx="53">
                  <c:v>83.142563109999998</c:v>
                </c:pt>
                <c:pt idx="54">
                  <c:v>93.888593540000002</c:v>
                </c:pt>
                <c:pt idx="55">
                  <c:v>91.595191130000003</c:v>
                </c:pt>
                <c:pt idx="56">
                  <c:v>80.717403000000004</c:v>
                </c:pt>
                <c:pt idx="57">
                  <c:v>107.1068629</c:v>
                </c:pt>
                <c:pt idx="58">
                  <c:v>89.265178539999994</c:v>
                </c:pt>
                <c:pt idx="59">
                  <c:v>95.941040709999996</c:v>
                </c:pt>
                <c:pt idx="60">
                  <c:v>96.434994340000003</c:v>
                </c:pt>
                <c:pt idx="61">
                  <c:v>94.720714409999999</c:v>
                </c:pt>
                <c:pt idx="62">
                  <c:v>81.928563639999993</c:v>
                </c:pt>
                <c:pt idx="63">
                  <c:v>91.685113670000007</c:v>
                </c:pt>
                <c:pt idx="64">
                  <c:v>108.85873170000001</c:v>
                </c:pt>
                <c:pt idx="65">
                  <c:v>99.661803590000005</c:v>
                </c:pt>
                <c:pt idx="66">
                  <c:v>99.122250309999998</c:v>
                </c:pt>
                <c:pt idx="67">
                  <c:v>100.9525886</c:v>
                </c:pt>
                <c:pt idx="68">
                  <c:v>81.00884284</c:v>
                </c:pt>
                <c:pt idx="69">
                  <c:v>89.685483469999994</c:v>
                </c:pt>
                <c:pt idx="70">
                  <c:v>91.734347450000001</c:v>
                </c:pt>
                <c:pt idx="71">
                  <c:v>88.787781989999999</c:v>
                </c:pt>
                <c:pt idx="72">
                  <c:v>95.541111400000005</c:v>
                </c:pt>
                <c:pt idx="73">
                  <c:v>113.6297007</c:v>
                </c:pt>
                <c:pt idx="74">
                  <c:v>113.32402159999999</c:v>
                </c:pt>
                <c:pt idx="75">
                  <c:v>104.45655859999999</c:v>
                </c:pt>
                <c:pt idx="76">
                  <c:v>100.411658</c:v>
                </c:pt>
                <c:pt idx="77">
                  <c:v>105.6510251</c:v>
                </c:pt>
                <c:pt idx="78">
                  <c:v>108.99644000000001</c:v>
                </c:pt>
                <c:pt idx="79">
                  <c:v>100.68572589999999</c:v>
                </c:pt>
                <c:pt idx="80">
                  <c:v>100.4285051</c:v>
                </c:pt>
                <c:pt idx="81">
                  <c:v>71.467418069999994</c:v>
                </c:pt>
                <c:pt idx="82">
                  <c:v>99.468662370000004</c:v>
                </c:pt>
                <c:pt idx="83">
                  <c:v>103.78301209999999</c:v>
                </c:pt>
                <c:pt idx="84">
                  <c:v>104.7517476</c:v>
                </c:pt>
                <c:pt idx="85">
                  <c:v>112.71741230000001</c:v>
                </c:pt>
                <c:pt idx="86">
                  <c:v>79.811236109999996</c:v>
                </c:pt>
                <c:pt idx="87">
                  <c:v>87.579713380000001</c:v>
                </c:pt>
                <c:pt idx="88">
                  <c:v>83.654989049999998</c:v>
                </c:pt>
                <c:pt idx="89">
                  <c:v>83.519548420000007</c:v>
                </c:pt>
                <c:pt idx="90">
                  <c:v>84.7246351</c:v>
                </c:pt>
                <c:pt idx="91">
                  <c:v>84.460283709999999</c:v>
                </c:pt>
                <c:pt idx="92">
                  <c:v>84.348283100000003</c:v>
                </c:pt>
                <c:pt idx="93">
                  <c:v>84.090844270000005</c:v>
                </c:pt>
                <c:pt idx="94">
                  <c:v>84.611467869999998</c:v>
                </c:pt>
                <c:pt idx="95">
                  <c:v>95.401815450000001</c:v>
                </c:pt>
                <c:pt idx="96">
                  <c:v>89.525864839999997</c:v>
                </c:pt>
                <c:pt idx="97">
                  <c:v>93.885374819999996</c:v>
                </c:pt>
                <c:pt idx="98">
                  <c:v>95.384020590000006</c:v>
                </c:pt>
                <c:pt idx="99">
                  <c:v>91.829746529999994</c:v>
                </c:pt>
                <c:pt idx="100">
                  <c:v>93.854560219999996</c:v>
                </c:pt>
                <c:pt idx="101">
                  <c:v>111.0270579</c:v>
                </c:pt>
                <c:pt idx="102">
                  <c:v>83.683074610000006</c:v>
                </c:pt>
                <c:pt idx="103">
                  <c:v>90.441336980000003</c:v>
                </c:pt>
                <c:pt idx="104">
                  <c:v>101.9461158</c:v>
                </c:pt>
                <c:pt idx="105">
                  <c:v>106.48178350000001</c:v>
                </c:pt>
                <c:pt idx="106">
                  <c:v>115.46171390000001</c:v>
                </c:pt>
                <c:pt idx="107">
                  <c:v>97.147863799999996</c:v>
                </c:pt>
                <c:pt idx="108">
                  <c:v>109.6236767</c:v>
                </c:pt>
                <c:pt idx="109">
                  <c:v>88.952783920000002</c:v>
                </c:pt>
                <c:pt idx="110">
                  <c:v>84.96101754</c:v>
                </c:pt>
                <c:pt idx="111">
                  <c:v>84.753510329999997</c:v>
                </c:pt>
                <c:pt idx="112">
                  <c:v>85.39669001</c:v>
                </c:pt>
                <c:pt idx="113">
                  <c:v>91.085218549999993</c:v>
                </c:pt>
                <c:pt idx="114">
                  <c:v>84.944099910000006</c:v>
                </c:pt>
                <c:pt idx="115">
                  <c:v>87.896341969999995</c:v>
                </c:pt>
                <c:pt idx="116">
                  <c:v>84.851769950000005</c:v>
                </c:pt>
                <c:pt idx="117">
                  <c:v>83.270625719999998</c:v>
                </c:pt>
                <c:pt idx="118">
                  <c:v>82.237559739999995</c:v>
                </c:pt>
                <c:pt idx="119">
                  <c:v>95.057980689999994</c:v>
                </c:pt>
                <c:pt idx="120">
                  <c:v>86.351051200000001</c:v>
                </c:pt>
                <c:pt idx="121">
                  <c:v>92.310979829999994</c:v>
                </c:pt>
                <c:pt idx="122">
                  <c:v>92.134606250000004</c:v>
                </c:pt>
                <c:pt idx="123">
                  <c:v>92.54412963</c:v>
                </c:pt>
                <c:pt idx="124">
                  <c:v>92.470655780000001</c:v>
                </c:pt>
                <c:pt idx="125">
                  <c:v>97.126676160000002</c:v>
                </c:pt>
                <c:pt idx="126">
                  <c:v>81.751812380000004</c:v>
                </c:pt>
                <c:pt idx="127">
                  <c:v>90.877196650000002</c:v>
                </c:pt>
                <c:pt idx="128">
                  <c:v>105.1212221</c:v>
                </c:pt>
                <c:pt idx="129">
                  <c:v>111.7767767</c:v>
                </c:pt>
                <c:pt idx="130">
                  <c:v>109.28908850000001</c:v>
                </c:pt>
                <c:pt idx="131">
                  <c:v>104.1100813</c:v>
                </c:pt>
                <c:pt idx="132">
                  <c:v>80.20683124</c:v>
                </c:pt>
                <c:pt idx="133">
                  <c:v>80.086143219999997</c:v>
                </c:pt>
              </c:numCache>
            </c:numRef>
          </c:xVal>
          <c:yVal>
            <c:numRef>
              <c:f>'Bite angle theta with outliers'!$C$2:$C$135</c:f>
              <c:numCache>
                <c:formatCode>General</c:formatCode>
                <c:ptCount val="134"/>
                <c:pt idx="0">
                  <c:v>90.775949600000004</c:v>
                </c:pt>
                <c:pt idx="1">
                  <c:v>89.244592269999998</c:v>
                </c:pt>
                <c:pt idx="2">
                  <c:v>90.469790020000005</c:v>
                </c:pt>
                <c:pt idx="3">
                  <c:v>78.253115840000007</c:v>
                </c:pt>
                <c:pt idx="4">
                  <c:v>89.048078459999999</c:v>
                </c:pt>
                <c:pt idx="5">
                  <c:v>65.134303399999993</c:v>
                </c:pt>
                <c:pt idx="6">
                  <c:v>114.65891569999999</c:v>
                </c:pt>
                <c:pt idx="7">
                  <c:v>113.09976</c:v>
                </c:pt>
                <c:pt idx="8">
                  <c:v>105.58440950000001</c:v>
                </c:pt>
                <c:pt idx="9">
                  <c:v>100.6490429</c:v>
                </c:pt>
                <c:pt idx="10">
                  <c:v>101.1050104</c:v>
                </c:pt>
                <c:pt idx="11">
                  <c:v>107.90839870000001</c:v>
                </c:pt>
                <c:pt idx="12">
                  <c:v>106.2838847</c:v>
                </c:pt>
                <c:pt idx="13">
                  <c:v>89.264170669999999</c:v>
                </c:pt>
                <c:pt idx="14">
                  <c:v>102.2050007</c:v>
                </c:pt>
                <c:pt idx="15">
                  <c:v>76.860238910000007</c:v>
                </c:pt>
                <c:pt idx="16">
                  <c:v>91.496638079999997</c:v>
                </c:pt>
                <c:pt idx="17">
                  <c:v>101.24506100000001</c:v>
                </c:pt>
                <c:pt idx="18">
                  <c:v>105.11332520000001</c:v>
                </c:pt>
                <c:pt idx="19">
                  <c:v>100.705556</c:v>
                </c:pt>
                <c:pt idx="20">
                  <c:v>107.407538</c:v>
                </c:pt>
                <c:pt idx="21">
                  <c:v>79.803147780000003</c:v>
                </c:pt>
                <c:pt idx="22">
                  <c:v>81.291257560000005</c:v>
                </c:pt>
                <c:pt idx="23">
                  <c:v>81.594549400000005</c:v>
                </c:pt>
                <c:pt idx="24">
                  <c:v>81.460338680000007</c:v>
                </c:pt>
                <c:pt idx="25">
                  <c:v>83.001458929999998</c:v>
                </c:pt>
                <c:pt idx="26">
                  <c:v>82.341795390000001</c:v>
                </c:pt>
                <c:pt idx="27">
                  <c:v>82.780403089999993</c:v>
                </c:pt>
                <c:pt idx="28">
                  <c:v>82.447185660000002</c:v>
                </c:pt>
                <c:pt idx="29">
                  <c:v>82.705386619999999</c:v>
                </c:pt>
                <c:pt idx="30">
                  <c:v>89.375655379999998</c:v>
                </c:pt>
                <c:pt idx="31">
                  <c:v>84.109583079999993</c:v>
                </c:pt>
                <c:pt idx="32">
                  <c:v>93.956632540000001</c:v>
                </c:pt>
                <c:pt idx="33">
                  <c:v>85.435365610000005</c:v>
                </c:pt>
                <c:pt idx="34">
                  <c:v>85.966519309999995</c:v>
                </c:pt>
                <c:pt idx="35">
                  <c:v>91.534884349999999</c:v>
                </c:pt>
                <c:pt idx="36">
                  <c:v>94.192598360000005</c:v>
                </c:pt>
                <c:pt idx="37">
                  <c:v>113.59068619999999</c:v>
                </c:pt>
                <c:pt idx="38">
                  <c:v>82.546912309999996</c:v>
                </c:pt>
                <c:pt idx="39">
                  <c:v>90.323584159999996</c:v>
                </c:pt>
                <c:pt idx="40">
                  <c:v>108.02647159999999</c:v>
                </c:pt>
                <c:pt idx="41">
                  <c:v>112.1929552</c:v>
                </c:pt>
                <c:pt idx="42">
                  <c:v>109.5315051</c:v>
                </c:pt>
                <c:pt idx="43">
                  <c:v>106.5368989</c:v>
                </c:pt>
                <c:pt idx="44">
                  <c:v>84.315894049999997</c:v>
                </c:pt>
                <c:pt idx="45">
                  <c:v>85.030792300000002</c:v>
                </c:pt>
                <c:pt idx="46">
                  <c:v>83.882705430000001</c:v>
                </c:pt>
                <c:pt idx="47">
                  <c:v>84.253102999999996</c:v>
                </c:pt>
                <c:pt idx="48">
                  <c:v>91.749671739999997</c:v>
                </c:pt>
                <c:pt idx="49">
                  <c:v>84.242707159999995</c:v>
                </c:pt>
                <c:pt idx="50">
                  <c:v>85.188671909999997</c:v>
                </c:pt>
                <c:pt idx="51">
                  <c:v>83.536115890000005</c:v>
                </c:pt>
                <c:pt idx="52">
                  <c:v>80.922410499999998</c:v>
                </c:pt>
                <c:pt idx="53">
                  <c:v>80.779277390000004</c:v>
                </c:pt>
                <c:pt idx="54">
                  <c:v>94.278400070000004</c:v>
                </c:pt>
                <c:pt idx="55">
                  <c:v>92.275003069999997</c:v>
                </c:pt>
                <c:pt idx="56">
                  <c:v>79.442241569999993</c:v>
                </c:pt>
                <c:pt idx="57">
                  <c:v>104.93915920000001</c:v>
                </c:pt>
                <c:pt idx="58">
                  <c:v>48.045113980000004</c:v>
                </c:pt>
                <c:pt idx="59">
                  <c:v>95.222282539999995</c:v>
                </c:pt>
                <c:pt idx="60">
                  <c:v>97.654811910000006</c:v>
                </c:pt>
                <c:pt idx="61">
                  <c:v>94.889175390000005</c:v>
                </c:pt>
                <c:pt idx="62">
                  <c:v>79.517549750000001</c:v>
                </c:pt>
                <c:pt idx="63">
                  <c:v>91.506549160000006</c:v>
                </c:pt>
                <c:pt idx="64">
                  <c:v>112.5775</c:v>
                </c:pt>
                <c:pt idx="65">
                  <c:v>103.4140498</c:v>
                </c:pt>
                <c:pt idx="66">
                  <c:v>103.1034277</c:v>
                </c:pt>
                <c:pt idx="67">
                  <c:v>103.7116923</c:v>
                </c:pt>
                <c:pt idx="68">
                  <c:v>79.441078039999994</c:v>
                </c:pt>
                <c:pt idx="69">
                  <c:v>89.242081659999997</c:v>
                </c:pt>
                <c:pt idx="70">
                  <c:v>90.784104619999994</c:v>
                </c:pt>
                <c:pt idx="71">
                  <c:v>88.768770829999994</c:v>
                </c:pt>
                <c:pt idx="72">
                  <c:v>101.6506181</c:v>
                </c:pt>
                <c:pt idx="73">
                  <c:v>113.7944</c:v>
                </c:pt>
                <c:pt idx="74">
                  <c:v>114.5496223</c:v>
                </c:pt>
                <c:pt idx="75">
                  <c:v>99.174409990000001</c:v>
                </c:pt>
                <c:pt idx="76">
                  <c:v>101.2959599</c:v>
                </c:pt>
                <c:pt idx="77">
                  <c:v>106.8637552</c:v>
                </c:pt>
                <c:pt idx="78">
                  <c:v>107.9060738</c:v>
                </c:pt>
                <c:pt idx="79">
                  <c:v>105.603694</c:v>
                </c:pt>
                <c:pt idx="80">
                  <c:v>102.22845890000001</c:v>
                </c:pt>
                <c:pt idx="81">
                  <c:v>67.396896749999996</c:v>
                </c:pt>
                <c:pt idx="82">
                  <c:v>101.2414145</c:v>
                </c:pt>
                <c:pt idx="83">
                  <c:v>104.12412550000001</c:v>
                </c:pt>
                <c:pt idx="84">
                  <c:v>100.6571955</c:v>
                </c:pt>
                <c:pt idx="85">
                  <c:v>114.0636104</c:v>
                </c:pt>
                <c:pt idx="86">
                  <c:v>79.882712350000006</c:v>
                </c:pt>
                <c:pt idx="87">
                  <c:v>81.426068439999995</c:v>
                </c:pt>
                <c:pt idx="88">
                  <c:v>81.589673050000002</c:v>
                </c:pt>
                <c:pt idx="89">
                  <c:v>81.554233580000002</c:v>
                </c:pt>
                <c:pt idx="90">
                  <c:v>82.980038550000003</c:v>
                </c:pt>
                <c:pt idx="91">
                  <c:v>82.889872789999998</c:v>
                </c:pt>
                <c:pt idx="92">
                  <c:v>82.681644370000001</c:v>
                </c:pt>
                <c:pt idx="93">
                  <c:v>82.804044939999997</c:v>
                </c:pt>
                <c:pt idx="94">
                  <c:v>82.922402989999995</c:v>
                </c:pt>
                <c:pt idx="95">
                  <c:v>93.518241739999993</c:v>
                </c:pt>
                <c:pt idx="96">
                  <c:v>88.075236829999994</c:v>
                </c:pt>
                <c:pt idx="97">
                  <c:v>87.879047810000003</c:v>
                </c:pt>
                <c:pt idx="98">
                  <c:v>90.703646809999995</c:v>
                </c:pt>
                <c:pt idx="99">
                  <c:v>100.8121278</c:v>
                </c:pt>
                <c:pt idx="100">
                  <c:v>76.357872999999998</c:v>
                </c:pt>
                <c:pt idx="101">
                  <c:v>113.7712631</c:v>
                </c:pt>
                <c:pt idx="102">
                  <c:v>82.548079560000005</c:v>
                </c:pt>
                <c:pt idx="103">
                  <c:v>90.24726124</c:v>
                </c:pt>
                <c:pt idx="104">
                  <c:v>100.9572079</c:v>
                </c:pt>
                <c:pt idx="105">
                  <c:v>105.2386753</c:v>
                </c:pt>
                <c:pt idx="106">
                  <c:v>112.5082154</c:v>
                </c:pt>
                <c:pt idx="107">
                  <c:v>99.688404739999996</c:v>
                </c:pt>
                <c:pt idx="108">
                  <c:v>114.3129303</c:v>
                </c:pt>
                <c:pt idx="109">
                  <c:v>87.176174189999998</c:v>
                </c:pt>
                <c:pt idx="110">
                  <c:v>83.417228969999996</c:v>
                </c:pt>
                <c:pt idx="111">
                  <c:v>85.298437699999994</c:v>
                </c:pt>
                <c:pt idx="112">
                  <c:v>85.836145849999994</c:v>
                </c:pt>
                <c:pt idx="113">
                  <c:v>90.563608779999996</c:v>
                </c:pt>
                <c:pt idx="114">
                  <c:v>85.533040189999994</c:v>
                </c:pt>
                <c:pt idx="115">
                  <c:v>85.520716329999999</c:v>
                </c:pt>
                <c:pt idx="116">
                  <c:v>84.312209949999996</c:v>
                </c:pt>
                <c:pt idx="117">
                  <c:v>80.380349910000007</c:v>
                </c:pt>
                <c:pt idx="118">
                  <c:v>80.436566630000002</c:v>
                </c:pt>
                <c:pt idx="119">
                  <c:v>91.273492649999994</c:v>
                </c:pt>
                <c:pt idx="120">
                  <c:v>89.982645300000001</c:v>
                </c:pt>
                <c:pt idx="121">
                  <c:v>102.5519267</c:v>
                </c:pt>
                <c:pt idx="122">
                  <c:v>87.092638590000007</c:v>
                </c:pt>
                <c:pt idx="123">
                  <c:v>93.512893450000007</c:v>
                </c:pt>
                <c:pt idx="124">
                  <c:v>93.644945930000006</c:v>
                </c:pt>
                <c:pt idx="125">
                  <c:v>94.126095090000007</c:v>
                </c:pt>
                <c:pt idx="126">
                  <c:v>79.496838530000005</c:v>
                </c:pt>
                <c:pt idx="127">
                  <c:v>90.562909500000004</c:v>
                </c:pt>
                <c:pt idx="128">
                  <c:v>102.052778</c:v>
                </c:pt>
                <c:pt idx="129">
                  <c:v>111.9631819</c:v>
                </c:pt>
                <c:pt idx="130">
                  <c:v>111.7761265</c:v>
                </c:pt>
                <c:pt idx="131">
                  <c:v>102.981804</c:v>
                </c:pt>
                <c:pt idx="132">
                  <c:v>79.460185780000003</c:v>
                </c:pt>
                <c:pt idx="133">
                  <c:v>79.122058899999999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8D4-43C5-863B-A20CB32F009A}"/>
            </c:ext>
          </c:extLst>
        </c:ser>
        <c:ser>
          <c:idx val="1"/>
          <c:order val="1"/>
          <c:tx>
            <c:v>Perfect line</c:v>
          </c:tx>
          <c:spPr>
            <a:ln w="25400" cap="rnd">
              <a:solidFill>
                <a:schemeClr val="bg1">
                  <a:lumMod val="8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'Bite angle theta with outliers'!$B$2:$B$135</c:f>
              <c:numCache>
                <c:formatCode>General</c:formatCode>
                <c:ptCount val="134"/>
                <c:pt idx="0">
                  <c:v>91.258685279999995</c:v>
                </c:pt>
                <c:pt idx="1">
                  <c:v>89.850270879999997</c:v>
                </c:pt>
                <c:pt idx="2">
                  <c:v>90.819145739999996</c:v>
                </c:pt>
                <c:pt idx="3">
                  <c:v>77.926682330000006</c:v>
                </c:pt>
                <c:pt idx="4">
                  <c:v>89.077999500000004</c:v>
                </c:pt>
                <c:pt idx="5">
                  <c:v>72.180617150000003</c:v>
                </c:pt>
                <c:pt idx="6">
                  <c:v>113.1914419</c:v>
                </c:pt>
                <c:pt idx="7">
                  <c:v>112.3610477</c:v>
                </c:pt>
                <c:pt idx="8">
                  <c:v>104.2583101</c:v>
                </c:pt>
                <c:pt idx="9">
                  <c:v>98.716403029999995</c:v>
                </c:pt>
                <c:pt idx="10">
                  <c:v>100.47319589999999</c:v>
                </c:pt>
                <c:pt idx="11">
                  <c:v>109.6802507</c:v>
                </c:pt>
                <c:pt idx="12">
                  <c:v>104.5088185</c:v>
                </c:pt>
                <c:pt idx="13">
                  <c:v>89.575054499999993</c:v>
                </c:pt>
                <c:pt idx="14">
                  <c:v>100.46163919999999</c:v>
                </c:pt>
                <c:pt idx="15">
                  <c:v>74.143463370000006</c:v>
                </c:pt>
                <c:pt idx="16">
                  <c:v>93.050602409999996</c:v>
                </c:pt>
                <c:pt idx="17">
                  <c:v>101.6892556</c:v>
                </c:pt>
                <c:pt idx="18">
                  <c:v>103.627376</c:v>
                </c:pt>
                <c:pt idx="19">
                  <c:v>100.8654677</c:v>
                </c:pt>
                <c:pt idx="20">
                  <c:v>106.2482251</c:v>
                </c:pt>
                <c:pt idx="21">
                  <c:v>79.629050950000007</c:v>
                </c:pt>
                <c:pt idx="22">
                  <c:v>83.026475160000004</c:v>
                </c:pt>
                <c:pt idx="23">
                  <c:v>87.653648689999997</c:v>
                </c:pt>
                <c:pt idx="24">
                  <c:v>83.590012139999999</c:v>
                </c:pt>
                <c:pt idx="25">
                  <c:v>84.729683660000006</c:v>
                </c:pt>
                <c:pt idx="26">
                  <c:v>84.301551200000006</c:v>
                </c:pt>
                <c:pt idx="27">
                  <c:v>84.533700749999994</c:v>
                </c:pt>
                <c:pt idx="28">
                  <c:v>88.719491950000005</c:v>
                </c:pt>
                <c:pt idx="29">
                  <c:v>84.310374960000004</c:v>
                </c:pt>
                <c:pt idx="30">
                  <c:v>91.483094960000003</c:v>
                </c:pt>
                <c:pt idx="31">
                  <c:v>91.176191009999997</c:v>
                </c:pt>
                <c:pt idx="32">
                  <c:v>95.317804120000005</c:v>
                </c:pt>
                <c:pt idx="33">
                  <c:v>92.391578170000003</c:v>
                </c:pt>
                <c:pt idx="34">
                  <c:v>146.7553351</c:v>
                </c:pt>
                <c:pt idx="35">
                  <c:v>93.030932199999995</c:v>
                </c:pt>
                <c:pt idx="36">
                  <c:v>97.766808510000004</c:v>
                </c:pt>
                <c:pt idx="37">
                  <c:v>111.1898779</c:v>
                </c:pt>
                <c:pt idx="38">
                  <c:v>83.878644629999997</c:v>
                </c:pt>
                <c:pt idx="39">
                  <c:v>90.27855572</c:v>
                </c:pt>
                <c:pt idx="40">
                  <c:v>111.9289788</c:v>
                </c:pt>
                <c:pt idx="41">
                  <c:v>112.7491132</c:v>
                </c:pt>
                <c:pt idx="42">
                  <c:v>105.94938639999999</c:v>
                </c:pt>
                <c:pt idx="43">
                  <c:v>104.87650259999999</c:v>
                </c:pt>
                <c:pt idx="44">
                  <c:v>85.044258429999999</c:v>
                </c:pt>
                <c:pt idx="45">
                  <c:v>85.370693079999995</c:v>
                </c:pt>
                <c:pt idx="46">
                  <c:v>84.327758939999995</c:v>
                </c:pt>
                <c:pt idx="47">
                  <c:v>85.14903151</c:v>
                </c:pt>
                <c:pt idx="48">
                  <c:v>92.023344660000006</c:v>
                </c:pt>
                <c:pt idx="49">
                  <c:v>82.87431334</c:v>
                </c:pt>
                <c:pt idx="50">
                  <c:v>85.01360425</c:v>
                </c:pt>
                <c:pt idx="51">
                  <c:v>83.694305810000003</c:v>
                </c:pt>
                <c:pt idx="52">
                  <c:v>82.210611540000002</c:v>
                </c:pt>
                <c:pt idx="53">
                  <c:v>83.142563109999998</c:v>
                </c:pt>
                <c:pt idx="54">
                  <c:v>93.888593540000002</c:v>
                </c:pt>
                <c:pt idx="55">
                  <c:v>91.595191130000003</c:v>
                </c:pt>
                <c:pt idx="56">
                  <c:v>80.717403000000004</c:v>
                </c:pt>
                <c:pt idx="57">
                  <c:v>107.1068629</c:v>
                </c:pt>
                <c:pt idx="58">
                  <c:v>89.265178539999994</c:v>
                </c:pt>
                <c:pt idx="59">
                  <c:v>95.941040709999996</c:v>
                </c:pt>
                <c:pt idx="60">
                  <c:v>96.434994340000003</c:v>
                </c:pt>
                <c:pt idx="61">
                  <c:v>94.720714409999999</c:v>
                </c:pt>
                <c:pt idx="62">
                  <c:v>81.928563639999993</c:v>
                </c:pt>
                <c:pt idx="63">
                  <c:v>91.685113670000007</c:v>
                </c:pt>
                <c:pt idx="64">
                  <c:v>108.85873170000001</c:v>
                </c:pt>
                <c:pt idx="65">
                  <c:v>99.661803590000005</c:v>
                </c:pt>
                <c:pt idx="66">
                  <c:v>99.122250309999998</c:v>
                </c:pt>
                <c:pt idx="67">
                  <c:v>100.9525886</c:v>
                </c:pt>
                <c:pt idx="68">
                  <c:v>81.00884284</c:v>
                </c:pt>
                <c:pt idx="69">
                  <c:v>89.685483469999994</c:v>
                </c:pt>
                <c:pt idx="70">
                  <c:v>91.734347450000001</c:v>
                </c:pt>
                <c:pt idx="71">
                  <c:v>88.787781989999999</c:v>
                </c:pt>
                <c:pt idx="72">
                  <c:v>95.541111400000005</c:v>
                </c:pt>
                <c:pt idx="73">
                  <c:v>113.6297007</c:v>
                </c:pt>
                <c:pt idx="74">
                  <c:v>113.32402159999999</c:v>
                </c:pt>
                <c:pt idx="75">
                  <c:v>104.45655859999999</c:v>
                </c:pt>
                <c:pt idx="76">
                  <c:v>100.411658</c:v>
                </c:pt>
                <c:pt idx="77">
                  <c:v>105.6510251</c:v>
                </c:pt>
                <c:pt idx="78">
                  <c:v>108.99644000000001</c:v>
                </c:pt>
                <c:pt idx="79">
                  <c:v>100.68572589999999</c:v>
                </c:pt>
                <c:pt idx="80">
                  <c:v>100.4285051</c:v>
                </c:pt>
                <c:pt idx="81">
                  <c:v>71.467418069999994</c:v>
                </c:pt>
                <c:pt idx="82">
                  <c:v>99.468662370000004</c:v>
                </c:pt>
                <c:pt idx="83">
                  <c:v>103.78301209999999</c:v>
                </c:pt>
                <c:pt idx="84">
                  <c:v>104.7517476</c:v>
                </c:pt>
                <c:pt idx="85">
                  <c:v>112.71741230000001</c:v>
                </c:pt>
                <c:pt idx="86">
                  <c:v>79.811236109999996</c:v>
                </c:pt>
                <c:pt idx="87">
                  <c:v>87.579713380000001</c:v>
                </c:pt>
                <c:pt idx="88">
                  <c:v>83.654989049999998</c:v>
                </c:pt>
                <c:pt idx="89">
                  <c:v>83.519548420000007</c:v>
                </c:pt>
                <c:pt idx="90">
                  <c:v>84.7246351</c:v>
                </c:pt>
                <c:pt idx="91">
                  <c:v>84.460283709999999</c:v>
                </c:pt>
                <c:pt idx="92">
                  <c:v>84.348283100000003</c:v>
                </c:pt>
                <c:pt idx="93">
                  <c:v>84.090844270000005</c:v>
                </c:pt>
                <c:pt idx="94">
                  <c:v>84.611467869999998</c:v>
                </c:pt>
                <c:pt idx="95">
                  <c:v>95.401815450000001</c:v>
                </c:pt>
                <c:pt idx="96">
                  <c:v>89.525864839999997</c:v>
                </c:pt>
                <c:pt idx="97">
                  <c:v>93.885374819999996</c:v>
                </c:pt>
                <c:pt idx="98">
                  <c:v>95.384020590000006</c:v>
                </c:pt>
                <c:pt idx="99">
                  <c:v>91.829746529999994</c:v>
                </c:pt>
                <c:pt idx="100">
                  <c:v>93.854560219999996</c:v>
                </c:pt>
                <c:pt idx="101">
                  <c:v>111.0270579</c:v>
                </c:pt>
                <c:pt idx="102">
                  <c:v>83.683074610000006</c:v>
                </c:pt>
                <c:pt idx="103">
                  <c:v>90.441336980000003</c:v>
                </c:pt>
                <c:pt idx="104">
                  <c:v>101.9461158</c:v>
                </c:pt>
                <c:pt idx="105">
                  <c:v>106.48178350000001</c:v>
                </c:pt>
                <c:pt idx="106">
                  <c:v>115.46171390000001</c:v>
                </c:pt>
                <c:pt idx="107">
                  <c:v>97.147863799999996</c:v>
                </c:pt>
                <c:pt idx="108">
                  <c:v>109.6236767</c:v>
                </c:pt>
                <c:pt idx="109">
                  <c:v>88.952783920000002</c:v>
                </c:pt>
                <c:pt idx="110">
                  <c:v>84.96101754</c:v>
                </c:pt>
                <c:pt idx="111">
                  <c:v>84.753510329999997</c:v>
                </c:pt>
                <c:pt idx="112">
                  <c:v>85.39669001</c:v>
                </c:pt>
                <c:pt idx="113">
                  <c:v>91.085218549999993</c:v>
                </c:pt>
                <c:pt idx="114">
                  <c:v>84.944099910000006</c:v>
                </c:pt>
                <c:pt idx="115">
                  <c:v>87.896341969999995</c:v>
                </c:pt>
                <c:pt idx="116">
                  <c:v>84.851769950000005</c:v>
                </c:pt>
                <c:pt idx="117">
                  <c:v>83.270625719999998</c:v>
                </c:pt>
                <c:pt idx="118">
                  <c:v>82.237559739999995</c:v>
                </c:pt>
                <c:pt idx="119">
                  <c:v>95.057980689999994</c:v>
                </c:pt>
                <c:pt idx="120">
                  <c:v>86.351051200000001</c:v>
                </c:pt>
                <c:pt idx="121">
                  <c:v>92.310979829999994</c:v>
                </c:pt>
                <c:pt idx="122">
                  <c:v>92.134606250000004</c:v>
                </c:pt>
                <c:pt idx="123">
                  <c:v>92.54412963</c:v>
                </c:pt>
                <c:pt idx="124">
                  <c:v>92.470655780000001</c:v>
                </c:pt>
                <c:pt idx="125">
                  <c:v>97.126676160000002</c:v>
                </c:pt>
                <c:pt idx="126">
                  <c:v>81.751812380000004</c:v>
                </c:pt>
                <c:pt idx="127">
                  <c:v>90.877196650000002</c:v>
                </c:pt>
                <c:pt idx="128">
                  <c:v>105.1212221</c:v>
                </c:pt>
                <c:pt idx="129">
                  <c:v>111.7767767</c:v>
                </c:pt>
                <c:pt idx="130">
                  <c:v>109.28908850000001</c:v>
                </c:pt>
                <c:pt idx="131">
                  <c:v>104.1100813</c:v>
                </c:pt>
                <c:pt idx="132">
                  <c:v>80.20683124</c:v>
                </c:pt>
                <c:pt idx="133">
                  <c:v>80.086143219999997</c:v>
                </c:pt>
              </c:numCache>
            </c:numRef>
          </c:xVal>
          <c:yVal>
            <c:numRef>
              <c:f>'Bite angle theta with outliers'!$I$2:$I$135</c:f>
              <c:numCache>
                <c:formatCode>General</c:formatCode>
                <c:ptCount val="134"/>
                <c:pt idx="0">
                  <c:v>91.258685279999995</c:v>
                </c:pt>
                <c:pt idx="1">
                  <c:v>89.850270879999997</c:v>
                </c:pt>
                <c:pt idx="2">
                  <c:v>90.819145739999996</c:v>
                </c:pt>
                <c:pt idx="3">
                  <c:v>77.926682330000006</c:v>
                </c:pt>
                <c:pt idx="4">
                  <c:v>89.077999500000004</c:v>
                </c:pt>
                <c:pt idx="5">
                  <c:v>72.180617150000003</c:v>
                </c:pt>
                <c:pt idx="6">
                  <c:v>113.1914419</c:v>
                </c:pt>
                <c:pt idx="7">
                  <c:v>112.3610477</c:v>
                </c:pt>
                <c:pt idx="8">
                  <c:v>104.2583101</c:v>
                </c:pt>
                <c:pt idx="9">
                  <c:v>98.716403029999995</c:v>
                </c:pt>
                <c:pt idx="10">
                  <c:v>100.47319589999999</c:v>
                </c:pt>
                <c:pt idx="11">
                  <c:v>109.6802507</c:v>
                </c:pt>
                <c:pt idx="12">
                  <c:v>104.5088185</c:v>
                </c:pt>
                <c:pt idx="13">
                  <c:v>89.575054499999993</c:v>
                </c:pt>
                <c:pt idx="14">
                  <c:v>100.46163919999999</c:v>
                </c:pt>
                <c:pt idx="15">
                  <c:v>74.143463370000006</c:v>
                </c:pt>
                <c:pt idx="16">
                  <c:v>93.050602409999996</c:v>
                </c:pt>
                <c:pt idx="17">
                  <c:v>101.6892556</c:v>
                </c:pt>
                <c:pt idx="18">
                  <c:v>103.627376</c:v>
                </c:pt>
                <c:pt idx="19">
                  <c:v>100.8654677</c:v>
                </c:pt>
                <c:pt idx="20">
                  <c:v>106.2482251</c:v>
                </c:pt>
                <c:pt idx="21">
                  <c:v>79.629050950000007</c:v>
                </c:pt>
                <c:pt idx="22">
                  <c:v>83.026475160000004</c:v>
                </c:pt>
                <c:pt idx="23">
                  <c:v>87.653648689999997</c:v>
                </c:pt>
                <c:pt idx="24">
                  <c:v>83.590012139999999</c:v>
                </c:pt>
                <c:pt idx="25">
                  <c:v>84.729683660000006</c:v>
                </c:pt>
                <c:pt idx="26">
                  <c:v>84.301551200000006</c:v>
                </c:pt>
                <c:pt idx="27">
                  <c:v>84.533700749999994</c:v>
                </c:pt>
                <c:pt idx="28">
                  <c:v>88.719491950000005</c:v>
                </c:pt>
                <c:pt idx="29">
                  <c:v>84.310374960000004</c:v>
                </c:pt>
                <c:pt idx="30">
                  <c:v>91.483094960000003</c:v>
                </c:pt>
                <c:pt idx="31">
                  <c:v>91.176191009999997</c:v>
                </c:pt>
                <c:pt idx="32">
                  <c:v>95.317804120000005</c:v>
                </c:pt>
                <c:pt idx="33">
                  <c:v>92.391578170000003</c:v>
                </c:pt>
                <c:pt idx="34">
                  <c:v>146.7553351</c:v>
                </c:pt>
                <c:pt idx="35">
                  <c:v>93.030932199999995</c:v>
                </c:pt>
                <c:pt idx="36">
                  <c:v>97.766808510000004</c:v>
                </c:pt>
                <c:pt idx="37">
                  <c:v>111.1898779</c:v>
                </c:pt>
                <c:pt idx="38">
                  <c:v>83.878644629999997</c:v>
                </c:pt>
                <c:pt idx="39">
                  <c:v>90.27855572</c:v>
                </c:pt>
                <c:pt idx="40">
                  <c:v>111.9289788</c:v>
                </c:pt>
                <c:pt idx="41">
                  <c:v>112.7491132</c:v>
                </c:pt>
                <c:pt idx="42">
                  <c:v>105.94938639999999</c:v>
                </c:pt>
                <c:pt idx="43">
                  <c:v>104.87650259999999</c:v>
                </c:pt>
                <c:pt idx="44">
                  <c:v>85.044258429999999</c:v>
                </c:pt>
                <c:pt idx="45">
                  <c:v>85.370693079999995</c:v>
                </c:pt>
                <c:pt idx="46">
                  <c:v>84.327758939999995</c:v>
                </c:pt>
                <c:pt idx="47">
                  <c:v>85.14903151</c:v>
                </c:pt>
                <c:pt idx="48">
                  <c:v>92.023344660000006</c:v>
                </c:pt>
                <c:pt idx="49">
                  <c:v>82.87431334</c:v>
                </c:pt>
                <c:pt idx="50">
                  <c:v>85.01360425</c:v>
                </c:pt>
                <c:pt idx="51">
                  <c:v>83.694305810000003</c:v>
                </c:pt>
                <c:pt idx="52">
                  <c:v>82.210611540000002</c:v>
                </c:pt>
                <c:pt idx="53">
                  <c:v>83.142563109999998</c:v>
                </c:pt>
                <c:pt idx="54">
                  <c:v>93.888593540000002</c:v>
                </c:pt>
                <c:pt idx="55">
                  <c:v>91.595191130000003</c:v>
                </c:pt>
                <c:pt idx="56">
                  <c:v>80.717403000000004</c:v>
                </c:pt>
                <c:pt idx="57">
                  <c:v>107.1068629</c:v>
                </c:pt>
                <c:pt idx="58">
                  <c:v>89.265178539999994</c:v>
                </c:pt>
                <c:pt idx="59">
                  <c:v>95.941040709999996</c:v>
                </c:pt>
                <c:pt idx="60">
                  <c:v>96.434994340000003</c:v>
                </c:pt>
                <c:pt idx="61">
                  <c:v>94.720714409999999</c:v>
                </c:pt>
                <c:pt idx="62">
                  <c:v>81.928563639999993</c:v>
                </c:pt>
                <c:pt idx="63">
                  <c:v>91.685113670000007</c:v>
                </c:pt>
                <c:pt idx="64">
                  <c:v>108.85873170000001</c:v>
                </c:pt>
                <c:pt idx="65">
                  <c:v>99.661803590000005</c:v>
                </c:pt>
                <c:pt idx="66">
                  <c:v>99.122250309999998</c:v>
                </c:pt>
                <c:pt idx="67">
                  <c:v>100.9525886</c:v>
                </c:pt>
                <c:pt idx="68">
                  <c:v>81.00884284</c:v>
                </c:pt>
                <c:pt idx="69">
                  <c:v>89.685483469999994</c:v>
                </c:pt>
                <c:pt idx="70">
                  <c:v>91.734347450000001</c:v>
                </c:pt>
                <c:pt idx="71">
                  <c:v>88.787781989999999</c:v>
                </c:pt>
                <c:pt idx="72">
                  <c:v>95.541111400000005</c:v>
                </c:pt>
                <c:pt idx="73">
                  <c:v>113.6297007</c:v>
                </c:pt>
                <c:pt idx="74">
                  <c:v>113.32402159999999</c:v>
                </c:pt>
                <c:pt idx="75">
                  <c:v>104.45655859999999</c:v>
                </c:pt>
                <c:pt idx="76">
                  <c:v>100.411658</c:v>
                </c:pt>
                <c:pt idx="77">
                  <c:v>105.6510251</c:v>
                </c:pt>
                <c:pt idx="78">
                  <c:v>108.99644000000001</c:v>
                </c:pt>
                <c:pt idx="79">
                  <c:v>100.68572589999999</c:v>
                </c:pt>
                <c:pt idx="80">
                  <c:v>100.4285051</c:v>
                </c:pt>
                <c:pt idx="81">
                  <c:v>71.467418069999994</c:v>
                </c:pt>
                <c:pt idx="82">
                  <c:v>99.468662370000004</c:v>
                </c:pt>
                <c:pt idx="83">
                  <c:v>103.78301209999999</c:v>
                </c:pt>
                <c:pt idx="84">
                  <c:v>104.7517476</c:v>
                </c:pt>
                <c:pt idx="85">
                  <c:v>112.71741230000001</c:v>
                </c:pt>
                <c:pt idx="86">
                  <c:v>79.811236109999996</c:v>
                </c:pt>
                <c:pt idx="87">
                  <c:v>87.579713380000001</c:v>
                </c:pt>
                <c:pt idx="88">
                  <c:v>83.654989049999998</c:v>
                </c:pt>
                <c:pt idx="89">
                  <c:v>83.519548420000007</c:v>
                </c:pt>
                <c:pt idx="90">
                  <c:v>84.7246351</c:v>
                </c:pt>
                <c:pt idx="91">
                  <c:v>84.460283709999999</c:v>
                </c:pt>
                <c:pt idx="92">
                  <c:v>84.348283100000003</c:v>
                </c:pt>
                <c:pt idx="93">
                  <c:v>84.090844270000005</c:v>
                </c:pt>
                <c:pt idx="94">
                  <c:v>84.611467869999998</c:v>
                </c:pt>
                <c:pt idx="95">
                  <c:v>95.401815450000001</c:v>
                </c:pt>
                <c:pt idx="96">
                  <c:v>89.525864839999997</c:v>
                </c:pt>
                <c:pt idx="97">
                  <c:v>93.885374819999996</c:v>
                </c:pt>
                <c:pt idx="98">
                  <c:v>95.384020590000006</c:v>
                </c:pt>
                <c:pt idx="99">
                  <c:v>91.829746529999994</c:v>
                </c:pt>
                <c:pt idx="100">
                  <c:v>93.854560219999996</c:v>
                </c:pt>
                <c:pt idx="101">
                  <c:v>111.0270579</c:v>
                </c:pt>
                <c:pt idx="102">
                  <c:v>83.683074610000006</c:v>
                </c:pt>
                <c:pt idx="103">
                  <c:v>90.441336980000003</c:v>
                </c:pt>
                <c:pt idx="104">
                  <c:v>101.9461158</c:v>
                </c:pt>
                <c:pt idx="105">
                  <c:v>106.48178350000001</c:v>
                </c:pt>
                <c:pt idx="106">
                  <c:v>115.46171390000001</c:v>
                </c:pt>
                <c:pt idx="107">
                  <c:v>97.147863799999996</c:v>
                </c:pt>
                <c:pt idx="108">
                  <c:v>109.6236767</c:v>
                </c:pt>
                <c:pt idx="109">
                  <c:v>88.952783920000002</c:v>
                </c:pt>
                <c:pt idx="110">
                  <c:v>84.96101754</c:v>
                </c:pt>
                <c:pt idx="111">
                  <c:v>84.753510329999997</c:v>
                </c:pt>
                <c:pt idx="112">
                  <c:v>85.39669001</c:v>
                </c:pt>
                <c:pt idx="113">
                  <c:v>91.085218549999993</c:v>
                </c:pt>
                <c:pt idx="114">
                  <c:v>84.944099910000006</c:v>
                </c:pt>
                <c:pt idx="115">
                  <c:v>87.896341969999995</c:v>
                </c:pt>
                <c:pt idx="116">
                  <c:v>84.851769950000005</c:v>
                </c:pt>
                <c:pt idx="117">
                  <c:v>83.270625719999998</c:v>
                </c:pt>
                <c:pt idx="118">
                  <c:v>82.237559739999995</c:v>
                </c:pt>
                <c:pt idx="119">
                  <c:v>95.057980689999994</c:v>
                </c:pt>
                <c:pt idx="120">
                  <c:v>86.351051200000001</c:v>
                </c:pt>
                <c:pt idx="121">
                  <c:v>92.310979829999994</c:v>
                </c:pt>
                <c:pt idx="122">
                  <c:v>92.134606250000004</c:v>
                </c:pt>
                <c:pt idx="123">
                  <c:v>92.54412963</c:v>
                </c:pt>
                <c:pt idx="124">
                  <c:v>92.470655780000001</c:v>
                </c:pt>
                <c:pt idx="125">
                  <c:v>97.126676160000002</c:v>
                </c:pt>
                <c:pt idx="126">
                  <c:v>81.751812380000004</c:v>
                </c:pt>
                <c:pt idx="127">
                  <c:v>90.877196650000002</c:v>
                </c:pt>
                <c:pt idx="128">
                  <c:v>105.1212221</c:v>
                </c:pt>
                <c:pt idx="129">
                  <c:v>111.7767767</c:v>
                </c:pt>
                <c:pt idx="130">
                  <c:v>109.28908850000001</c:v>
                </c:pt>
                <c:pt idx="131">
                  <c:v>104.1100813</c:v>
                </c:pt>
                <c:pt idx="132">
                  <c:v>80.20683124</c:v>
                </c:pt>
                <c:pt idx="133">
                  <c:v>80.086143219999997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8D4-43C5-863B-A20CB32F00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5447664"/>
        <c:axId val="745434704"/>
      </c:scatterChart>
      <c:valAx>
        <c:axId val="745447664"/>
        <c:scaling>
          <c:orientation val="minMax"/>
          <c:max val="150"/>
          <c:min val="7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4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θ</a:t>
                </a:r>
                <a:r>
                  <a:rPr lang="en-GB" sz="1400" b="0" i="0" u="none" strike="noStrike" kern="1200" spc="0" baseline="-25000">
                    <a:solidFill>
                      <a:sysClr val="windowText" lastClr="000000"/>
                    </a:solidFill>
                    <a:effectLst/>
                    <a:cs typeface="Times New Roman" panose="02020603050405020304" pitchFamily="18" charset="0"/>
                  </a:rPr>
                  <a:t>xTB</a:t>
                </a:r>
                <a:r>
                  <a:rPr lang="en-GB" sz="1400" b="0" i="0" u="none" strike="noStrike" kern="1200" baseline="0">
                    <a:solidFill>
                      <a:sysClr val="windowText" lastClr="000000"/>
                    </a:solidFill>
                  </a:rPr>
                  <a:t>(</a:t>
                </a:r>
                <a:r>
                  <a:rPr lang="en-IN" sz="1400" b="0" i="0" u="none" strike="noStrike" kern="1200" baseline="0">
                    <a:solidFill>
                      <a:sysClr val="windowText" lastClr="000000"/>
                    </a:solidFill>
                  </a:rPr>
                  <a:t>°</a:t>
                </a:r>
                <a:r>
                  <a:rPr lang="en-GB" sz="1400" b="0" i="0" u="none" strike="noStrike" kern="1200" baseline="0">
                    <a:solidFill>
                      <a:sysClr val="windowText" lastClr="000000"/>
                    </a:solidFill>
                  </a:rPr>
                  <a:t>)</a:t>
                </a:r>
                <a:endParaRPr lang="en-IN" sz="1400" b="0" i="0" u="none" strike="noStrike" kern="1200" baseline="-25000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5434704"/>
        <c:crosses val="autoZero"/>
        <c:crossBetween val="midCat"/>
      </c:valAx>
      <c:valAx>
        <c:axId val="745434704"/>
        <c:scaling>
          <c:orientation val="minMax"/>
          <c:max val="150"/>
          <c:min val="7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4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θ</a:t>
                </a:r>
                <a:r>
                  <a:rPr lang="en-GB" sz="1400" b="0" i="0" u="none" strike="noStrike" kern="1200" spc="0" baseline="-25000">
                    <a:solidFill>
                      <a:sysClr val="windowText" lastClr="000000"/>
                    </a:solidFill>
                    <a:effectLst/>
                    <a:cs typeface="Times New Roman" panose="02020603050405020304" pitchFamily="18" charset="0"/>
                  </a:rPr>
                  <a:t>DFT</a:t>
                </a:r>
                <a:r>
                  <a:rPr lang="en-GB" sz="1400" b="0" i="0" u="none" strike="noStrike" kern="1200" baseline="0">
                    <a:solidFill>
                      <a:sysClr val="windowText" lastClr="000000"/>
                    </a:solidFill>
                  </a:rPr>
                  <a:t>(</a:t>
                </a:r>
                <a:r>
                  <a:rPr lang="en-IN" sz="1400" b="0" i="0" u="none" strike="noStrike" kern="1200" baseline="0">
                    <a:solidFill>
                      <a:sysClr val="windowText" lastClr="000000"/>
                    </a:solidFill>
                  </a:rPr>
                  <a:t>°</a:t>
                </a:r>
                <a:r>
                  <a:rPr lang="en-GB" sz="1400" b="0" i="0" u="none" strike="noStrike" kern="1200" baseline="0">
                    <a:solidFill>
                      <a:sysClr val="windowText" lastClr="000000"/>
                    </a:solidFill>
                  </a:rPr>
                  <a:t>)</a:t>
                </a:r>
                <a:endParaRPr lang="en-IN" sz="1400" b="0" i="0" u="none" strike="noStrike" kern="1200" baseline="-25000">
                  <a:solidFill>
                    <a:sysClr val="windowText" lastClr="000000"/>
                  </a:solidFill>
                </a:endParaRPr>
              </a:p>
            </c:rich>
          </c:tx>
          <c:layout>
            <c:manualLayout>
              <c:xMode val="edge"/>
              <c:yMode val="edge"/>
              <c:x val="2.7385301131846917E-4"/>
              <c:y val="0.3784601924759405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54476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4173737991488932E-2"/>
          <c:y val="0.89313466025080201"/>
          <c:w val="0.89165266841644797"/>
          <c:h val="8.371719160104987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IN" sz="1600" b="1" i="0" u="none" strike="noStrike" kern="1200" spc="0" baseline="0">
                <a:solidFill>
                  <a:sysClr val="windowText" lastClr="000000"/>
                </a:solidFill>
                <a:effectLst/>
                <a:latin typeface="+mn-lt"/>
              </a:rPr>
              <a:t>Angle </a:t>
            </a:r>
            <a:r>
              <a:rPr lang="el-GR" sz="1600" b="1" i="0" u="none" strike="noStrike" kern="1200" spc="0" baseline="0">
                <a:solidFill>
                  <a:sysClr val="windowText" lastClr="000000"/>
                </a:solidFill>
                <a:effectLst/>
                <a:latin typeface="+mn-lt"/>
                <a:cs typeface="Times New Roman" panose="02020603050405020304" pitchFamily="18" charset="0"/>
              </a:rPr>
              <a:t>α</a:t>
            </a:r>
            <a:r>
              <a:rPr lang="en-IN" sz="1600" b="1" i="0" u="none" strike="noStrike" kern="1200" spc="0" baseline="0">
                <a:solidFill>
                  <a:sysClr val="windowText" lastClr="000000"/>
                </a:solidFill>
                <a:effectLst/>
                <a:latin typeface="+mn-lt"/>
              </a:rPr>
              <a:t> </a:t>
            </a:r>
            <a:r>
              <a:rPr lang="en-US" sz="1600" b="1">
                <a:solidFill>
                  <a:sysClr val="windowText" lastClr="000000"/>
                </a:solidFill>
                <a:latin typeface="+mn-lt"/>
              </a:rPr>
              <a:t>  </a:t>
            </a:r>
          </a:p>
        </c:rich>
      </c:tx>
      <c:layout>
        <c:manualLayout>
          <c:xMode val="edge"/>
          <c:yMode val="edge"/>
          <c:x val="0.3953028565604057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6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0.10757228194528802"/>
          <c:y val="0.16912037037037039"/>
          <c:w val="0.84452666717631175"/>
          <c:h val="0.53841243802857974"/>
        </c:manualLayout>
      </c:layout>
      <c:scatterChart>
        <c:scatterStyle val="lineMarker"/>
        <c:varyColors val="0"/>
        <c:ser>
          <c:idx val="0"/>
          <c:order val="0"/>
          <c:tx>
            <c:v>Data points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25400" cap="rnd">
                <a:solidFill>
                  <a:schemeClr val="accent6">
                    <a:lumMod val="75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4.7637931920478695E-2"/>
                  <c:y val="0.13643518518518519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1000" b="1" i="0" u="none" strike="noStrike" kern="1200" baseline="0">
                        <a:solidFill>
                          <a:sysClr val="windowText" lastClr="00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l-GR" sz="1000" b="1" i="0" u="none" strike="noStrike" baseline="0">
                        <a:effectLst/>
                      </a:rPr>
                      <a:t>α</a:t>
                    </a:r>
                    <a:r>
                      <a:rPr lang="en-GB" sz="1000" b="1" i="0" u="none" strike="noStrike" baseline="-25000">
                        <a:effectLst/>
                      </a:rPr>
                      <a:t>DFT</a:t>
                    </a:r>
                    <a:r>
                      <a:rPr lang="en-US" b="1" baseline="0"/>
                      <a:t> = 0.29</a:t>
                    </a:r>
                    <a:r>
                      <a:rPr lang="el-GR" sz="1000" b="1" i="0" u="none" strike="noStrike" baseline="0">
                        <a:effectLst/>
                      </a:rPr>
                      <a:t>α</a:t>
                    </a:r>
                    <a:r>
                      <a:rPr lang="en-GB" sz="1000" b="1" i="0" u="none" strike="noStrike" baseline="-25000">
                        <a:effectLst/>
                      </a:rPr>
                      <a:t>xTB</a:t>
                    </a:r>
                    <a:r>
                      <a:rPr lang="en-US" b="1" baseline="0"/>
                      <a:t> + 83.70</a:t>
                    </a:r>
                    <a:br>
                      <a:rPr lang="en-US" b="1" baseline="0"/>
                    </a:br>
                    <a:r>
                      <a:rPr lang="en-US" b="1" baseline="0"/>
                      <a:t>R² = 0.84</a:t>
                    </a:r>
                  </a:p>
                  <a:p>
                    <a:pPr>
                      <a:defRPr sz="1000" b="1">
                        <a:solidFill>
                          <a:sysClr val="windowText" lastClr="000000"/>
                        </a:solidFill>
                      </a:defRPr>
                    </a:pPr>
                    <a:r>
                      <a:rPr lang="en-US" b="1" baseline="0"/>
                      <a:t>Pearson R = 0.91</a:t>
                    </a:r>
                  </a:p>
                  <a:p>
                    <a:pPr>
                      <a:defRPr sz="1000" b="1">
                        <a:solidFill>
                          <a:sysClr val="windowText" lastClr="000000"/>
                        </a:solidFill>
                      </a:defRPr>
                    </a:pPr>
                    <a:r>
                      <a:rPr lang="en-US" b="1" baseline="0"/>
                      <a:t>MAE = 1.85</a:t>
                    </a:r>
                    <a:r>
                      <a:rPr lang="en-IN" sz="1000" b="1" i="0" u="none" strike="noStrike" baseline="0">
                        <a:effectLst/>
                      </a:rPr>
                      <a:t>°</a:t>
                    </a:r>
                    <a:endParaRPr lang="en-US" b="1" baseline="0"/>
                  </a:p>
                  <a:p>
                    <a:pPr>
                      <a:defRPr sz="1000" b="1">
                        <a:solidFill>
                          <a:sysClr val="windowText" lastClr="000000"/>
                        </a:solidFill>
                      </a:defRPr>
                    </a:pPr>
                    <a:r>
                      <a:rPr lang="en-US" b="1" baseline="0"/>
                      <a:t>RMSE = 2.27</a:t>
                    </a:r>
                    <a:r>
                      <a:rPr lang="en-IN" sz="1000" b="1" i="0" u="none" strike="noStrike" baseline="0">
                        <a:effectLst/>
                      </a:rPr>
                      <a:t>°</a:t>
                    </a:r>
                    <a:endParaRPr lang="en-US" b="1" baseline="0"/>
                  </a:p>
                  <a:p>
                    <a:pPr>
                      <a:defRPr sz="1000" b="1">
                        <a:solidFill>
                          <a:sysClr val="windowText" lastClr="000000"/>
                        </a:solidFill>
                      </a:defRPr>
                    </a:pPr>
                    <a:r>
                      <a:rPr lang="en-US" b="1" baseline="0"/>
                      <a:t>N = 16</a:t>
                    </a:r>
                    <a:endParaRPr lang="en-US" b="1"/>
                  </a:p>
                </c:rich>
              </c:tx>
              <c:numFmt formatCode="General" sourceLinked="0"/>
              <c:spPr>
                <a:solidFill>
                  <a:schemeClr val="bg1">
                    <a:lumMod val="9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'L27g-xTB vs DFT '!$B$2:$B$17</c:f>
              <c:numCache>
                <c:formatCode>General</c:formatCode>
                <c:ptCount val="16"/>
                <c:pt idx="0">
                  <c:v>115.8390974</c:v>
                </c:pt>
                <c:pt idx="1">
                  <c:v>116.5496658</c:v>
                </c:pt>
                <c:pt idx="2">
                  <c:v>115.77441</c:v>
                </c:pt>
                <c:pt idx="3">
                  <c:v>116.382017</c:v>
                </c:pt>
                <c:pt idx="4">
                  <c:v>127.6767846</c:v>
                </c:pt>
                <c:pt idx="5">
                  <c:v>117.2586891</c:v>
                </c:pt>
                <c:pt idx="6">
                  <c:v>115.7075437</c:v>
                </c:pt>
                <c:pt idx="7">
                  <c:v>115.73702249999999</c:v>
                </c:pt>
                <c:pt idx="8">
                  <c:v>115.9921307</c:v>
                </c:pt>
                <c:pt idx="9">
                  <c:v>116.5260638</c:v>
                </c:pt>
                <c:pt idx="10">
                  <c:v>116.27313839999999</c:v>
                </c:pt>
                <c:pt idx="11">
                  <c:v>117.2999927</c:v>
                </c:pt>
                <c:pt idx="12">
                  <c:v>116.52079329999999</c:v>
                </c:pt>
                <c:pt idx="13">
                  <c:v>115.90619220000001</c:v>
                </c:pt>
                <c:pt idx="14">
                  <c:v>115.4784104</c:v>
                </c:pt>
                <c:pt idx="15">
                  <c:v>115.35504299999999</c:v>
                </c:pt>
              </c:numCache>
            </c:numRef>
          </c:xVal>
          <c:yVal>
            <c:numRef>
              <c:f>'L27g-xTB vs DFT '!$C$2:$C$17</c:f>
              <c:numCache>
                <c:formatCode>General</c:formatCode>
                <c:ptCount val="16"/>
                <c:pt idx="0">
                  <c:v>117.1961364</c:v>
                </c:pt>
                <c:pt idx="1">
                  <c:v>117.57884079999999</c:v>
                </c:pt>
                <c:pt idx="2">
                  <c:v>117.6378775</c:v>
                </c:pt>
                <c:pt idx="3">
                  <c:v>117.94548930000001</c:v>
                </c:pt>
                <c:pt idx="4">
                  <c:v>120.8588051</c:v>
                </c:pt>
                <c:pt idx="5">
                  <c:v>118.24185129999999</c:v>
                </c:pt>
                <c:pt idx="6">
                  <c:v>117.14522119999999</c:v>
                </c:pt>
                <c:pt idx="7">
                  <c:v>117.24809209999999</c:v>
                </c:pt>
                <c:pt idx="8">
                  <c:v>117.48587120000001</c:v>
                </c:pt>
                <c:pt idx="9">
                  <c:v>117.7240797</c:v>
                </c:pt>
                <c:pt idx="10">
                  <c:v>117.58145930000001</c:v>
                </c:pt>
                <c:pt idx="11">
                  <c:v>119.10044360000001</c:v>
                </c:pt>
                <c:pt idx="12">
                  <c:v>118.08166129999999</c:v>
                </c:pt>
                <c:pt idx="13">
                  <c:v>117.8863844</c:v>
                </c:pt>
                <c:pt idx="14">
                  <c:v>117.54952369999999</c:v>
                </c:pt>
                <c:pt idx="15">
                  <c:v>117.0308453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1B7-4B50-97D2-35E78C3DC53C}"/>
            </c:ext>
          </c:extLst>
        </c:ser>
        <c:ser>
          <c:idx val="1"/>
          <c:order val="1"/>
          <c:tx>
            <c:v>Perfect line</c:v>
          </c:tx>
          <c:spPr>
            <a:ln w="25400" cap="rnd">
              <a:solidFill>
                <a:schemeClr val="bg1">
                  <a:lumMod val="8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'L27g-xTB vs DFT '!$B$2:$B$17</c:f>
              <c:numCache>
                <c:formatCode>General</c:formatCode>
                <c:ptCount val="16"/>
                <c:pt idx="0">
                  <c:v>115.8390974</c:v>
                </c:pt>
                <c:pt idx="1">
                  <c:v>116.5496658</c:v>
                </c:pt>
                <c:pt idx="2">
                  <c:v>115.77441</c:v>
                </c:pt>
                <c:pt idx="3">
                  <c:v>116.382017</c:v>
                </c:pt>
                <c:pt idx="4">
                  <c:v>127.6767846</c:v>
                </c:pt>
                <c:pt idx="5">
                  <c:v>117.2586891</c:v>
                </c:pt>
                <c:pt idx="6">
                  <c:v>115.7075437</c:v>
                </c:pt>
                <c:pt idx="7">
                  <c:v>115.73702249999999</c:v>
                </c:pt>
                <c:pt idx="8">
                  <c:v>115.9921307</c:v>
                </c:pt>
                <c:pt idx="9">
                  <c:v>116.5260638</c:v>
                </c:pt>
                <c:pt idx="10">
                  <c:v>116.27313839999999</c:v>
                </c:pt>
                <c:pt idx="11">
                  <c:v>117.2999927</c:v>
                </c:pt>
                <c:pt idx="12">
                  <c:v>116.52079329999999</c:v>
                </c:pt>
                <c:pt idx="13">
                  <c:v>115.90619220000001</c:v>
                </c:pt>
                <c:pt idx="14">
                  <c:v>115.4784104</c:v>
                </c:pt>
                <c:pt idx="15">
                  <c:v>115.35504299999999</c:v>
                </c:pt>
              </c:numCache>
            </c:numRef>
          </c:xVal>
          <c:yVal>
            <c:numRef>
              <c:f>'L27g-xTB vs DFT '!$I$2:$I$17</c:f>
              <c:numCache>
                <c:formatCode>General</c:formatCode>
                <c:ptCount val="16"/>
                <c:pt idx="0">
                  <c:v>115.8390974</c:v>
                </c:pt>
                <c:pt idx="1">
                  <c:v>116.5496658</c:v>
                </c:pt>
                <c:pt idx="2">
                  <c:v>115.77441</c:v>
                </c:pt>
                <c:pt idx="3">
                  <c:v>116.382017</c:v>
                </c:pt>
                <c:pt idx="4">
                  <c:v>127.6767846</c:v>
                </c:pt>
                <c:pt idx="5">
                  <c:v>117.2586891</c:v>
                </c:pt>
                <c:pt idx="6">
                  <c:v>115.7075437</c:v>
                </c:pt>
                <c:pt idx="7">
                  <c:v>115.73702249999999</c:v>
                </c:pt>
                <c:pt idx="8">
                  <c:v>115.9921307</c:v>
                </c:pt>
                <c:pt idx="9">
                  <c:v>116.5260638</c:v>
                </c:pt>
                <c:pt idx="10">
                  <c:v>116.27313839999999</c:v>
                </c:pt>
                <c:pt idx="11">
                  <c:v>117.2999927</c:v>
                </c:pt>
                <c:pt idx="12">
                  <c:v>116.52079329999999</c:v>
                </c:pt>
                <c:pt idx="13">
                  <c:v>115.90619220000001</c:v>
                </c:pt>
                <c:pt idx="14">
                  <c:v>115.4784104</c:v>
                </c:pt>
                <c:pt idx="15">
                  <c:v>115.35504299999999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1B7-4B50-97D2-35E78C3DC5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5447664"/>
        <c:axId val="745434704"/>
      </c:scatterChart>
      <c:valAx>
        <c:axId val="745447664"/>
        <c:scaling>
          <c:orientation val="minMax"/>
          <c:max val="128"/>
          <c:min val="11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400" b="0" i="0" u="none" strike="noStrike" kern="1200" spc="0" baseline="0">
                    <a:solidFill>
                      <a:sysClr val="windowText" lastClr="000000"/>
                    </a:solidFill>
                    <a:effectLst/>
                    <a:latin typeface="+mn-lt"/>
                    <a:cs typeface="Times New Roman" panose="02020603050405020304" pitchFamily="18" charset="0"/>
                  </a:rPr>
                  <a:t>α</a:t>
                </a:r>
                <a:r>
                  <a:rPr lang="en-GB" sz="1400" b="0" i="0" u="none" strike="noStrike" kern="1200" spc="0" baseline="-25000">
                    <a:solidFill>
                      <a:sysClr val="windowText" lastClr="000000"/>
                    </a:solidFill>
                    <a:effectLst/>
                    <a:latin typeface="+mn-lt"/>
                    <a:cs typeface="Times New Roman" panose="02020603050405020304" pitchFamily="18" charset="0"/>
                  </a:rPr>
                  <a:t>xTB</a:t>
                </a:r>
                <a:r>
                  <a:rPr lang="en-GB" sz="1400" b="0" i="0" u="none" strike="noStrike" kern="1200" baseline="0">
                    <a:solidFill>
                      <a:sysClr val="windowText" lastClr="000000"/>
                    </a:solidFill>
                  </a:rPr>
                  <a:t>(</a:t>
                </a:r>
                <a:r>
                  <a:rPr lang="en-IN" sz="1400" b="0" i="0" u="none" strike="noStrike" kern="1200" baseline="0">
                    <a:solidFill>
                      <a:sysClr val="windowText" lastClr="000000"/>
                    </a:solidFill>
                  </a:rPr>
                  <a:t>°</a:t>
                </a:r>
                <a:r>
                  <a:rPr lang="en-GB" sz="1400" b="0" i="0" u="none" strike="noStrike" kern="1200" baseline="0">
                    <a:solidFill>
                      <a:sysClr val="windowText" lastClr="000000"/>
                    </a:solidFill>
                  </a:rPr>
                  <a:t>)</a:t>
                </a:r>
                <a:endParaRPr lang="en-IN" sz="1400" b="0" i="0" u="none" strike="noStrike" kern="1200" baseline="-25000">
                  <a:solidFill>
                    <a:sysClr val="windowText" lastClr="000000"/>
                  </a:solidFill>
                  <a:latin typeface="+mn-lt"/>
                </a:endParaRPr>
              </a:p>
            </c:rich>
          </c:tx>
          <c:layout>
            <c:manualLayout>
              <c:xMode val="edge"/>
              <c:yMode val="edge"/>
              <c:x val="0.41800682025149671"/>
              <c:y val="0.7686358996792067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5434704"/>
        <c:crosses val="autoZero"/>
        <c:crossBetween val="midCat"/>
      </c:valAx>
      <c:valAx>
        <c:axId val="745434704"/>
        <c:scaling>
          <c:orientation val="minMax"/>
          <c:max val="121"/>
          <c:min val="115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400" b="0" i="0" u="none" strike="noStrike" kern="1200" spc="0" baseline="0">
                    <a:solidFill>
                      <a:sysClr val="windowText" lastClr="000000"/>
                    </a:solidFill>
                    <a:effectLst/>
                    <a:latin typeface="+mn-lt"/>
                    <a:cs typeface="Times New Roman" panose="02020603050405020304" pitchFamily="18" charset="0"/>
                  </a:rPr>
                  <a:t>α</a:t>
                </a:r>
                <a:r>
                  <a:rPr lang="en-GB" sz="1400" b="0" i="0" u="none" strike="noStrike" kern="1200" spc="0" baseline="-25000">
                    <a:solidFill>
                      <a:sysClr val="windowText" lastClr="000000"/>
                    </a:solidFill>
                    <a:effectLst/>
                    <a:latin typeface="+mn-lt"/>
                    <a:cs typeface="Times New Roman" panose="02020603050405020304" pitchFamily="18" charset="0"/>
                  </a:rPr>
                  <a:t>DFT</a:t>
                </a:r>
                <a:r>
                  <a:rPr lang="en-GB" sz="1400" b="0" i="0" u="none" strike="noStrike" kern="1200" baseline="0">
                    <a:solidFill>
                      <a:sysClr val="windowText" lastClr="000000"/>
                    </a:solidFill>
                  </a:rPr>
                  <a:t>(</a:t>
                </a:r>
                <a:r>
                  <a:rPr lang="en-IN" sz="1400" b="0" i="0" u="none" strike="noStrike" kern="1200" baseline="0">
                    <a:solidFill>
                      <a:sysClr val="windowText" lastClr="000000"/>
                    </a:solidFill>
                  </a:rPr>
                  <a:t>°</a:t>
                </a:r>
                <a:r>
                  <a:rPr lang="en-GB" sz="1400" b="0" i="0" u="none" strike="noStrike" kern="1200" baseline="0">
                    <a:solidFill>
                      <a:sysClr val="windowText" lastClr="000000"/>
                    </a:solidFill>
                  </a:rPr>
                  <a:t>)</a:t>
                </a:r>
                <a:endParaRPr lang="en-IN" sz="1400" b="0" i="0" u="none" strike="noStrike" kern="1200" baseline="-25000">
                  <a:solidFill>
                    <a:sysClr val="windowText" lastClr="000000"/>
                  </a:solidFill>
                  <a:latin typeface="+mn-lt"/>
                </a:endParaRPr>
              </a:p>
            </c:rich>
          </c:tx>
          <c:layout>
            <c:manualLayout>
              <c:xMode val="edge"/>
              <c:yMode val="edge"/>
              <c:x val="2.7392030541636839E-4"/>
              <c:y val="0.4108675998833479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54476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4173655262233444E-2"/>
          <c:y val="0.86535688247302422"/>
          <c:w val="0.89165266841644797"/>
          <c:h val="8.371719160104987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IN" sz="1600" b="1" i="0" u="none" strike="noStrike" kern="1200" spc="0" baseline="0">
                <a:solidFill>
                  <a:sysClr val="windowText" lastClr="000000"/>
                </a:solidFill>
                <a:effectLst/>
                <a:latin typeface="+mn-lt"/>
              </a:rPr>
              <a:t>Bite angle </a:t>
            </a:r>
            <a:r>
              <a:rPr lang="el-GR" sz="1600" b="1" i="0" u="none" strike="noStrike" kern="1200" spc="0" baseline="0">
                <a:solidFill>
                  <a:sysClr val="windowText" lastClr="000000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θ</a:t>
            </a:r>
            <a:r>
              <a:rPr lang="en-IN" sz="1600" b="1" i="0" u="none" strike="noStrike" kern="1200" spc="0" baseline="0">
                <a:solidFill>
                  <a:sysClr val="windowText" lastClr="000000"/>
                </a:solidFill>
                <a:effectLst/>
                <a:latin typeface="+mn-lt"/>
              </a:rPr>
              <a:t> </a:t>
            </a:r>
            <a:r>
              <a:rPr lang="en-US" sz="1600" b="1">
                <a:solidFill>
                  <a:sysClr val="windowText" lastClr="000000"/>
                </a:solidFill>
                <a:latin typeface="+mn-lt"/>
              </a:rPr>
              <a:t>  </a:t>
            </a:r>
          </a:p>
        </c:rich>
      </c:tx>
      <c:layout>
        <c:manualLayout>
          <c:xMode val="edge"/>
          <c:yMode val="edge"/>
          <c:x val="0.3953028565604057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6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0.10757228194528802"/>
          <c:y val="0.16912037037037039"/>
          <c:w val="0.84452666717631175"/>
          <c:h val="0.53841243802857974"/>
        </c:manualLayout>
      </c:layout>
      <c:scatterChart>
        <c:scatterStyle val="lineMarker"/>
        <c:varyColors val="0"/>
        <c:ser>
          <c:idx val="0"/>
          <c:order val="0"/>
          <c:tx>
            <c:v>Data points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25400" cap="rnd">
                <a:solidFill>
                  <a:schemeClr val="accent6">
                    <a:lumMod val="75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3304384892671177"/>
                  <c:y val="-0.16482684456109653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1000" b="1" i="0" u="none" strike="noStrike" kern="1200" baseline="0">
                        <a:solidFill>
                          <a:sysClr val="windowText" lastClr="00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l-GR" sz="1000" b="1" i="0" u="none" strike="noStrike" baseline="0">
                        <a:effectLst/>
                      </a:rPr>
                      <a:t>θ</a:t>
                    </a:r>
                    <a:r>
                      <a:rPr lang="en-GB" sz="1000" b="1" i="0" u="none" strike="noStrike" baseline="-25000">
                        <a:effectLst/>
                      </a:rPr>
                      <a:t>DFT</a:t>
                    </a:r>
                    <a:r>
                      <a:rPr lang="en-US" b="1" baseline="0"/>
                      <a:t> = 0.58</a:t>
                    </a:r>
                    <a:r>
                      <a:rPr lang="el-GR" sz="1000" b="1" i="0" u="none" strike="noStrike" baseline="0">
                        <a:effectLst/>
                      </a:rPr>
                      <a:t>θ</a:t>
                    </a:r>
                    <a:r>
                      <a:rPr lang="en-GB" sz="1000" b="1" i="0" u="none" strike="noStrike" baseline="-25000">
                        <a:effectLst/>
                      </a:rPr>
                      <a:t>xTB</a:t>
                    </a:r>
                    <a:r>
                      <a:rPr lang="en-US" b="1" baseline="0"/>
                      <a:t> + 33.64</a:t>
                    </a:r>
                    <a:br>
                      <a:rPr lang="en-US" b="1" baseline="0"/>
                    </a:br>
                    <a:r>
                      <a:rPr lang="en-US" b="1" baseline="0"/>
                      <a:t>R² = 0.71</a:t>
                    </a:r>
                  </a:p>
                  <a:p>
                    <a:pPr>
                      <a:defRPr sz="1000" b="1">
                        <a:solidFill>
                          <a:sysClr val="windowText" lastClr="000000"/>
                        </a:solidFill>
                      </a:defRPr>
                    </a:pPr>
                    <a:r>
                      <a:rPr lang="en-US" b="1" baseline="0"/>
                      <a:t>Pearson R = 0.84</a:t>
                    </a:r>
                  </a:p>
                  <a:p>
                    <a:pPr>
                      <a:defRPr sz="1000" b="1">
                        <a:solidFill>
                          <a:sysClr val="windowText" lastClr="000000"/>
                        </a:solidFill>
                      </a:defRPr>
                    </a:pPr>
                    <a:r>
                      <a:rPr lang="en-US" b="1" baseline="0"/>
                      <a:t>MAE = 1.87</a:t>
                    </a:r>
                    <a:r>
                      <a:rPr lang="en-IN" sz="1000" b="1" i="0" u="none" strike="noStrike" baseline="0">
                        <a:effectLst/>
                      </a:rPr>
                      <a:t>°</a:t>
                    </a:r>
                    <a:endParaRPr lang="en-US" b="1" baseline="0"/>
                  </a:p>
                  <a:p>
                    <a:pPr>
                      <a:defRPr sz="1000" b="1">
                        <a:solidFill>
                          <a:sysClr val="windowText" lastClr="000000"/>
                        </a:solidFill>
                      </a:defRPr>
                    </a:pPr>
                    <a:r>
                      <a:rPr lang="en-US" b="1" baseline="0"/>
                      <a:t>RMSE = 2.22</a:t>
                    </a:r>
                    <a:r>
                      <a:rPr lang="en-IN" sz="1000" b="1" i="0" u="none" strike="noStrike" baseline="0">
                        <a:effectLst/>
                      </a:rPr>
                      <a:t>°</a:t>
                    </a:r>
                    <a:endParaRPr lang="en-US" b="1" baseline="0"/>
                  </a:p>
                  <a:p>
                    <a:pPr>
                      <a:defRPr sz="1000" b="1">
                        <a:solidFill>
                          <a:sysClr val="windowText" lastClr="000000"/>
                        </a:solidFill>
                      </a:defRPr>
                    </a:pPr>
                    <a:r>
                      <a:rPr lang="en-US" b="1" baseline="0"/>
                      <a:t>N = 16</a:t>
                    </a:r>
                    <a:endParaRPr lang="en-US" b="1"/>
                  </a:p>
                </c:rich>
              </c:tx>
              <c:numFmt formatCode="General" sourceLinked="0"/>
              <c:spPr>
                <a:solidFill>
                  <a:schemeClr val="bg1">
                    <a:lumMod val="9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'L27g-xTB vs DFT '!$M$2:$M$17</c:f>
              <c:numCache>
                <c:formatCode>General</c:formatCode>
                <c:ptCount val="16"/>
                <c:pt idx="0">
                  <c:v>83.590012139999999</c:v>
                </c:pt>
                <c:pt idx="1">
                  <c:v>84.729683660000006</c:v>
                </c:pt>
                <c:pt idx="2">
                  <c:v>84.301551200000006</c:v>
                </c:pt>
                <c:pt idx="3">
                  <c:v>84.533700749999994</c:v>
                </c:pt>
                <c:pt idx="4">
                  <c:v>88.719491950000005</c:v>
                </c:pt>
                <c:pt idx="5">
                  <c:v>84.310374960000004</c:v>
                </c:pt>
                <c:pt idx="6">
                  <c:v>80.717403000000004</c:v>
                </c:pt>
                <c:pt idx="7">
                  <c:v>81.00884284</c:v>
                </c:pt>
                <c:pt idx="8">
                  <c:v>83.519548420000007</c:v>
                </c:pt>
                <c:pt idx="9">
                  <c:v>84.7246351</c:v>
                </c:pt>
                <c:pt idx="10">
                  <c:v>84.460283709999999</c:v>
                </c:pt>
                <c:pt idx="11">
                  <c:v>84.348283100000003</c:v>
                </c:pt>
                <c:pt idx="12">
                  <c:v>84.090844270000005</c:v>
                </c:pt>
                <c:pt idx="13">
                  <c:v>84.611467869999998</c:v>
                </c:pt>
                <c:pt idx="14">
                  <c:v>80.20683124</c:v>
                </c:pt>
                <c:pt idx="15">
                  <c:v>80.086143219999997</c:v>
                </c:pt>
              </c:numCache>
            </c:numRef>
          </c:xVal>
          <c:yVal>
            <c:numRef>
              <c:f>'L27g-xTB vs DFT '!$N$2:$N$17</c:f>
              <c:numCache>
                <c:formatCode>General</c:formatCode>
                <c:ptCount val="16"/>
                <c:pt idx="0">
                  <c:v>81.460338680000007</c:v>
                </c:pt>
                <c:pt idx="1">
                  <c:v>83.001458929999998</c:v>
                </c:pt>
                <c:pt idx="2">
                  <c:v>82.341795390000001</c:v>
                </c:pt>
                <c:pt idx="3">
                  <c:v>82.780403089999993</c:v>
                </c:pt>
                <c:pt idx="4">
                  <c:v>82.447185660000002</c:v>
                </c:pt>
                <c:pt idx="5">
                  <c:v>82.705386619999999</c:v>
                </c:pt>
                <c:pt idx="6">
                  <c:v>79.442241569999993</c:v>
                </c:pt>
                <c:pt idx="7">
                  <c:v>79.441078039999994</c:v>
                </c:pt>
                <c:pt idx="8">
                  <c:v>81.554233580000002</c:v>
                </c:pt>
                <c:pt idx="9">
                  <c:v>82.980038550000003</c:v>
                </c:pt>
                <c:pt idx="10">
                  <c:v>82.889872789999998</c:v>
                </c:pt>
                <c:pt idx="11">
                  <c:v>82.681644370000001</c:v>
                </c:pt>
                <c:pt idx="12">
                  <c:v>82.804044939999997</c:v>
                </c:pt>
                <c:pt idx="13">
                  <c:v>82.922402989999995</c:v>
                </c:pt>
                <c:pt idx="14">
                  <c:v>79.460185780000003</c:v>
                </c:pt>
                <c:pt idx="15">
                  <c:v>79.122058899999999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8E4-4AA3-ABA6-AC23C06CAE16}"/>
            </c:ext>
          </c:extLst>
        </c:ser>
        <c:ser>
          <c:idx val="1"/>
          <c:order val="1"/>
          <c:tx>
            <c:v>Perfect line</c:v>
          </c:tx>
          <c:spPr>
            <a:ln w="25400" cap="rnd">
              <a:solidFill>
                <a:schemeClr val="bg1">
                  <a:lumMod val="8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'L27g-xTB vs DFT '!$M$2:$M$17</c:f>
              <c:numCache>
                <c:formatCode>General</c:formatCode>
                <c:ptCount val="16"/>
                <c:pt idx="0">
                  <c:v>83.590012139999999</c:v>
                </c:pt>
                <c:pt idx="1">
                  <c:v>84.729683660000006</c:v>
                </c:pt>
                <c:pt idx="2">
                  <c:v>84.301551200000006</c:v>
                </c:pt>
                <c:pt idx="3">
                  <c:v>84.533700749999994</c:v>
                </c:pt>
                <c:pt idx="4">
                  <c:v>88.719491950000005</c:v>
                </c:pt>
                <c:pt idx="5">
                  <c:v>84.310374960000004</c:v>
                </c:pt>
                <c:pt idx="6">
                  <c:v>80.717403000000004</c:v>
                </c:pt>
                <c:pt idx="7">
                  <c:v>81.00884284</c:v>
                </c:pt>
                <c:pt idx="8">
                  <c:v>83.519548420000007</c:v>
                </c:pt>
                <c:pt idx="9">
                  <c:v>84.7246351</c:v>
                </c:pt>
                <c:pt idx="10">
                  <c:v>84.460283709999999</c:v>
                </c:pt>
                <c:pt idx="11">
                  <c:v>84.348283100000003</c:v>
                </c:pt>
                <c:pt idx="12">
                  <c:v>84.090844270000005</c:v>
                </c:pt>
                <c:pt idx="13">
                  <c:v>84.611467869999998</c:v>
                </c:pt>
                <c:pt idx="14">
                  <c:v>80.20683124</c:v>
                </c:pt>
                <c:pt idx="15">
                  <c:v>80.086143219999997</c:v>
                </c:pt>
              </c:numCache>
            </c:numRef>
          </c:xVal>
          <c:yVal>
            <c:numRef>
              <c:f>'L27g-xTB vs DFT '!$T$2:$T$17</c:f>
              <c:numCache>
                <c:formatCode>General</c:formatCode>
                <c:ptCount val="16"/>
                <c:pt idx="0">
                  <c:v>83.590012139999999</c:v>
                </c:pt>
                <c:pt idx="1">
                  <c:v>84.729683660000006</c:v>
                </c:pt>
                <c:pt idx="2">
                  <c:v>84.301551200000006</c:v>
                </c:pt>
                <c:pt idx="3">
                  <c:v>84.533700749999994</c:v>
                </c:pt>
                <c:pt idx="4">
                  <c:v>88.719491950000005</c:v>
                </c:pt>
                <c:pt idx="5">
                  <c:v>84.310374960000004</c:v>
                </c:pt>
                <c:pt idx="6">
                  <c:v>80.717403000000004</c:v>
                </c:pt>
                <c:pt idx="7">
                  <c:v>81.00884284</c:v>
                </c:pt>
                <c:pt idx="8">
                  <c:v>83.519548420000007</c:v>
                </c:pt>
                <c:pt idx="9">
                  <c:v>84.7246351</c:v>
                </c:pt>
                <c:pt idx="10">
                  <c:v>84.460283709999999</c:v>
                </c:pt>
                <c:pt idx="11">
                  <c:v>84.348283100000003</c:v>
                </c:pt>
                <c:pt idx="12">
                  <c:v>84.090844270000005</c:v>
                </c:pt>
                <c:pt idx="13">
                  <c:v>84.611467869999998</c:v>
                </c:pt>
                <c:pt idx="14">
                  <c:v>80.20683124</c:v>
                </c:pt>
                <c:pt idx="15">
                  <c:v>80.086143219999997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8E4-4AA3-ABA6-AC23C06CAE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5447664"/>
        <c:axId val="745434704"/>
      </c:scatterChart>
      <c:valAx>
        <c:axId val="745447664"/>
        <c:scaling>
          <c:orientation val="minMax"/>
          <c:min val="8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400" b="0" i="0" u="none" strike="noStrike" kern="1200" spc="0" baseline="0">
                    <a:solidFill>
                      <a:sysClr val="windowText" lastClr="000000"/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θ</a:t>
                </a:r>
                <a:r>
                  <a:rPr lang="en-GB" sz="1400" b="0" i="0" u="none" strike="noStrike" kern="1200" spc="0" baseline="-25000">
                    <a:solidFill>
                      <a:sysClr val="windowText" lastClr="000000"/>
                    </a:solidFill>
                    <a:effectLst/>
                    <a:latin typeface="+mn-lt"/>
                    <a:cs typeface="Times New Roman" panose="02020603050405020304" pitchFamily="18" charset="0"/>
                  </a:rPr>
                  <a:t>xTB</a:t>
                </a:r>
                <a:r>
                  <a:rPr lang="en-GB" sz="1400" b="0" i="0" u="none" strike="noStrike" kern="1200" baseline="0">
                    <a:solidFill>
                      <a:sysClr val="windowText" lastClr="000000"/>
                    </a:solidFill>
                  </a:rPr>
                  <a:t>(</a:t>
                </a:r>
                <a:r>
                  <a:rPr lang="en-IN" sz="1400" b="0" i="0" u="none" strike="noStrike" kern="1200" baseline="0">
                    <a:solidFill>
                      <a:sysClr val="windowText" lastClr="000000"/>
                    </a:solidFill>
                  </a:rPr>
                  <a:t>°</a:t>
                </a:r>
                <a:r>
                  <a:rPr lang="en-GB" sz="1400" b="0" i="0" u="none" strike="noStrike" kern="1200" baseline="0">
                    <a:solidFill>
                      <a:sysClr val="windowText" lastClr="000000"/>
                    </a:solidFill>
                  </a:rPr>
                  <a:t>)</a:t>
                </a:r>
                <a:endParaRPr lang="en-IN" sz="1400" b="0" i="0" u="none" strike="noStrike" kern="1200" baseline="-25000">
                  <a:solidFill>
                    <a:sysClr val="windowText" lastClr="000000"/>
                  </a:solidFill>
                  <a:latin typeface="+mn-lt"/>
                </a:endParaRPr>
              </a:p>
            </c:rich>
          </c:tx>
          <c:layout>
            <c:manualLayout>
              <c:xMode val="edge"/>
              <c:yMode val="edge"/>
              <c:x val="0.49824755086756867"/>
              <c:y val="0.7686358996792067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5434704"/>
        <c:crosses val="autoZero"/>
        <c:crossBetween val="midCat"/>
      </c:valAx>
      <c:valAx>
        <c:axId val="745434704"/>
        <c:scaling>
          <c:orientation val="minMax"/>
          <c:max val="89"/>
          <c:min val="79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400" b="0" i="0" u="none" strike="noStrike" kern="1200" spc="0" baseline="0">
                    <a:solidFill>
                      <a:sysClr val="windowText" lastClr="000000"/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θ</a:t>
                </a:r>
                <a:r>
                  <a:rPr lang="en-GB" sz="1400" b="0" i="0" u="none" strike="noStrike" kern="1200" spc="0" baseline="-25000">
                    <a:solidFill>
                      <a:sysClr val="windowText" lastClr="000000"/>
                    </a:solidFill>
                    <a:effectLst/>
                    <a:latin typeface="+mn-lt"/>
                    <a:cs typeface="Times New Roman" panose="02020603050405020304" pitchFamily="18" charset="0"/>
                  </a:rPr>
                  <a:t>DFT</a:t>
                </a:r>
                <a:r>
                  <a:rPr lang="en-GB" sz="1400" b="0" i="0" u="none" strike="noStrike" kern="1200" baseline="0">
                    <a:solidFill>
                      <a:sysClr val="windowText" lastClr="000000"/>
                    </a:solidFill>
                  </a:rPr>
                  <a:t>(</a:t>
                </a:r>
                <a:r>
                  <a:rPr lang="en-IN" sz="1400" b="0" i="0" u="none" strike="noStrike" kern="1200" baseline="0">
                    <a:solidFill>
                      <a:sysClr val="windowText" lastClr="000000"/>
                    </a:solidFill>
                  </a:rPr>
                  <a:t>°</a:t>
                </a:r>
                <a:r>
                  <a:rPr lang="en-GB" sz="1400" b="0" i="0" u="none" strike="noStrike" kern="1200" baseline="0">
                    <a:solidFill>
                      <a:sysClr val="windowText" lastClr="000000"/>
                    </a:solidFill>
                  </a:rPr>
                  <a:t>)</a:t>
                </a:r>
                <a:endParaRPr lang="en-IN" sz="1400" b="0" i="0" u="none" strike="noStrike" kern="1200" baseline="-25000">
                  <a:solidFill>
                    <a:sysClr val="windowText" lastClr="000000"/>
                  </a:solidFill>
                  <a:latin typeface="+mn-lt"/>
                </a:endParaRPr>
              </a:p>
            </c:rich>
          </c:tx>
          <c:layout>
            <c:manualLayout>
              <c:xMode val="edge"/>
              <c:yMode val="edge"/>
              <c:x val="2.7392030541636839E-4"/>
              <c:y val="0.4108675998833479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54476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4173655262233444E-2"/>
          <c:y val="0.86535688247302422"/>
          <c:w val="0.89165266841644797"/>
          <c:h val="8.371719160104987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GB" sz="1600" b="1" i="0" u="none" strike="noStrike" kern="1200" spc="0" baseline="0">
                <a:solidFill>
                  <a:sysClr val="windowText" lastClr="000000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Angle </a:t>
            </a:r>
            <a:r>
              <a:rPr lang="el-GR" sz="1600" b="1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β</a:t>
            </a:r>
            <a:r>
              <a:rPr lang="en-GB" sz="1600" b="1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1</a:t>
            </a:r>
            <a:r>
              <a:rPr lang="en-IN" sz="1600" b="1" i="0" u="none" strike="noStrike" kern="1200" spc="0" baseline="0">
                <a:solidFill>
                  <a:sysClr val="windowText" lastClr="000000"/>
                </a:solidFill>
                <a:effectLst/>
                <a:latin typeface="+mn-lt"/>
              </a:rPr>
              <a:t> </a:t>
            </a:r>
            <a:r>
              <a:rPr lang="en-US" sz="1600" b="1">
                <a:solidFill>
                  <a:sysClr val="windowText" lastClr="000000"/>
                </a:solidFill>
                <a:latin typeface="+mn-lt"/>
              </a:rPr>
              <a:t>  </a:t>
            </a:r>
          </a:p>
        </c:rich>
      </c:tx>
      <c:layout>
        <c:manualLayout>
          <c:xMode val="edge"/>
          <c:yMode val="edge"/>
          <c:x val="0.3953028565604057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6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0.12094573704796668"/>
          <c:y val="0.16912037037037039"/>
          <c:w val="0.83115328464693672"/>
          <c:h val="0.53841243802857974"/>
        </c:manualLayout>
      </c:layout>
      <c:scatterChart>
        <c:scatterStyle val="lineMarker"/>
        <c:varyColors val="0"/>
        <c:ser>
          <c:idx val="0"/>
          <c:order val="0"/>
          <c:tx>
            <c:v>Data points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25400" cap="rnd">
                <a:solidFill>
                  <a:schemeClr val="accent6">
                    <a:lumMod val="75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2.1206508892189311E-2"/>
                  <c:y val="0.1549537037037037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1000" b="1" i="0" u="none" strike="noStrike" kern="1200" baseline="0">
                        <a:solidFill>
                          <a:sysClr val="windowText" lastClr="00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l-GR" sz="1000" b="1" i="0" u="none" strike="noStrike" baseline="0">
                        <a:effectLst/>
                      </a:rPr>
                      <a:t>β</a:t>
                    </a:r>
                    <a:r>
                      <a:rPr lang="en-GB" sz="1000" b="1" i="0" u="none" strike="noStrike" baseline="0">
                        <a:effectLst/>
                      </a:rPr>
                      <a:t>1</a:t>
                    </a:r>
                    <a:r>
                      <a:rPr lang="en-GB" sz="1000" b="1" i="0" u="none" strike="noStrike" baseline="-25000">
                        <a:effectLst/>
                      </a:rPr>
                      <a:t>DFT</a:t>
                    </a:r>
                    <a:r>
                      <a:rPr lang="en-US" b="1" baseline="0"/>
                      <a:t> = 0.88</a:t>
                    </a:r>
                    <a:r>
                      <a:rPr lang="el-GR" sz="1000" b="1" i="0" u="none" strike="noStrike" baseline="0">
                        <a:effectLst/>
                      </a:rPr>
                      <a:t>β</a:t>
                    </a:r>
                    <a:r>
                      <a:rPr lang="en-GB" sz="1000" b="1" i="0" u="none" strike="noStrike" baseline="0">
                        <a:effectLst/>
                      </a:rPr>
                      <a:t>1</a:t>
                    </a:r>
                    <a:r>
                      <a:rPr lang="en-GB" sz="1000" b="1" i="0" u="none" strike="noStrike" baseline="-25000">
                        <a:effectLst/>
                      </a:rPr>
                      <a:t>xTB</a:t>
                    </a:r>
                    <a:r>
                      <a:rPr lang="en-US" b="1" baseline="0"/>
                      <a:t> + 17.48</a:t>
                    </a:r>
                    <a:br>
                      <a:rPr lang="en-US" b="1" baseline="0"/>
                    </a:br>
                    <a:r>
                      <a:rPr lang="en-US" b="1" baseline="0"/>
                      <a:t>R² = 0.47</a:t>
                    </a:r>
                  </a:p>
                  <a:p>
                    <a:pPr>
                      <a:defRPr sz="1000" b="1">
                        <a:solidFill>
                          <a:sysClr val="windowText" lastClr="000000"/>
                        </a:solidFill>
                      </a:defRPr>
                    </a:pPr>
                    <a:r>
                      <a:rPr lang="en-US" b="1" baseline="0"/>
                      <a:t>Pearson R = 0.68</a:t>
                    </a:r>
                  </a:p>
                  <a:p>
                    <a:pPr>
                      <a:defRPr sz="1000" b="1">
                        <a:solidFill>
                          <a:sysClr val="windowText" lastClr="000000"/>
                        </a:solidFill>
                      </a:defRPr>
                    </a:pPr>
                    <a:r>
                      <a:rPr lang="en-US" b="1" baseline="0"/>
                      <a:t>MAE = 6.59</a:t>
                    </a:r>
                    <a:r>
                      <a:rPr lang="en-IN" sz="1000" b="1" i="0" u="none" strike="noStrike" baseline="0">
                        <a:effectLst/>
                      </a:rPr>
                      <a:t>°</a:t>
                    </a:r>
                    <a:endParaRPr lang="en-US" b="1" baseline="0"/>
                  </a:p>
                  <a:p>
                    <a:pPr>
                      <a:defRPr sz="1000" b="1">
                        <a:solidFill>
                          <a:sysClr val="windowText" lastClr="000000"/>
                        </a:solidFill>
                      </a:defRPr>
                    </a:pPr>
                    <a:r>
                      <a:rPr lang="en-US" b="1" baseline="0"/>
                      <a:t>RMSE = 9.01</a:t>
                    </a:r>
                    <a:r>
                      <a:rPr lang="en-IN" sz="1000" b="1" i="0" u="none" strike="noStrike" baseline="0">
                        <a:effectLst/>
                      </a:rPr>
                      <a:t>°</a:t>
                    </a:r>
                    <a:endParaRPr lang="en-US" b="1" baseline="0"/>
                  </a:p>
                  <a:p>
                    <a:pPr>
                      <a:defRPr sz="1000" b="1">
                        <a:solidFill>
                          <a:sysClr val="windowText" lastClr="000000"/>
                        </a:solidFill>
                      </a:defRPr>
                    </a:pPr>
                    <a:r>
                      <a:rPr lang="en-US" b="1" baseline="0"/>
                      <a:t>N = 16</a:t>
                    </a:r>
                    <a:endParaRPr lang="en-US" b="1"/>
                  </a:p>
                </c:rich>
              </c:tx>
              <c:numFmt formatCode="General" sourceLinked="0"/>
              <c:spPr>
                <a:solidFill>
                  <a:schemeClr val="bg1">
                    <a:lumMod val="9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'L27g-xTB vs DFT '!$AA$2:$AA$17</c:f>
              <c:numCache>
                <c:formatCode>General</c:formatCode>
                <c:ptCount val="16"/>
                <c:pt idx="0">
                  <c:v>147.2255767</c:v>
                </c:pt>
                <c:pt idx="1">
                  <c:v>134.10633680000001</c:v>
                </c:pt>
                <c:pt idx="2">
                  <c:v>131.36235769999999</c:v>
                </c:pt>
                <c:pt idx="3">
                  <c:v>137.97371419999999</c:v>
                </c:pt>
                <c:pt idx="4">
                  <c:v>166.5459267</c:v>
                </c:pt>
                <c:pt idx="5">
                  <c:v>125.41894739999999</c:v>
                </c:pt>
                <c:pt idx="6">
                  <c:v>132.99519570000001</c:v>
                </c:pt>
                <c:pt idx="7">
                  <c:v>145.5841355</c:v>
                </c:pt>
                <c:pt idx="8">
                  <c:v>134.2149622</c:v>
                </c:pt>
                <c:pt idx="9">
                  <c:v>131.34146630000001</c:v>
                </c:pt>
                <c:pt idx="10">
                  <c:v>130.9559892</c:v>
                </c:pt>
                <c:pt idx="11">
                  <c:v>133.53523809999999</c:v>
                </c:pt>
                <c:pt idx="12">
                  <c:v>147.30211499999999</c:v>
                </c:pt>
                <c:pt idx="13">
                  <c:v>133.53992880000001</c:v>
                </c:pt>
                <c:pt idx="14">
                  <c:v>134.2226762</c:v>
                </c:pt>
                <c:pt idx="15">
                  <c:v>142.26802240000001</c:v>
                </c:pt>
              </c:numCache>
            </c:numRef>
          </c:xVal>
          <c:yVal>
            <c:numRef>
              <c:f>'L27g-xTB vs DFT '!$AB$2:$AB$17</c:f>
              <c:numCache>
                <c:formatCode>General</c:formatCode>
                <c:ptCount val="16"/>
                <c:pt idx="0">
                  <c:v>151.9346596</c:v>
                </c:pt>
                <c:pt idx="1">
                  <c:v>136.11987450000001</c:v>
                </c:pt>
                <c:pt idx="2">
                  <c:v>109.6614016</c:v>
                </c:pt>
                <c:pt idx="3">
                  <c:v>138.00867109999999</c:v>
                </c:pt>
                <c:pt idx="4">
                  <c:v>158.3128782</c:v>
                </c:pt>
                <c:pt idx="5">
                  <c:v>145.66505979999999</c:v>
                </c:pt>
                <c:pt idx="6">
                  <c:v>127.6885339</c:v>
                </c:pt>
                <c:pt idx="7">
                  <c:v>149.2756009</c:v>
                </c:pt>
                <c:pt idx="8">
                  <c:v>130.1671097</c:v>
                </c:pt>
                <c:pt idx="9">
                  <c:v>132.2376884</c:v>
                </c:pt>
                <c:pt idx="10">
                  <c:v>135.80124169999999</c:v>
                </c:pt>
                <c:pt idx="11">
                  <c:v>131.9047363</c:v>
                </c:pt>
                <c:pt idx="12">
                  <c:v>158.0168754</c:v>
                </c:pt>
                <c:pt idx="13">
                  <c:v>140.99184149999999</c:v>
                </c:pt>
                <c:pt idx="14">
                  <c:v>126.06595540000001</c:v>
                </c:pt>
                <c:pt idx="15">
                  <c:v>140.55200199999999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C58-46AC-B419-A5345D08F8AA}"/>
            </c:ext>
          </c:extLst>
        </c:ser>
        <c:ser>
          <c:idx val="1"/>
          <c:order val="1"/>
          <c:tx>
            <c:v>Perfect line</c:v>
          </c:tx>
          <c:spPr>
            <a:ln w="25400" cap="rnd">
              <a:solidFill>
                <a:schemeClr val="bg1">
                  <a:lumMod val="8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'L27g-xTB vs DFT '!$AA$2:$AA$17</c:f>
              <c:numCache>
                <c:formatCode>General</c:formatCode>
                <c:ptCount val="16"/>
                <c:pt idx="0">
                  <c:v>147.2255767</c:v>
                </c:pt>
                <c:pt idx="1">
                  <c:v>134.10633680000001</c:v>
                </c:pt>
                <c:pt idx="2">
                  <c:v>131.36235769999999</c:v>
                </c:pt>
                <c:pt idx="3">
                  <c:v>137.97371419999999</c:v>
                </c:pt>
                <c:pt idx="4">
                  <c:v>166.5459267</c:v>
                </c:pt>
                <c:pt idx="5">
                  <c:v>125.41894739999999</c:v>
                </c:pt>
                <c:pt idx="6">
                  <c:v>132.99519570000001</c:v>
                </c:pt>
                <c:pt idx="7">
                  <c:v>145.5841355</c:v>
                </c:pt>
                <c:pt idx="8">
                  <c:v>134.2149622</c:v>
                </c:pt>
                <c:pt idx="9">
                  <c:v>131.34146630000001</c:v>
                </c:pt>
                <c:pt idx="10">
                  <c:v>130.9559892</c:v>
                </c:pt>
                <c:pt idx="11">
                  <c:v>133.53523809999999</c:v>
                </c:pt>
                <c:pt idx="12">
                  <c:v>147.30211499999999</c:v>
                </c:pt>
                <c:pt idx="13">
                  <c:v>133.53992880000001</c:v>
                </c:pt>
                <c:pt idx="14">
                  <c:v>134.2226762</c:v>
                </c:pt>
                <c:pt idx="15">
                  <c:v>142.26802240000001</c:v>
                </c:pt>
              </c:numCache>
            </c:numRef>
          </c:xVal>
          <c:yVal>
            <c:numRef>
              <c:f>'L27g-xTB vs DFT '!$AH$2:$AH$17</c:f>
              <c:numCache>
                <c:formatCode>General</c:formatCode>
                <c:ptCount val="16"/>
                <c:pt idx="0">
                  <c:v>147.2255767</c:v>
                </c:pt>
                <c:pt idx="1">
                  <c:v>134.10633680000001</c:v>
                </c:pt>
                <c:pt idx="2">
                  <c:v>131.36235769999999</c:v>
                </c:pt>
                <c:pt idx="3">
                  <c:v>137.97371419999999</c:v>
                </c:pt>
                <c:pt idx="4">
                  <c:v>166.5459267</c:v>
                </c:pt>
                <c:pt idx="5">
                  <c:v>125.41894739999999</c:v>
                </c:pt>
                <c:pt idx="6">
                  <c:v>132.99519570000001</c:v>
                </c:pt>
                <c:pt idx="7">
                  <c:v>145.5841355</c:v>
                </c:pt>
                <c:pt idx="8">
                  <c:v>134.2149622</c:v>
                </c:pt>
                <c:pt idx="9">
                  <c:v>131.34146630000001</c:v>
                </c:pt>
                <c:pt idx="10">
                  <c:v>130.9559892</c:v>
                </c:pt>
                <c:pt idx="11">
                  <c:v>133.53523809999999</c:v>
                </c:pt>
                <c:pt idx="12">
                  <c:v>147.30211499999999</c:v>
                </c:pt>
                <c:pt idx="13">
                  <c:v>133.53992880000001</c:v>
                </c:pt>
                <c:pt idx="14">
                  <c:v>134.2226762</c:v>
                </c:pt>
                <c:pt idx="15">
                  <c:v>142.26802240000001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C58-46AC-B419-A5345D08F8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5447664"/>
        <c:axId val="745434704"/>
      </c:scatterChart>
      <c:valAx>
        <c:axId val="745447664"/>
        <c:scaling>
          <c:orientation val="minMax"/>
          <c:max val="167"/>
          <c:min val="12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400" b="0" i="0" u="none" strike="noStrike" kern="1200" spc="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β</a:t>
                </a:r>
                <a:r>
                  <a:rPr lang="en-GB" sz="1400" b="0" i="0" u="none" strike="noStrike" kern="1200" spc="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1</a:t>
                </a:r>
                <a:r>
                  <a:rPr lang="en-GB" sz="1400" b="0" i="0" u="none" strike="noStrike" kern="1200" spc="0" baseline="-25000">
                    <a:solidFill>
                      <a:sysClr val="windowText" lastClr="000000"/>
                    </a:solidFill>
                    <a:effectLst/>
                    <a:latin typeface="+mn-lt"/>
                    <a:cs typeface="Times New Roman" panose="02020603050405020304" pitchFamily="18" charset="0"/>
                  </a:rPr>
                  <a:t>xTB</a:t>
                </a:r>
                <a:r>
                  <a:rPr lang="en-GB" sz="1400" b="0" i="0" u="none" strike="noStrike" kern="1200" baseline="0">
                    <a:solidFill>
                      <a:sysClr val="windowText" lastClr="000000"/>
                    </a:solidFill>
                  </a:rPr>
                  <a:t>(</a:t>
                </a:r>
                <a:r>
                  <a:rPr lang="en-IN" sz="1400" b="0" i="0" u="none" strike="noStrike" kern="1200" baseline="0">
                    <a:solidFill>
                      <a:sysClr val="windowText" lastClr="000000"/>
                    </a:solidFill>
                  </a:rPr>
                  <a:t>°</a:t>
                </a:r>
                <a:r>
                  <a:rPr lang="en-GB" sz="1400" b="0" i="0" u="none" strike="noStrike" kern="1200" baseline="0">
                    <a:solidFill>
                      <a:sysClr val="windowText" lastClr="000000"/>
                    </a:solidFill>
                  </a:rPr>
                  <a:t>)</a:t>
                </a:r>
                <a:endParaRPr lang="en-IN" sz="1400" b="0" i="0" u="none" strike="noStrike" kern="1200" baseline="-25000">
                  <a:solidFill>
                    <a:sysClr val="windowText" lastClr="000000"/>
                  </a:solidFill>
                  <a:latin typeface="+mn-lt"/>
                </a:endParaRPr>
              </a:p>
            </c:rich>
          </c:tx>
          <c:layout>
            <c:manualLayout>
              <c:xMode val="edge"/>
              <c:yMode val="edge"/>
              <c:x val="0.49824755086756867"/>
              <c:y val="0.7686358996792067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5434704"/>
        <c:crosses val="autoZero"/>
        <c:crossBetween val="midCat"/>
      </c:valAx>
      <c:valAx>
        <c:axId val="745434704"/>
        <c:scaling>
          <c:orientation val="minMax"/>
          <c:max val="170"/>
          <c:min val="109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400" b="0" i="0" u="none" strike="noStrike" kern="1200" spc="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β</a:t>
                </a:r>
                <a:r>
                  <a:rPr lang="en-GB" sz="1400" b="0" i="0" u="none" strike="noStrike" kern="1200" spc="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1</a:t>
                </a:r>
                <a:r>
                  <a:rPr lang="en-GB" sz="1400" b="0" i="0" u="none" strike="noStrike" kern="1200" spc="0" baseline="-25000">
                    <a:solidFill>
                      <a:sysClr val="windowText" lastClr="000000"/>
                    </a:solidFill>
                    <a:effectLst/>
                    <a:latin typeface="+mn-lt"/>
                    <a:cs typeface="Times New Roman" panose="02020603050405020304" pitchFamily="18" charset="0"/>
                  </a:rPr>
                  <a:t>DFT</a:t>
                </a:r>
                <a:r>
                  <a:rPr lang="en-GB" sz="1400" b="0" i="0" u="none" strike="noStrike" kern="1200" baseline="0">
                    <a:solidFill>
                      <a:sysClr val="windowText" lastClr="000000"/>
                    </a:solidFill>
                  </a:rPr>
                  <a:t>(</a:t>
                </a:r>
                <a:r>
                  <a:rPr lang="en-IN" sz="1400" b="0" i="0" u="none" strike="noStrike" kern="1200" baseline="0">
                    <a:solidFill>
                      <a:sysClr val="windowText" lastClr="000000"/>
                    </a:solidFill>
                  </a:rPr>
                  <a:t>°</a:t>
                </a:r>
                <a:r>
                  <a:rPr lang="en-GB" sz="1400" b="0" i="0" u="none" strike="noStrike" kern="1200" baseline="0">
                    <a:solidFill>
                      <a:sysClr val="windowText" lastClr="000000"/>
                    </a:solidFill>
                  </a:rPr>
                  <a:t>)</a:t>
                </a:r>
                <a:endParaRPr lang="en-IN" sz="1400" b="0" i="0" u="none" strike="noStrike" kern="1200" baseline="-25000">
                  <a:solidFill>
                    <a:sysClr val="windowText" lastClr="000000"/>
                  </a:solidFill>
                  <a:latin typeface="+mn-lt"/>
                </a:endParaRPr>
              </a:p>
            </c:rich>
          </c:tx>
          <c:layout>
            <c:manualLayout>
              <c:xMode val="edge"/>
              <c:yMode val="edge"/>
              <c:x val="2.7399787541078623E-4"/>
              <c:y val="0.3367935258092739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54476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4173655262233444E-2"/>
          <c:y val="0.86535688247302422"/>
          <c:w val="0.89165266841644797"/>
          <c:h val="8.371719160104987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GB" sz="1600" b="1" i="0" u="none" strike="noStrike" kern="1200" spc="0" baseline="0">
                <a:solidFill>
                  <a:sysClr val="windowText" lastClr="000000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Angle </a:t>
            </a:r>
            <a:r>
              <a:rPr lang="el-GR" sz="1600" b="1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β</a:t>
            </a:r>
            <a:r>
              <a:rPr lang="en-GB" sz="1600" b="1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2</a:t>
            </a:r>
            <a:r>
              <a:rPr lang="en-IN" sz="1600" b="1" i="0" u="none" strike="noStrike" kern="1200" spc="0" baseline="0">
                <a:solidFill>
                  <a:sysClr val="windowText" lastClr="000000"/>
                </a:solidFill>
                <a:effectLst/>
                <a:latin typeface="+mn-lt"/>
              </a:rPr>
              <a:t> </a:t>
            </a:r>
            <a:r>
              <a:rPr lang="en-US" sz="1600" b="1">
                <a:solidFill>
                  <a:sysClr val="windowText" lastClr="000000"/>
                </a:solidFill>
                <a:latin typeface="+mn-lt"/>
              </a:rPr>
              <a:t>  </a:t>
            </a:r>
          </a:p>
        </c:rich>
      </c:tx>
      <c:layout>
        <c:manualLayout>
          <c:xMode val="edge"/>
          <c:yMode val="edge"/>
          <c:x val="0.3953028565604057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6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0.10757228194528802"/>
          <c:y val="0.16912037037037039"/>
          <c:w val="0.84452666717631175"/>
          <c:h val="0.53841243802857974"/>
        </c:manualLayout>
      </c:layout>
      <c:scatterChart>
        <c:scatterStyle val="lineMarker"/>
        <c:varyColors val="0"/>
        <c:ser>
          <c:idx val="0"/>
          <c:order val="0"/>
          <c:tx>
            <c:v>Data points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25400" cap="rnd">
                <a:solidFill>
                  <a:schemeClr val="accent6">
                    <a:lumMod val="75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5748167941953727"/>
                  <c:y val="-9.9675925925925932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1000" b="1" i="0" u="none" strike="noStrike" kern="1200" baseline="0">
                        <a:solidFill>
                          <a:sysClr val="windowText" lastClr="00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l-GR" sz="1000" b="1" i="0" u="none" strike="noStrike" baseline="0">
                        <a:effectLst/>
                      </a:rPr>
                      <a:t>β</a:t>
                    </a:r>
                    <a:r>
                      <a:rPr lang="en-GB" sz="1000" b="1" i="0" u="none" strike="noStrike" baseline="0">
                        <a:effectLst/>
                      </a:rPr>
                      <a:t>2</a:t>
                    </a:r>
                    <a:r>
                      <a:rPr lang="en-GB" sz="1000" b="1" i="0" u="none" strike="noStrike" baseline="-25000">
                        <a:effectLst/>
                      </a:rPr>
                      <a:t>DFT</a:t>
                    </a:r>
                    <a:r>
                      <a:rPr lang="en-US" b="1" baseline="0"/>
                      <a:t> = 0.90</a:t>
                    </a:r>
                    <a:r>
                      <a:rPr lang="el-GR" sz="1000" b="1" i="0" u="none" strike="noStrike" baseline="0">
                        <a:effectLst/>
                      </a:rPr>
                      <a:t>β</a:t>
                    </a:r>
                    <a:r>
                      <a:rPr lang="en-GB" sz="1000" b="1" i="0" u="none" strike="noStrike" baseline="0">
                        <a:effectLst/>
                      </a:rPr>
                      <a:t>2</a:t>
                    </a:r>
                    <a:r>
                      <a:rPr lang="en-GB" sz="1000" b="1" i="0" u="none" strike="noStrike" baseline="-25000">
                        <a:effectLst/>
                      </a:rPr>
                      <a:t>xTB</a:t>
                    </a:r>
                    <a:r>
                      <a:rPr lang="en-US" b="1" baseline="0"/>
                      <a:t> + 15.22</a:t>
                    </a:r>
                    <a:br>
                      <a:rPr lang="en-US" b="1" baseline="0"/>
                    </a:br>
                    <a:r>
                      <a:rPr lang="en-US" b="1" baseline="0"/>
                      <a:t>R² = 0.49</a:t>
                    </a:r>
                  </a:p>
                  <a:p>
                    <a:pPr>
                      <a:defRPr sz="1000" b="1">
                        <a:solidFill>
                          <a:sysClr val="windowText" lastClr="000000"/>
                        </a:solidFill>
                      </a:defRPr>
                    </a:pPr>
                    <a:r>
                      <a:rPr lang="en-US" b="1" baseline="0"/>
                      <a:t>Pearson R = 0.70</a:t>
                    </a:r>
                    <a:r>
                      <a:rPr lang="en-IN" sz="1000" b="1" i="0" u="none" strike="noStrike" baseline="0">
                        <a:effectLst/>
                      </a:rPr>
                      <a:t>°</a:t>
                    </a:r>
                    <a:endParaRPr lang="en-US" b="1" baseline="0"/>
                  </a:p>
                  <a:p>
                    <a:pPr>
                      <a:defRPr sz="1000" b="1">
                        <a:solidFill>
                          <a:sysClr val="windowText" lastClr="000000"/>
                        </a:solidFill>
                      </a:defRPr>
                    </a:pPr>
                    <a:r>
                      <a:rPr lang="en-US" b="1" baseline="0"/>
                      <a:t>MAE = 6.82</a:t>
                    </a:r>
                    <a:r>
                      <a:rPr lang="en-IN" sz="1000" b="1" i="0" u="none" strike="noStrike" baseline="0">
                        <a:effectLst/>
                      </a:rPr>
                      <a:t>°</a:t>
                    </a:r>
                    <a:endParaRPr lang="en-US" b="1" baseline="0"/>
                  </a:p>
                  <a:p>
                    <a:pPr>
                      <a:defRPr sz="1000" b="1">
                        <a:solidFill>
                          <a:sysClr val="windowText" lastClr="000000"/>
                        </a:solidFill>
                      </a:defRPr>
                    </a:pPr>
                    <a:r>
                      <a:rPr lang="en-US" b="1" baseline="0"/>
                      <a:t>RMSE = 9.58</a:t>
                    </a:r>
                  </a:p>
                  <a:p>
                    <a:pPr>
                      <a:defRPr sz="1000" b="1">
                        <a:solidFill>
                          <a:sysClr val="windowText" lastClr="000000"/>
                        </a:solidFill>
                      </a:defRPr>
                    </a:pPr>
                    <a:r>
                      <a:rPr lang="en-US" b="1" baseline="0"/>
                      <a:t>N = 16</a:t>
                    </a:r>
                    <a:endParaRPr lang="en-US" b="1"/>
                  </a:p>
                </c:rich>
              </c:tx>
              <c:numFmt formatCode="General" sourceLinked="0"/>
              <c:spPr>
                <a:solidFill>
                  <a:schemeClr val="bg1">
                    <a:lumMod val="9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'L27g-xTB vs DFT '!$AN$2:$AN$17</c:f>
              <c:numCache>
                <c:formatCode>General</c:formatCode>
                <c:ptCount val="16"/>
                <c:pt idx="0">
                  <c:v>129.0952829</c:v>
                </c:pt>
                <c:pt idx="1">
                  <c:v>140.47496369999999</c:v>
                </c:pt>
                <c:pt idx="2">
                  <c:v>144.0303193</c:v>
                </c:pt>
                <c:pt idx="3">
                  <c:v>137.36758639999999</c:v>
                </c:pt>
                <c:pt idx="4">
                  <c:v>104.549626</c:v>
                </c:pt>
                <c:pt idx="5">
                  <c:v>149.6626646</c:v>
                </c:pt>
                <c:pt idx="6">
                  <c:v>145.83506819999999</c:v>
                </c:pt>
                <c:pt idx="7">
                  <c:v>132.8022905</c:v>
                </c:pt>
                <c:pt idx="8">
                  <c:v>142.22196640000001</c:v>
                </c:pt>
                <c:pt idx="9">
                  <c:v>143.23970370000001</c:v>
                </c:pt>
                <c:pt idx="10">
                  <c:v>144.50904969999999</c:v>
                </c:pt>
                <c:pt idx="11">
                  <c:v>139.37298609999999</c:v>
                </c:pt>
                <c:pt idx="12">
                  <c:v>127.08427260000001</c:v>
                </c:pt>
                <c:pt idx="13">
                  <c:v>141.77016</c:v>
                </c:pt>
                <c:pt idx="14">
                  <c:v>145.0859226</c:v>
                </c:pt>
                <c:pt idx="15">
                  <c:v>137.3919894</c:v>
                </c:pt>
              </c:numCache>
            </c:numRef>
          </c:xVal>
          <c:yVal>
            <c:numRef>
              <c:f>'L27g-xTB vs DFT '!$AO$2:$AO$17</c:f>
              <c:numCache>
                <c:formatCode>General</c:formatCode>
                <c:ptCount val="16"/>
                <c:pt idx="0">
                  <c:v>126.562999</c:v>
                </c:pt>
                <c:pt idx="1">
                  <c:v>140.2879805</c:v>
                </c:pt>
                <c:pt idx="2">
                  <c:v>167.00772269999999</c:v>
                </c:pt>
                <c:pt idx="3">
                  <c:v>138.65702039999999</c:v>
                </c:pt>
                <c:pt idx="4">
                  <c:v>112.4689686</c:v>
                </c:pt>
                <c:pt idx="5">
                  <c:v>127.1186393</c:v>
                </c:pt>
                <c:pt idx="6">
                  <c:v>152.83479460000001</c:v>
                </c:pt>
                <c:pt idx="7">
                  <c:v>131.2494423</c:v>
                </c:pt>
                <c:pt idx="8">
                  <c:v>147.9607092</c:v>
                </c:pt>
                <c:pt idx="9">
                  <c:v>143.6943742</c:v>
                </c:pt>
                <c:pt idx="10">
                  <c:v>140.63056019999999</c:v>
                </c:pt>
                <c:pt idx="11">
                  <c:v>142.75427529999999</c:v>
                </c:pt>
                <c:pt idx="12">
                  <c:v>119.17906670000001</c:v>
                </c:pt>
                <c:pt idx="13">
                  <c:v>132.14704119999999</c:v>
                </c:pt>
                <c:pt idx="14">
                  <c:v>154.4146619</c:v>
                </c:pt>
                <c:pt idx="15">
                  <c:v>140.30798160000001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211-4A7E-8985-BAEFFAECB9E7}"/>
            </c:ext>
          </c:extLst>
        </c:ser>
        <c:ser>
          <c:idx val="1"/>
          <c:order val="1"/>
          <c:tx>
            <c:v>Perfect line</c:v>
          </c:tx>
          <c:spPr>
            <a:ln w="25400" cap="rnd">
              <a:solidFill>
                <a:schemeClr val="bg1">
                  <a:lumMod val="8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'L27g-xTB vs DFT '!$AN$2:$AN$17</c:f>
              <c:numCache>
                <c:formatCode>General</c:formatCode>
                <c:ptCount val="16"/>
                <c:pt idx="0">
                  <c:v>129.0952829</c:v>
                </c:pt>
                <c:pt idx="1">
                  <c:v>140.47496369999999</c:v>
                </c:pt>
                <c:pt idx="2">
                  <c:v>144.0303193</c:v>
                </c:pt>
                <c:pt idx="3">
                  <c:v>137.36758639999999</c:v>
                </c:pt>
                <c:pt idx="4">
                  <c:v>104.549626</c:v>
                </c:pt>
                <c:pt idx="5">
                  <c:v>149.6626646</c:v>
                </c:pt>
                <c:pt idx="6">
                  <c:v>145.83506819999999</c:v>
                </c:pt>
                <c:pt idx="7">
                  <c:v>132.8022905</c:v>
                </c:pt>
                <c:pt idx="8">
                  <c:v>142.22196640000001</c:v>
                </c:pt>
                <c:pt idx="9">
                  <c:v>143.23970370000001</c:v>
                </c:pt>
                <c:pt idx="10">
                  <c:v>144.50904969999999</c:v>
                </c:pt>
                <c:pt idx="11">
                  <c:v>139.37298609999999</c:v>
                </c:pt>
                <c:pt idx="12">
                  <c:v>127.08427260000001</c:v>
                </c:pt>
                <c:pt idx="13">
                  <c:v>141.77016</c:v>
                </c:pt>
                <c:pt idx="14">
                  <c:v>145.0859226</c:v>
                </c:pt>
                <c:pt idx="15">
                  <c:v>137.3919894</c:v>
                </c:pt>
              </c:numCache>
            </c:numRef>
          </c:xVal>
          <c:yVal>
            <c:numRef>
              <c:f>'L27g-xTB vs DFT '!$AU$2:$AU$17</c:f>
              <c:numCache>
                <c:formatCode>General</c:formatCode>
                <c:ptCount val="16"/>
                <c:pt idx="0">
                  <c:v>129.0952829</c:v>
                </c:pt>
                <c:pt idx="1">
                  <c:v>140.47496369999999</c:v>
                </c:pt>
                <c:pt idx="2">
                  <c:v>144.0303193</c:v>
                </c:pt>
                <c:pt idx="3">
                  <c:v>137.36758639999999</c:v>
                </c:pt>
                <c:pt idx="4">
                  <c:v>104.549626</c:v>
                </c:pt>
                <c:pt idx="5">
                  <c:v>149.6626646</c:v>
                </c:pt>
                <c:pt idx="6">
                  <c:v>145.83506819999999</c:v>
                </c:pt>
                <c:pt idx="7">
                  <c:v>132.8022905</c:v>
                </c:pt>
                <c:pt idx="8">
                  <c:v>142.22196640000001</c:v>
                </c:pt>
                <c:pt idx="9">
                  <c:v>143.23970370000001</c:v>
                </c:pt>
                <c:pt idx="10">
                  <c:v>144.50904969999999</c:v>
                </c:pt>
                <c:pt idx="11">
                  <c:v>139.37298609999999</c:v>
                </c:pt>
                <c:pt idx="12">
                  <c:v>127.08427260000001</c:v>
                </c:pt>
                <c:pt idx="13">
                  <c:v>141.77016</c:v>
                </c:pt>
                <c:pt idx="14">
                  <c:v>145.0859226</c:v>
                </c:pt>
                <c:pt idx="15">
                  <c:v>137.3919894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211-4A7E-8985-BAEFFAECB9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5447664"/>
        <c:axId val="745434704"/>
      </c:scatterChart>
      <c:valAx>
        <c:axId val="745447664"/>
        <c:scaling>
          <c:orientation val="minMax"/>
          <c:min val="104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400" b="0" i="0" u="none" strike="noStrike" kern="1200" spc="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β</a:t>
                </a:r>
                <a:r>
                  <a:rPr lang="en-GB" sz="1400" b="0" i="0" u="none" strike="noStrike" kern="1200" spc="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2</a:t>
                </a:r>
                <a:r>
                  <a:rPr lang="en-GB" sz="1400" b="0" i="0" u="none" strike="noStrike" kern="1200" spc="0" baseline="-25000">
                    <a:solidFill>
                      <a:sysClr val="windowText" lastClr="000000"/>
                    </a:solidFill>
                    <a:effectLst/>
                    <a:latin typeface="+mn-lt"/>
                    <a:cs typeface="Times New Roman" panose="02020603050405020304" pitchFamily="18" charset="0"/>
                  </a:rPr>
                  <a:t>xTB</a:t>
                </a:r>
                <a:r>
                  <a:rPr lang="en-GB" sz="1400" b="0" i="0" u="none" strike="noStrike" kern="1200" baseline="0">
                    <a:solidFill>
                      <a:sysClr val="windowText" lastClr="000000"/>
                    </a:solidFill>
                  </a:rPr>
                  <a:t>(</a:t>
                </a:r>
                <a:r>
                  <a:rPr lang="en-IN" sz="1400" b="0" i="0" u="none" strike="noStrike" kern="1200" baseline="0">
                    <a:solidFill>
                      <a:sysClr val="windowText" lastClr="000000"/>
                    </a:solidFill>
                  </a:rPr>
                  <a:t>°</a:t>
                </a:r>
                <a:r>
                  <a:rPr lang="en-GB" sz="1400" b="0" i="0" u="none" strike="noStrike" kern="1200" baseline="0">
                    <a:solidFill>
                      <a:sysClr val="windowText" lastClr="000000"/>
                    </a:solidFill>
                  </a:rPr>
                  <a:t>)</a:t>
                </a:r>
                <a:endParaRPr lang="en-IN" sz="1400" b="0" i="0" u="none" strike="noStrike" kern="1200" baseline="-25000">
                  <a:solidFill>
                    <a:sysClr val="windowText" lastClr="000000"/>
                  </a:solidFill>
                  <a:latin typeface="+mn-lt"/>
                </a:endParaRPr>
              </a:p>
            </c:rich>
          </c:tx>
          <c:layout>
            <c:manualLayout>
              <c:xMode val="edge"/>
              <c:yMode val="edge"/>
              <c:x val="0.49824755086756867"/>
              <c:y val="0.7686358996792067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5434704"/>
        <c:crosses val="autoZero"/>
        <c:crossBetween val="midCat"/>
      </c:valAx>
      <c:valAx>
        <c:axId val="745434704"/>
        <c:scaling>
          <c:orientation val="minMax"/>
          <c:max val="170"/>
          <c:min val="104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400" b="0" i="0" u="none" strike="noStrike" kern="1200" spc="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β</a:t>
                </a:r>
                <a:r>
                  <a:rPr lang="en-GB" sz="1400" b="0" i="0" u="none" strike="noStrike" kern="1200" spc="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2</a:t>
                </a:r>
                <a:r>
                  <a:rPr lang="en-GB" sz="1400" b="0" i="0" u="none" strike="noStrike" kern="1200" spc="0" baseline="-25000">
                    <a:solidFill>
                      <a:sysClr val="windowText" lastClr="000000"/>
                    </a:solidFill>
                    <a:effectLst/>
                    <a:latin typeface="+mn-lt"/>
                    <a:cs typeface="Times New Roman" panose="02020603050405020304" pitchFamily="18" charset="0"/>
                  </a:rPr>
                  <a:t>DFT</a:t>
                </a:r>
                <a:r>
                  <a:rPr lang="en-GB" sz="1400" b="0" i="0" u="none" strike="noStrike" kern="1200" baseline="0">
                    <a:solidFill>
                      <a:sysClr val="windowText" lastClr="000000"/>
                    </a:solidFill>
                  </a:rPr>
                  <a:t>(</a:t>
                </a:r>
                <a:r>
                  <a:rPr lang="en-IN" sz="1400" b="0" i="0" u="none" strike="noStrike" kern="1200" baseline="0">
                    <a:solidFill>
                      <a:sysClr val="windowText" lastClr="000000"/>
                    </a:solidFill>
                  </a:rPr>
                  <a:t>°</a:t>
                </a:r>
                <a:r>
                  <a:rPr lang="en-GB" sz="1400" b="0" i="0" u="none" strike="noStrike" kern="1200" baseline="0">
                    <a:solidFill>
                      <a:sysClr val="windowText" lastClr="000000"/>
                    </a:solidFill>
                  </a:rPr>
                  <a:t>)</a:t>
                </a:r>
                <a:endParaRPr lang="en-IN" sz="1400" b="0" i="0" u="none" strike="noStrike" kern="1200" baseline="-25000">
                  <a:solidFill>
                    <a:sysClr val="windowText" lastClr="000000"/>
                  </a:solidFill>
                  <a:latin typeface="+mn-lt"/>
                </a:endParaRPr>
              </a:p>
            </c:rich>
          </c:tx>
          <c:layout>
            <c:manualLayout>
              <c:xMode val="edge"/>
              <c:yMode val="edge"/>
              <c:x val="2.7392030541636839E-4"/>
              <c:y val="0.4108675998833479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54476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4173655262233444E-2"/>
          <c:y val="0.86535688247302422"/>
          <c:w val="0.89165266841644797"/>
          <c:h val="8.371719160104987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IN" sz="1600" b="1" i="0" u="none" strike="noStrike" kern="1200" spc="0" baseline="0">
                <a:solidFill>
                  <a:sysClr val="windowText" lastClr="000000"/>
                </a:solidFill>
                <a:effectLst/>
                <a:latin typeface="+mn-lt"/>
              </a:rPr>
              <a:t>Angle </a:t>
            </a:r>
            <a:r>
              <a:rPr lang="el-GR" sz="1600" b="1" i="0" u="none" strike="noStrike" kern="1200" spc="0" baseline="0">
                <a:solidFill>
                  <a:sysClr val="windowText" lastClr="000000"/>
                </a:solidFill>
                <a:effectLst/>
                <a:latin typeface="+mn-lt"/>
                <a:cs typeface="Times New Roman" panose="02020603050405020304" pitchFamily="18" charset="0"/>
              </a:rPr>
              <a:t>α</a:t>
            </a:r>
            <a:r>
              <a:rPr lang="en-IN" sz="1600" b="1" i="0" u="none" strike="noStrike" kern="1200" spc="0" baseline="0">
                <a:solidFill>
                  <a:sysClr val="windowText" lastClr="000000"/>
                </a:solidFill>
                <a:effectLst/>
                <a:latin typeface="+mn-lt"/>
              </a:rPr>
              <a:t> </a:t>
            </a:r>
            <a:r>
              <a:rPr lang="en-US" sz="1600" b="1">
                <a:solidFill>
                  <a:sysClr val="windowText" lastClr="000000"/>
                </a:solidFill>
                <a:latin typeface="+mn-lt"/>
              </a:rPr>
              <a:t>  </a:t>
            </a:r>
          </a:p>
        </c:rich>
      </c:tx>
      <c:layout>
        <c:manualLayout>
          <c:xMode val="edge"/>
          <c:yMode val="edge"/>
          <c:x val="0.3953028565604057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6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0.10757228194528802"/>
          <c:y val="0.16912037037037039"/>
          <c:w val="0.84452666717631175"/>
          <c:h val="0.53841243802857974"/>
        </c:manualLayout>
      </c:layout>
      <c:scatterChart>
        <c:scatterStyle val="lineMarker"/>
        <c:varyColors val="0"/>
        <c:ser>
          <c:idx val="0"/>
          <c:order val="0"/>
          <c:tx>
            <c:v>Data points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25400" cap="rnd">
                <a:solidFill>
                  <a:schemeClr val="accent6">
                    <a:lumMod val="75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8078497758735289"/>
                  <c:y val="-0.1222772674249052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1000" b="1" i="0" u="none" strike="noStrike" kern="1200" baseline="0">
                        <a:solidFill>
                          <a:sysClr val="windowText" lastClr="00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l-GR" sz="1000" b="1" i="0" u="none" strike="noStrike" baseline="0">
                        <a:effectLst/>
                      </a:rPr>
                      <a:t>α</a:t>
                    </a:r>
                    <a:r>
                      <a:rPr lang="en-GB" sz="1000" b="1" i="0" u="none" strike="noStrike" baseline="-25000">
                        <a:effectLst/>
                      </a:rPr>
                      <a:t>DFT</a:t>
                    </a:r>
                    <a:r>
                      <a:rPr lang="en-US" b="1" baseline="0"/>
                      <a:t> = 0.31</a:t>
                    </a:r>
                    <a:r>
                      <a:rPr lang="el-GR" sz="1000" b="1" i="0" u="none" strike="noStrike" baseline="0">
                        <a:effectLst/>
                      </a:rPr>
                      <a:t>α</a:t>
                    </a:r>
                    <a:r>
                      <a:rPr lang="en-GB" sz="1000" b="1" i="0" u="none" strike="noStrike" baseline="-25000">
                        <a:effectLst/>
                      </a:rPr>
                      <a:t>xTB</a:t>
                    </a:r>
                    <a:r>
                      <a:rPr lang="en-US" b="1" baseline="0"/>
                      <a:t> + 81.47</a:t>
                    </a:r>
                    <a:br>
                      <a:rPr lang="en-US" b="1" baseline="0"/>
                    </a:br>
                    <a:r>
                      <a:rPr lang="en-US" b="1" baseline="0"/>
                      <a:t>R² = 0.30</a:t>
                    </a:r>
                  </a:p>
                  <a:p>
                    <a:pPr>
                      <a:defRPr sz="1000" b="1">
                        <a:solidFill>
                          <a:sysClr val="windowText" lastClr="000000"/>
                        </a:solidFill>
                      </a:defRPr>
                    </a:pPr>
                    <a:r>
                      <a:rPr lang="en-US" b="1" baseline="0"/>
                      <a:t>Pearson R = 0.60</a:t>
                    </a:r>
                  </a:p>
                  <a:p>
                    <a:pPr>
                      <a:defRPr sz="1000" b="1">
                        <a:solidFill>
                          <a:sysClr val="windowText" lastClr="000000"/>
                        </a:solidFill>
                      </a:defRPr>
                    </a:pPr>
                    <a:r>
                      <a:rPr lang="en-US" b="1" baseline="0"/>
                      <a:t>MAE = 8.22</a:t>
                    </a:r>
                    <a:r>
                      <a:rPr lang="en-IN" sz="1000" b="1" i="0" u="none" strike="noStrike" baseline="0">
                        <a:effectLst/>
                      </a:rPr>
                      <a:t>°</a:t>
                    </a:r>
                    <a:endParaRPr lang="en-US" b="1" baseline="0"/>
                  </a:p>
                  <a:p>
                    <a:pPr>
                      <a:defRPr sz="1000" b="1">
                        <a:solidFill>
                          <a:sysClr val="windowText" lastClr="000000"/>
                        </a:solidFill>
                      </a:defRPr>
                    </a:pPr>
                    <a:r>
                      <a:rPr lang="en-US" b="1" baseline="0"/>
                      <a:t>RMSE = 1.07</a:t>
                    </a:r>
                    <a:r>
                      <a:rPr lang="en-IN" sz="1000" b="1" i="0" u="none" strike="noStrike" baseline="0">
                        <a:effectLst/>
                      </a:rPr>
                      <a:t>°</a:t>
                    </a:r>
                    <a:endParaRPr lang="en-US" b="1" baseline="0"/>
                  </a:p>
                  <a:p>
                    <a:pPr>
                      <a:defRPr sz="1000" b="1">
                        <a:solidFill>
                          <a:sysClr val="windowText" lastClr="000000"/>
                        </a:solidFill>
                      </a:defRPr>
                    </a:pPr>
                    <a:r>
                      <a:rPr lang="en-US" b="1" baseline="0"/>
                      <a:t>N = 16</a:t>
                    </a:r>
                    <a:endParaRPr lang="en-US" b="1"/>
                  </a:p>
                </c:rich>
              </c:tx>
              <c:numFmt formatCode="General" sourceLinked="0"/>
              <c:spPr>
                <a:solidFill>
                  <a:schemeClr val="bg1">
                    <a:lumMod val="9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'L50g-xTB vs DFT'!$B$2:$B$17</c:f>
              <c:numCache>
                <c:formatCode>General</c:formatCode>
                <c:ptCount val="16"/>
                <c:pt idx="0">
                  <c:v>117.7519717</c:v>
                </c:pt>
                <c:pt idx="1">
                  <c:v>119.0737026</c:v>
                </c:pt>
                <c:pt idx="2">
                  <c:v>117.0203386</c:v>
                </c:pt>
                <c:pt idx="3">
                  <c:v>117.55285670000001</c:v>
                </c:pt>
                <c:pt idx="4">
                  <c:v>119.0532348</c:v>
                </c:pt>
                <c:pt idx="5">
                  <c:v>117.86492079999999</c:v>
                </c:pt>
                <c:pt idx="6">
                  <c:v>117.2112039</c:v>
                </c:pt>
                <c:pt idx="7">
                  <c:v>117.0443004</c:v>
                </c:pt>
                <c:pt idx="8">
                  <c:v>120.0409125</c:v>
                </c:pt>
                <c:pt idx="9">
                  <c:v>118.627489</c:v>
                </c:pt>
                <c:pt idx="10">
                  <c:v>116.76676519999999</c:v>
                </c:pt>
                <c:pt idx="11">
                  <c:v>116.81171929999999</c:v>
                </c:pt>
                <c:pt idx="12">
                  <c:v>116.8899905</c:v>
                </c:pt>
                <c:pt idx="13">
                  <c:v>119.78465749999999</c:v>
                </c:pt>
                <c:pt idx="14">
                  <c:v>121.10557900000001</c:v>
                </c:pt>
                <c:pt idx="15">
                  <c:v>118.412504</c:v>
                </c:pt>
              </c:numCache>
            </c:numRef>
          </c:xVal>
          <c:yVal>
            <c:numRef>
              <c:f>'L50g-xTB vs DFT'!$C$2:$C$17</c:f>
              <c:numCache>
                <c:formatCode>General</c:formatCode>
                <c:ptCount val="16"/>
                <c:pt idx="0">
                  <c:v>118.3646542</c:v>
                </c:pt>
                <c:pt idx="1">
                  <c:v>120.1669679</c:v>
                </c:pt>
                <c:pt idx="2">
                  <c:v>117.1232371</c:v>
                </c:pt>
                <c:pt idx="3">
                  <c:v>117.40173900000001</c:v>
                </c:pt>
                <c:pt idx="4">
                  <c:v>118.8006431</c:v>
                </c:pt>
                <c:pt idx="5">
                  <c:v>117.542317</c:v>
                </c:pt>
                <c:pt idx="6">
                  <c:v>118.0937077</c:v>
                </c:pt>
                <c:pt idx="7">
                  <c:v>117.9338958</c:v>
                </c:pt>
                <c:pt idx="8">
                  <c:v>119.16460720000001</c:v>
                </c:pt>
                <c:pt idx="9">
                  <c:v>118.2839493</c:v>
                </c:pt>
                <c:pt idx="10">
                  <c:v>118.0912726</c:v>
                </c:pt>
                <c:pt idx="11">
                  <c:v>117.9876407</c:v>
                </c:pt>
                <c:pt idx="12">
                  <c:v>117.39025650000001</c:v>
                </c:pt>
                <c:pt idx="13">
                  <c:v>118.1180469</c:v>
                </c:pt>
                <c:pt idx="14">
                  <c:v>118.29966469999999</c:v>
                </c:pt>
                <c:pt idx="15">
                  <c:v>118.5795193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42B-40B2-9B0F-F7FB6CC823A2}"/>
            </c:ext>
          </c:extLst>
        </c:ser>
        <c:ser>
          <c:idx val="1"/>
          <c:order val="1"/>
          <c:tx>
            <c:v>Perfect line</c:v>
          </c:tx>
          <c:spPr>
            <a:ln w="25400" cap="rnd">
              <a:solidFill>
                <a:schemeClr val="bg1">
                  <a:lumMod val="8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'L50g-xTB vs DFT'!$B$2:$B$17</c:f>
              <c:numCache>
                <c:formatCode>General</c:formatCode>
                <c:ptCount val="16"/>
                <c:pt idx="0">
                  <c:v>117.7519717</c:v>
                </c:pt>
                <c:pt idx="1">
                  <c:v>119.0737026</c:v>
                </c:pt>
                <c:pt idx="2">
                  <c:v>117.0203386</c:v>
                </c:pt>
                <c:pt idx="3">
                  <c:v>117.55285670000001</c:v>
                </c:pt>
                <c:pt idx="4">
                  <c:v>119.0532348</c:v>
                </c:pt>
                <c:pt idx="5">
                  <c:v>117.86492079999999</c:v>
                </c:pt>
                <c:pt idx="6">
                  <c:v>117.2112039</c:v>
                </c:pt>
                <c:pt idx="7">
                  <c:v>117.0443004</c:v>
                </c:pt>
                <c:pt idx="8">
                  <c:v>120.0409125</c:v>
                </c:pt>
                <c:pt idx="9">
                  <c:v>118.627489</c:v>
                </c:pt>
                <c:pt idx="10">
                  <c:v>116.76676519999999</c:v>
                </c:pt>
                <c:pt idx="11">
                  <c:v>116.81171929999999</c:v>
                </c:pt>
                <c:pt idx="12">
                  <c:v>116.8899905</c:v>
                </c:pt>
                <c:pt idx="13">
                  <c:v>119.78465749999999</c:v>
                </c:pt>
                <c:pt idx="14">
                  <c:v>121.10557900000001</c:v>
                </c:pt>
                <c:pt idx="15">
                  <c:v>118.412504</c:v>
                </c:pt>
              </c:numCache>
            </c:numRef>
          </c:xVal>
          <c:yVal>
            <c:numRef>
              <c:f>'L50g-xTB vs DFT'!$I$2:$I$17</c:f>
              <c:numCache>
                <c:formatCode>General</c:formatCode>
                <c:ptCount val="16"/>
                <c:pt idx="0">
                  <c:v>117.7519717</c:v>
                </c:pt>
                <c:pt idx="1">
                  <c:v>119.0737026</c:v>
                </c:pt>
                <c:pt idx="2">
                  <c:v>117.0203386</c:v>
                </c:pt>
                <c:pt idx="3">
                  <c:v>117.55285670000001</c:v>
                </c:pt>
                <c:pt idx="4">
                  <c:v>119.0532348</c:v>
                </c:pt>
                <c:pt idx="5">
                  <c:v>117.86492079999999</c:v>
                </c:pt>
                <c:pt idx="6">
                  <c:v>117.2112039</c:v>
                </c:pt>
                <c:pt idx="7">
                  <c:v>117.0443004</c:v>
                </c:pt>
                <c:pt idx="8">
                  <c:v>120.0409125</c:v>
                </c:pt>
                <c:pt idx="9">
                  <c:v>118.627489</c:v>
                </c:pt>
                <c:pt idx="10">
                  <c:v>116.76676519999999</c:v>
                </c:pt>
                <c:pt idx="11">
                  <c:v>116.81171929999999</c:v>
                </c:pt>
                <c:pt idx="12">
                  <c:v>116.8899905</c:v>
                </c:pt>
                <c:pt idx="13">
                  <c:v>119.78465749999999</c:v>
                </c:pt>
                <c:pt idx="14">
                  <c:v>121.10557900000001</c:v>
                </c:pt>
                <c:pt idx="15">
                  <c:v>118.412504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42B-40B2-9B0F-F7FB6CC823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5447664"/>
        <c:axId val="745434704"/>
      </c:scatterChart>
      <c:valAx>
        <c:axId val="745447664"/>
        <c:scaling>
          <c:orientation val="minMax"/>
          <c:max val="121.5"/>
          <c:min val="116.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400" b="0" i="0" u="none" strike="noStrike" kern="1200" spc="0" baseline="0">
                    <a:solidFill>
                      <a:sysClr val="windowText" lastClr="000000"/>
                    </a:solidFill>
                    <a:effectLst/>
                    <a:latin typeface="+mn-lt"/>
                    <a:cs typeface="Times New Roman" panose="02020603050405020304" pitchFamily="18" charset="0"/>
                  </a:rPr>
                  <a:t>α</a:t>
                </a:r>
                <a:r>
                  <a:rPr lang="en-GB" sz="1400" b="0" i="0" u="none" strike="noStrike" kern="1200" spc="0" baseline="-25000">
                    <a:solidFill>
                      <a:sysClr val="windowText" lastClr="000000"/>
                    </a:solidFill>
                    <a:effectLst/>
                    <a:latin typeface="+mn-lt"/>
                    <a:cs typeface="Times New Roman" panose="02020603050405020304" pitchFamily="18" charset="0"/>
                  </a:rPr>
                  <a:t>xTB</a:t>
                </a:r>
                <a:r>
                  <a:rPr lang="en-GB" sz="1400" b="0" i="0" u="none" strike="noStrike" kern="1200" baseline="0">
                    <a:solidFill>
                      <a:sysClr val="windowText" lastClr="000000"/>
                    </a:solidFill>
                  </a:rPr>
                  <a:t>(</a:t>
                </a:r>
                <a:r>
                  <a:rPr lang="en-IN" sz="1400" b="0" i="0" u="none" strike="noStrike" kern="1200" baseline="0">
                    <a:solidFill>
                      <a:sysClr val="windowText" lastClr="000000"/>
                    </a:solidFill>
                  </a:rPr>
                  <a:t>°</a:t>
                </a:r>
                <a:r>
                  <a:rPr lang="en-GB" sz="1400" b="0" i="0" u="none" strike="noStrike" kern="1200" baseline="0">
                    <a:solidFill>
                      <a:sysClr val="windowText" lastClr="000000"/>
                    </a:solidFill>
                  </a:rPr>
                  <a:t>)</a:t>
                </a:r>
                <a:endParaRPr lang="en-IN" sz="1400" b="0" i="0" u="none" strike="noStrike" kern="1200" baseline="-25000">
                  <a:solidFill>
                    <a:sysClr val="windowText" lastClr="000000"/>
                  </a:solidFill>
                  <a:latin typeface="+mn-lt"/>
                </a:endParaRPr>
              </a:p>
            </c:rich>
          </c:tx>
          <c:layout>
            <c:manualLayout>
              <c:xMode val="edge"/>
              <c:yMode val="edge"/>
              <c:x val="0.49824755086756867"/>
              <c:y val="0.7686358996792067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5434704"/>
        <c:crosses val="autoZero"/>
        <c:crossBetween val="midCat"/>
      </c:valAx>
      <c:valAx>
        <c:axId val="745434704"/>
        <c:scaling>
          <c:orientation val="minMax"/>
          <c:max val="120.5"/>
          <c:min val="117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400" b="0" i="0" u="none" strike="noStrike" kern="1200" spc="0" baseline="0">
                    <a:solidFill>
                      <a:sysClr val="windowText" lastClr="000000"/>
                    </a:solidFill>
                    <a:effectLst/>
                    <a:latin typeface="+mn-lt"/>
                    <a:cs typeface="Times New Roman" panose="02020603050405020304" pitchFamily="18" charset="0"/>
                  </a:rPr>
                  <a:t>α</a:t>
                </a:r>
                <a:r>
                  <a:rPr lang="en-GB" sz="1400" b="0" i="0" u="none" strike="noStrike" kern="1200" spc="0" baseline="-25000">
                    <a:solidFill>
                      <a:sysClr val="windowText" lastClr="000000"/>
                    </a:solidFill>
                    <a:effectLst/>
                    <a:latin typeface="+mn-lt"/>
                    <a:cs typeface="Times New Roman" panose="02020603050405020304" pitchFamily="18" charset="0"/>
                  </a:rPr>
                  <a:t>DFT</a:t>
                </a:r>
                <a:r>
                  <a:rPr lang="en-GB" sz="1400" b="0" i="0" u="none" strike="noStrike" kern="1200" baseline="0">
                    <a:solidFill>
                      <a:sysClr val="windowText" lastClr="000000"/>
                    </a:solidFill>
                  </a:rPr>
                  <a:t>(</a:t>
                </a:r>
                <a:r>
                  <a:rPr lang="en-IN" sz="1400" b="0" i="0" u="none" strike="noStrike" kern="1200" baseline="0">
                    <a:solidFill>
                      <a:sysClr val="windowText" lastClr="000000"/>
                    </a:solidFill>
                  </a:rPr>
                  <a:t>°</a:t>
                </a:r>
                <a:r>
                  <a:rPr lang="en-GB" sz="1400" b="0" i="0" u="none" strike="noStrike" kern="1200" baseline="0">
                    <a:solidFill>
                      <a:sysClr val="windowText" lastClr="000000"/>
                    </a:solidFill>
                  </a:rPr>
                  <a:t>)</a:t>
                </a:r>
                <a:endParaRPr lang="en-IN" sz="1400" b="0" i="0" u="none" strike="noStrike" kern="1200" baseline="-25000">
                  <a:solidFill>
                    <a:sysClr val="windowText" lastClr="000000"/>
                  </a:solidFill>
                  <a:latin typeface="+mn-lt"/>
                </a:endParaRPr>
              </a:p>
            </c:rich>
          </c:tx>
          <c:layout>
            <c:manualLayout>
              <c:xMode val="edge"/>
              <c:yMode val="edge"/>
              <c:x val="2.7392030541636839E-4"/>
              <c:y val="0.4108675998833479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54476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4173655262233444E-2"/>
          <c:y val="0.86535688247302422"/>
          <c:w val="0.89165266841644797"/>
          <c:h val="8.371719160104987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IN" sz="1600" b="1" i="0" u="none" strike="noStrike" kern="1200" spc="0" baseline="0">
                <a:solidFill>
                  <a:sysClr val="windowText" lastClr="000000"/>
                </a:solidFill>
                <a:effectLst/>
                <a:latin typeface="+mn-lt"/>
              </a:rPr>
              <a:t>Bite angle </a:t>
            </a:r>
            <a:r>
              <a:rPr lang="el-GR" sz="1600" b="1" i="0" u="none" strike="noStrike" kern="1200" spc="0" baseline="0">
                <a:solidFill>
                  <a:sysClr val="windowText" lastClr="000000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θ</a:t>
            </a:r>
            <a:r>
              <a:rPr lang="en-IN" sz="1600" b="1" i="0" u="none" strike="noStrike" kern="1200" spc="0" baseline="0">
                <a:solidFill>
                  <a:sysClr val="windowText" lastClr="000000"/>
                </a:solidFill>
                <a:effectLst/>
                <a:latin typeface="+mn-lt"/>
              </a:rPr>
              <a:t> </a:t>
            </a:r>
            <a:r>
              <a:rPr lang="en-US" sz="1600" b="1">
                <a:solidFill>
                  <a:sysClr val="windowText" lastClr="000000"/>
                </a:solidFill>
                <a:latin typeface="+mn-lt"/>
              </a:rPr>
              <a:t>  </a:t>
            </a:r>
          </a:p>
        </c:rich>
      </c:tx>
      <c:layout>
        <c:manualLayout>
          <c:xMode val="edge"/>
          <c:yMode val="edge"/>
          <c:x val="0.3953028565604057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6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0.10757228194528802"/>
          <c:y val="0.16912037037037039"/>
          <c:w val="0.84452666717631175"/>
          <c:h val="0.53841243802857974"/>
        </c:manualLayout>
      </c:layout>
      <c:scatterChart>
        <c:scatterStyle val="lineMarker"/>
        <c:varyColors val="0"/>
        <c:ser>
          <c:idx val="0"/>
          <c:order val="0"/>
          <c:tx>
            <c:v>Data points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25400" cap="rnd">
                <a:solidFill>
                  <a:schemeClr val="accent6">
                    <a:lumMod val="75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52697057334423991"/>
                  <c:y val="-0.15523148148148147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1000" b="1" i="0" u="none" strike="noStrike" kern="1200" baseline="0">
                        <a:solidFill>
                          <a:sysClr val="windowText" lastClr="00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l-GR" sz="1000" b="1" i="0" u="none" strike="noStrike" baseline="0">
                        <a:effectLst/>
                      </a:rPr>
                      <a:t>θ</a:t>
                    </a:r>
                    <a:r>
                      <a:rPr lang="en-GB" sz="1000" b="1" i="0" u="none" strike="noStrike" baseline="-25000">
                        <a:effectLst/>
                      </a:rPr>
                      <a:t>DFT</a:t>
                    </a:r>
                    <a:r>
                      <a:rPr lang="en-US" b="1" baseline="0"/>
                      <a:t> = 0.85</a:t>
                    </a:r>
                    <a:r>
                      <a:rPr lang="el-GR" sz="1000" b="1" i="0" u="none" strike="noStrike" baseline="0">
                        <a:effectLst/>
                      </a:rPr>
                      <a:t>θ</a:t>
                    </a:r>
                    <a:r>
                      <a:rPr lang="en-GB" sz="1000" b="1" i="0" u="none" strike="noStrike" baseline="-25000">
                        <a:effectLst/>
                      </a:rPr>
                      <a:t>xTB</a:t>
                    </a:r>
                    <a:r>
                      <a:rPr lang="en-US" b="1" baseline="0"/>
                      <a:t> + 12.34</a:t>
                    </a:r>
                    <a:br>
                      <a:rPr lang="en-US" b="1" baseline="0"/>
                    </a:br>
                    <a:r>
                      <a:rPr lang="en-US" b="1" baseline="0"/>
                      <a:t>R² = 0.8652</a:t>
                    </a:r>
                  </a:p>
                  <a:p>
                    <a:pPr>
                      <a:defRPr sz="1000" b="1">
                        <a:solidFill>
                          <a:sysClr val="windowText" lastClr="000000"/>
                        </a:solidFill>
                      </a:defRPr>
                    </a:pPr>
                    <a:r>
                      <a:rPr lang="en-US" b="1" baseline="0"/>
                      <a:t>Pearson R = 0.93</a:t>
                    </a:r>
                  </a:p>
                  <a:p>
                    <a:pPr>
                      <a:defRPr sz="1000" b="1">
                        <a:solidFill>
                          <a:sysClr val="windowText" lastClr="000000"/>
                        </a:solidFill>
                      </a:defRPr>
                    </a:pPr>
                    <a:r>
                      <a:rPr lang="en-US" b="1" baseline="0"/>
                      <a:t>MAE = 0.79</a:t>
                    </a:r>
                    <a:r>
                      <a:rPr lang="en-IN" sz="1000" b="1" i="0" u="none" strike="noStrike" baseline="0">
                        <a:effectLst/>
                      </a:rPr>
                      <a:t>°</a:t>
                    </a:r>
                    <a:endParaRPr lang="en-US" b="1" baseline="0"/>
                  </a:p>
                  <a:p>
                    <a:pPr>
                      <a:defRPr sz="1000" b="1">
                        <a:solidFill>
                          <a:sysClr val="windowText" lastClr="000000"/>
                        </a:solidFill>
                      </a:defRPr>
                    </a:pPr>
                    <a:r>
                      <a:rPr lang="en-US" b="1" baseline="0"/>
                      <a:t>RMSE = 1.01</a:t>
                    </a:r>
                    <a:r>
                      <a:rPr lang="en-IN" sz="1000" b="1" i="0" u="none" strike="noStrike" baseline="0">
                        <a:effectLst/>
                      </a:rPr>
                      <a:t>°</a:t>
                    </a:r>
                    <a:endParaRPr lang="en-US" b="1" baseline="0"/>
                  </a:p>
                  <a:p>
                    <a:pPr>
                      <a:defRPr sz="1000" b="1">
                        <a:solidFill>
                          <a:sysClr val="windowText" lastClr="000000"/>
                        </a:solidFill>
                      </a:defRPr>
                    </a:pPr>
                    <a:r>
                      <a:rPr lang="en-US" b="1" baseline="0"/>
                      <a:t>N = 16</a:t>
                    </a:r>
                    <a:endParaRPr lang="en-US" b="1"/>
                  </a:p>
                </c:rich>
              </c:tx>
              <c:numFmt formatCode="General" sourceLinked="0"/>
              <c:spPr>
                <a:solidFill>
                  <a:schemeClr val="bg1">
                    <a:lumMod val="9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'L50g-xTB vs DFT'!$M$2:$M$17</c:f>
              <c:numCache>
                <c:formatCode>General</c:formatCode>
                <c:ptCount val="16"/>
                <c:pt idx="0">
                  <c:v>85.044258429999999</c:v>
                </c:pt>
                <c:pt idx="1">
                  <c:v>85.370693079999995</c:v>
                </c:pt>
                <c:pt idx="2">
                  <c:v>84.327758939999995</c:v>
                </c:pt>
                <c:pt idx="3">
                  <c:v>85.14903151</c:v>
                </c:pt>
                <c:pt idx="4">
                  <c:v>92.023344660000006</c:v>
                </c:pt>
                <c:pt idx="5">
                  <c:v>82.87431334</c:v>
                </c:pt>
                <c:pt idx="6">
                  <c:v>85.01360425</c:v>
                </c:pt>
                <c:pt idx="7">
                  <c:v>83.694305810000003</c:v>
                </c:pt>
                <c:pt idx="8">
                  <c:v>88.952783920000002</c:v>
                </c:pt>
                <c:pt idx="9">
                  <c:v>84.96101754</c:v>
                </c:pt>
                <c:pt idx="10">
                  <c:v>84.753510329999997</c:v>
                </c:pt>
                <c:pt idx="11">
                  <c:v>85.39669001</c:v>
                </c:pt>
                <c:pt idx="12">
                  <c:v>91.085218549999993</c:v>
                </c:pt>
                <c:pt idx="13">
                  <c:v>84.944099910000006</c:v>
                </c:pt>
                <c:pt idx="14">
                  <c:v>87.896341969999995</c:v>
                </c:pt>
                <c:pt idx="15">
                  <c:v>84.851769950000005</c:v>
                </c:pt>
              </c:numCache>
            </c:numRef>
          </c:xVal>
          <c:yVal>
            <c:numRef>
              <c:f>'L50g-xTB vs DFT'!$N$2:$N$17</c:f>
              <c:numCache>
                <c:formatCode>General</c:formatCode>
                <c:ptCount val="16"/>
                <c:pt idx="0">
                  <c:v>84.315894049999997</c:v>
                </c:pt>
                <c:pt idx="1">
                  <c:v>85.030792300000002</c:v>
                </c:pt>
                <c:pt idx="2">
                  <c:v>83.882705430000001</c:v>
                </c:pt>
                <c:pt idx="3">
                  <c:v>84.253102999999996</c:v>
                </c:pt>
                <c:pt idx="4">
                  <c:v>91.749671739999997</c:v>
                </c:pt>
                <c:pt idx="5">
                  <c:v>84.242707159999995</c:v>
                </c:pt>
                <c:pt idx="6">
                  <c:v>85.188671909999997</c:v>
                </c:pt>
                <c:pt idx="7">
                  <c:v>83.536115890000005</c:v>
                </c:pt>
                <c:pt idx="8">
                  <c:v>87.176174189999998</c:v>
                </c:pt>
                <c:pt idx="9">
                  <c:v>83.417228969999996</c:v>
                </c:pt>
                <c:pt idx="10">
                  <c:v>85.298437699999994</c:v>
                </c:pt>
                <c:pt idx="11">
                  <c:v>85.836145849999994</c:v>
                </c:pt>
                <c:pt idx="12">
                  <c:v>90.563608779999996</c:v>
                </c:pt>
                <c:pt idx="13">
                  <c:v>85.533040189999994</c:v>
                </c:pt>
                <c:pt idx="14">
                  <c:v>85.520716329999999</c:v>
                </c:pt>
                <c:pt idx="15">
                  <c:v>84.312209949999996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CFF-431A-BC4B-B3E4DE4605A5}"/>
            </c:ext>
          </c:extLst>
        </c:ser>
        <c:ser>
          <c:idx val="1"/>
          <c:order val="1"/>
          <c:tx>
            <c:v>Perfect line</c:v>
          </c:tx>
          <c:spPr>
            <a:ln w="25400" cap="rnd">
              <a:solidFill>
                <a:schemeClr val="bg1">
                  <a:lumMod val="8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'L50g-xTB vs DFT'!$M$2:$M$17</c:f>
              <c:numCache>
                <c:formatCode>General</c:formatCode>
                <c:ptCount val="16"/>
                <c:pt idx="0">
                  <c:v>85.044258429999999</c:v>
                </c:pt>
                <c:pt idx="1">
                  <c:v>85.370693079999995</c:v>
                </c:pt>
                <c:pt idx="2">
                  <c:v>84.327758939999995</c:v>
                </c:pt>
                <c:pt idx="3">
                  <c:v>85.14903151</c:v>
                </c:pt>
                <c:pt idx="4">
                  <c:v>92.023344660000006</c:v>
                </c:pt>
                <c:pt idx="5">
                  <c:v>82.87431334</c:v>
                </c:pt>
                <c:pt idx="6">
                  <c:v>85.01360425</c:v>
                </c:pt>
                <c:pt idx="7">
                  <c:v>83.694305810000003</c:v>
                </c:pt>
                <c:pt idx="8">
                  <c:v>88.952783920000002</c:v>
                </c:pt>
                <c:pt idx="9">
                  <c:v>84.96101754</c:v>
                </c:pt>
                <c:pt idx="10">
                  <c:v>84.753510329999997</c:v>
                </c:pt>
                <c:pt idx="11">
                  <c:v>85.39669001</c:v>
                </c:pt>
                <c:pt idx="12">
                  <c:v>91.085218549999993</c:v>
                </c:pt>
                <c:pt idx="13">
                  <c:v>84.944099910000006</c:v>
                </c:pt>
                <c:pt idx="14">
                  <c:v>87.896341969999995</c:v>
                </c:pt>
                <c:pt idx="15">
                  <c:v>84.851769950000005</c:v>
                </c:pt>
              </c:numCache>
            </c:numRef>
          </c:xVal>
          <c:yVal>
            <c:numRef>
              <c:f>'L50g-xTB vs DFT'!$T$2:$T$17</c:f>
              <c:numCache>
                <c:formatCode>General</c:formatCode>
                <c:ptCount val="16"/>
                <c:pt idx="0">
                  <c:v>85.044258429999999</c:v>
                </c:pt>
                <c:pt idx="1">
                  <c:v>85.370693079999995</c:v>
                </c:pt>
                <c:pt idx="2">
                  <c:v>84.327758939999995</c:v>
                </c:pt>
                <c:pt idx="3">
                  <c:v>85.14903151</c:v>
                </c:pt>
                <c:pt idx="4">
                  <c:v>92.023344660000006</c:v>
                </c:pt>
                <c:pt idx="5">
                  <c:v>82.87431334</c:v>
                </c:pt>
                <c:pt idx="6">
                  <c:v>85.01360425</c:v>
                </c:pt>
                <c:pt idx="7">
                  <c:v>83.694305810000003</c:v>
                </c:pt>
                <c:pt idx="8">
                  <c:v>88.952783920000002</c:v>
                </c:pt>
                <c:pt idx="9">
                  <c:v>84.96101754</c:v>
                </c:pt>
                <c:pt idx="10">
                  <c:v>84.753510329999997</c:v>
                </c:pt>
                <c:pt idx="11">
                  <c:v>85.39669001</c:v>
                </c:pt>
                <c:pt idx="12">
                  <c:v>91.085218549999993</c:v>
                </c:pt>
                <c:pt idx="13">
                  <c:v>84.944099910000006</c:v>
                </c:pt>
                <c:pt idx="14">
                  <c:v>87.896341969999995</c:v>
                </c:pt>
                <c:pt idx="15">
                  <c:v>84.851769950000005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CFF-431A-BC4B-B3E4DE460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5447664"/>
        <c:axId val="745434704"/>
      </c:scatterChart>
      <c:valAx>
        <c:axId val="745447664"/>
        <c:scaling>
          <c:orientation val="minMax"/>
          <c:max val="92.1"/>
          <c:min val="82.7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400" b="0" i="0" u="none" strike="noStrike" kern="1200" spc="0" baseline="0">
                    <a:solidFill>
                      <a:sysClr val="windowText" lastClr="000000"/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θ</a:t>
                </a:r>
                <a:r>
                  <a:rPr lang="en-GB" sz="1400" b="0" i="0" u="none" strike="noStrike" kern="1200" spc="0" baseline="-25000">
                    <a:solidFill>
                      <a:sysClr val="windowText" lastClr="000000"/>
                    </a:solidFill>
                    <a:effectLst/>
                    <a:latin typeface="+mn-lt"/>
                    <a:cs typeface="Times New Roman" panose="02020603050405020304" pitchFamily="18" charset="0"/>
                  </a:rPr>
                  <a:t>xTB</a:t>
                </a:r>
                <a:r>
                  <a:rPr lang="en-GB" sz="1400" b="0" i="0" u="none" strike="noStrike" kern="1200" baseline="0">
                    <a:solidFill>
                      <a:sysClr val="windowText" lastClr="000000"/>
                    </a:solidFill>
                  </a:rPr>
                  <a:t>(</a:t>
                </a:r>
                <a:r>
                  <a:rPr lang="en-IN" sz="1400" b="0" i="0" u="none" strike="noStrike" kern="1200" baseline="0">
                    <a:solidFill>
                      <a:sysClr val="windowText" lastClr="000000"/>
                    </a:solidFill>
                  </a:rPr>
                  <a:t>°</a:t>
                </a:r>
                <a:r>
                  <a:rPr lang="en-GB" sz="1400" b="0" i="0" u="none" strike="noStrike" kern="1200" baseline="0">
                    <a:solidFill>
                      <a:sysClr val="windowText" lastClr="000000"/>
                    </a:solidFill>
                  </a:rPr>
                  <a:t>)</a:t>
                </a:r>
                <a:endParaRPr lang="en-IN" sz="1400" b="0" i="0" u="none" strike="noStrike" kern="1200" baseline="-25000">
                  <a:solidFill>
                    <a:sysClr val="windowText" lastClr="000000"/>
                  </a:solidFill>
                  <a:latin typeface="+mn-lt"/>
                </a:endParaRPr>
              </a:p>
            </c:rich>
          </c:tx>
          <c:layout>
            <c:manualLayout>
              <c:xMode val="edge"/>
              <c:yMode val="edge"/>
              <c:x val="0.49824755086756867"/>
              <c:y val="0.7686358996792067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5434704"/>
        <c:crosses val="autoZero"/>
        <c:crossBetween val="midCat"/>
      </c:valAx>
      <c:valAx>
        <c:axId val="745434704"/>
        <c:scaling>
          <c:orientation val="minMax"/>
          <c:max val="92.1"/>
          <c:min val="82.8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400" b="0" i="0" u="none" strike="noStrike" kern="1200" spc="0" baseline="0">
                    <a:solidFill>
                      <a:sysClr val="windowText" lastClr="000000"/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θ</a:t>
                </a:r>
                <a:r>
                  <a:rPr lang="en-GB" sz="1400" b="0" i="0" u="none" strike="noStrike" kern="1200" spc="0" baseline="-25000">
                    <a:solidFill>
                      <a:sysClr val="windowText" lastClr="000000"/>
                    </a:solidFill>
                    <a:effectLst/>
                    <a:latin typeface="+mn-lt"/>
                    <a:cs typeface="Times New Roman" panose="02020603050405020304" pitchFamily="18" charset="0"/>
                  </a:rPr>
                  <a:t>DFT</a:t>
                </a:r>
                <a:r>
                  <a:rPr lang="en-GB" sz="1400" b="0" i="0" u="none" strike="noStrike" kern="1200" baseline="0">
                    <a:solidFill>
                      <a:sysClr val="windowText" lastClr="000000"/>
                    </a:solidFill>
                  </a:rPr>
                  <a:t>(</a:t>
                </a:r>
                <a:r>
                  <a:rPr lang="en-IN" sz="1400" b="0" i="0" u="none" strike="noStrike" kern="1200" baseline="0">
                    <a:solidFill>
                      <a:sysClr val="windowText" lastClr="000000"/>
                    </a:solidFill>
                  </a:rPr>
                  <a:t>°</a:t>
                </a:r>
                <a:r>
                  <a:rPr lang="en-GB" sz="1400" b="0" i="0" u="none" strike="noStrike" kern="1200" baseline="0">
                    <a:solidFill>
                      <a:sysClr val="windowText" lastClr="000000"/>
                    </a:solidFill>
                  </a:rPr>
                  <a:t>)</a:t>
                </a:r>
                <a:endParaRPr lang="en-IN" sz="1400" b="0" i="0" u="none" strike="noStrike" kern="1200" baseline="-25000">
                  <a:solidFill>
                    <a:sysClr val="windowText" lastClr="000000"/>
                  </a:solidFill>
                  <a:latin typeface="+mn-lt"/>
                </a:endParaRPr>
              </a:p>
            </c:rich>
          </c:tx>
          <c:layout>
            <c:manualLayout>
              <c:xMode val="edge"/>
              <c:yMode val="edge"/>
              <c:x val="2.7392030541636839E-4"/>
              <c:y val="0.4108675998833479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54476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4173655262233444E-2"/>
          <c:y val="0.86535688247302422"/>
          <c:w val="0.89165266841644797"/>
          <c:h val="8.371719160104987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GB" sz="1600" b="1" i="0" u="none" strike="noStrike" kern="1200" spc="0" baseline="0">
                <a:solidFill>
                  <a:sysClr val="windowText" lastClr="000000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Angle </a:t>
            </a:r>
            <a:r>
              <a:rPr lang="el-GR" sz="1600" b="1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β</a:t>
            </a:r>
            <a:r>
              <a:rPr lang="en-GB" sz="1600" b="1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1</a:t>
            </a:r>
            <a:r>
              <a:rPr lang="en-IN" sz="1600" b="1" i="0" u="none" strike="noStrike" kern="1200" spc="0" baseline="0">
                <a:solidFill>
                  <a:sysClr val="windowText" lastClr="000000"/>
                </a:solidFill>
                <a:effectLst/>
                <a:latin typeface="+mn-lt"/>
              </a:rPr>
              <a:t> </a:t>
            </a:r>
            <a:r>
              <a:rPr lang="en-US" sz="1600" b="1">
                <a:solidFill>
                  <a:sysClr val="windowText" lastClr="000000"/>
                </a:solidFill>
                <a:latin typeface="+mn-lt"/>
              </a:rPr>
              <a:t>  </a:t>
            </a:r>
          </a:p>
        </c:rich>
      </c:tx>
      <c:layout>
        <c:manualLayout>
          <c:xMode val="edge"/>
          <c:yMode val="edge"/>
          <c:x val="0.3953028565604057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6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0.10757228194528802"/>
          <c:y val="0.16912037037037039"/>
          <c:w val="0.84452666717631175"/>
          <c:h val="0.53841243802857974"/>
        </c:manualLayout>
      </c:layout>
      <c:scatterChart>
        <c:scatterStyle val="lineMarker"/>
        <c:varyColors val="0"/>
        <c:ser>
          <c:idx val="0"/>
          <c:order val="0"/>
          <c:tx>
            <c:v>Data points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25400" cap="rnd">
                <a:solidFill>
                  <a:schemeClr val="accent6">
                    <a:lumMod val="75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5283106567272059"/>
                  <c:y val="-0.12745370370370371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1000" b="1" i="0" u="none" strike="noStrike" kern="1200" baseline="0">
                        <a:solidFill>
                          <a:sysClr val="windowText" lastClr="00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l-GR" sz="1000" b="1" i="0" u="none" strike="noStrike" baseline="0">
                        <a:effectLst/>
                      </a:rPr>
                      <a:t>β</a:t>
                    </a:r>
                    <a:r>
                      <a:rPr lang="en-GB" sz="1000" b="1" i="0" u="none" strike="noStrike" baseline="0">
                        <a:effectLst/>
                      </a:rPr>
                      <a:t>1</a:t>
                    </a:r>
                    <a:r>
                      <a:rPr lang="en-GB" sz="1000" b="1" i="0" u="none" strike="noStrike" baseline="-25000">
                        <a:effectLst/>
                      </a:rPr>
                      <a:t>DFT</a:t>
                    </a:r>
                    <a:r>
                      <a:rPr lang="en-US" b="1" baseline="0"/>
                      <a:t> = 0.74</a:t>
                    </a:r>
                    <a:r>
                      <a:rPr lang="el-GR" sz="1000" b="1" i="0" u="none" strike="noStrike" baseline="0">
                        <a:effectLst/>
                      </a:rPr>
                      <a:t>β</a:t>
                    </a:r>
                    <a:r>
                      <a:rPr lang="en-GB" sz="1000" b="1" i="0" u="none" strike="noStrike" baseline="0">
                        <a:effectLst/>
                      </a:rPr>
                      <a:t>1</a:t>
                    </a:r>
                    <a:r>
                      <a:rPr lang="en-GB" sz="1000" b="1" i="0" u="none" strike="noStrike" baseline="-25000">
                        <a:effectLst/>
                      </a:rPr>
                      <a:t>xTB</a:t>
                    </a:r>
                    <a:r>
                      <a:rPr lang="en-US" b="1" baseline="0"/>
                      <a:t> + 31.07</a:t>
                    </a:r>
                    <a:br>
                      <a:rPr lang="en-US" b="1" baseline="0"/>
                    </a:br>
                    <a:r>
                      <a:rPr lang="en-US" b="1" baseline="0"/>
                      <a:t>R² = 0.61</a:t>
                    </a:r>
                  </a:p>
                  <a:p>
                    <a:pPr>
                      <a:defRPr sz="1000" b="1">
                        <a:solidFill>
                          <a:sysClr val="windowText" lastClr="000000"/>
                        </a:solidFill>
                      </a:defRPr>
                    </a:pPr>
                    <a:r>
                      <a:rPr lang="en-US" b="1" baseline="0"/>
                      <a:t>Pearson R = 0.78</a:t>
                    </a:r>
                  </a:p>
                  <a:p>
                    <a:pPr>
                      <a:defRPr sz="1000" b="1">
                        <a:solidFill>
                          <a:sysClr val="windowText" lastClr="000000"/>
                        </a:solidFill>
                      </a:defRPr>
                    </a:pPr>
                    <a:r>
                      <a:rPr lang="en-US" b="1" baseline="0"/>
                      <a:t>MAE = 6.84</a:t>
                    </a:r>
                    <a:r>
                      <a:rPr lang="en-IN" sz="1000" b="1" i="0" u="none" strike="noStrike" baseline="0">
                        <a:effectLst/>
                      </a:rPr>
                      <a:t>°</a:t>
                    </a:r>
                    <a:endParaRPr lang="en-US" b="1" baseline="0"/>
                  </a:p>
                  <a:p>
                    <a:pPr>
                      <a:defRPr sz="1000" b="1">
                        <a:solidFill>
                          <a:sysClr val="windowText" lastClr="000000"/>
                        </a:solidFill>
                      </a:defRPr>
                    </a:pPr>
                    <a:r>
                      <a:rPr lang="en-US" b="1" baseline="0"/>
                      <a:t>RMSE = 7.94</a:t>
                    </a:r>
                    <a:r>
                      <a:rPr lang="en-IN" sz="1000" b="1" i="0" u="none" strike="noStrike" baseline="0">
                        <a:effectLst/>
                      </a:rPr>
                      <a:t>°</a:t>
                    </a:r>
                    <a:endParaRPr lang="en-US" b="1" baseline="0"/>
                  </a:p>
                  <a:p>
                    <a:pPr>
                      <a:defRPr sz="1000" b="1">
                        <a:solidFill>
                          <a:sysClr val="windowText" lastClr="000000"/>
                        </a:solidFill>
                      </a:defRPr>
                    </a:pPr>
                    <a:r>
                      <a:rPr lang="en-US" b="1" baseline="0"/>
                      <a:t>N = 16</a:t>
                    </a:r>
                    <a:endParaRPr lang="en-US" b="1"/>
                  </a:p>
                </c:rich>
              </c:tx>
              <c:numFmt formatCode="General" sourceLinked="0"/>
              <c:spPr>
                <a:solidFill>
                  <a:schemeClr val="bg1">
                    <a:lumMod val="9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'L50g-xTB vs DFT'!$AA$2:$AA$17</c:f>
              <c:numCache>
                <c:formatCode>General</c:formatCode>
                <c:ptCount val="16"/>
                <c:pt idx="0">
                  <c:v>121.2004554</c:v>
                </c:pt>
                <c:pt idx="1">
                  <c:v>134.97255430000001</c:v>
                </c:pt>
                <c:pt idx="2">
                  <c:v>126.22751479999999</c:v>
                </c:pt>
                <c:pt idx="3">
                  <c:v>151.3036439</c:v>
                </c:pt>
                <c:pt idx="4">
                  <c:v>137.4693001</c:v>
                </c:pt>
                <c:pt idx="5">
                  <c:v>139.6384501</c:v>
                </c:pt>
                <c:pt idx="6">
                  <c:v>140.0695059</c:v>
                </c:pt>
                <c:pt idx="7">
                  <c:v>134.62152570000001</c:v>
                </c:pt>
                <c:pt idx="8">
                  <c:v>153.9050038</c:v>
                </c:pt>
                <c:pt idx="9">
                  <c:v>125.8983829</c:v>
                </c:pt>
                <c:pt idx="10">
                  <c:v>128.94315539999999</c:v>
                </c:pt>
                <c:pt idx="11">
                  <c:v>144.74006270000001</c:v>
                </c:pt>
                <c:pt idx="12">
                  <c:v>134.7651554</c:v>
                </c:pt>
                <c:pt idx="13">
                  <c:v>153.33740900000001</c:v>
                </c:pt>
                <c:pt idx="14">
                  <c:v>150.81747609999999</c:v>
                </c:pt>
                <c:pt idx="15">
                  <c:v>146.22319379999999</c:v>
                </c:pt>
              </c:numCache>
            </c:numRef>
          </c:xVal>
          <c:yVal>
            <c:numRef>
              <c:f>'L50g-xTB vs DFT'!$AB$2:$AB$17</c:f>
              <c:numCache>
                <c:formatCode>General</c:formatCode>
                <c:ptCount val="16"/>
                <c:pt idx="0">
                  <c:v>113.9491232</c:v>
                </c:pt>
                <c:pt idx="1">
                  <c:v>132.88440220000001</c:v>
                </c:pt>
                <c:pt idx="2">
                  <c:v>132.81226599999999</c:v>
                </c:pt>
                <c:pt idx="3">
                  <c:v>134.2930854</c:v>
                </c:pt>
                <c:pt idx="4">
                  <c:v>134.4658259</c:v>
                </c:pt>
                <c:pt idx="5">
                  <c:v>149.17985110000001</c:v>
                </c:pt>
                <c:pt idx="6">
                  <c:v>135.97963050000001</c:v>
                </c:pt>
                <c:pt idx="7">
                  <c:v>129.1053282</c:v>
                </c:pt>
                <c:pt idx="8">
                  <c:v>145.95119560000001</c:v>
                </c:pt>
                <c:pt idx="9">
                  <c:v>119.0862504</c:v>
                </c:pt>
                <c:pt idx="10">
                  <c:v>124.6177173</c:v>
                </c:pt>
                <c:pt idx="11">
                  <c:v>147.2682811</c:v>
                </c:pt>
                <c:pt idx="12">
                  <c:v>132.84956159999999</c:v>
                </c:pt>
                <c:pt idx="13">
                  <c:v>144.2960191</c:v>
                </c:pt>
                <c:pt idx="14">
                  <c:v>142.64667209999999</c:v>
                </c:pt>
                <c:pt idx="15">
                  <c:v>132.5405432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3FA-468E-A603-6E3DAFCEDD6B}"/>
            </c:ext>
          </c:extLst>
        </c:ser>
        <c:ser>
          <c:idx val="1"/>
          <c:order val="1"/>
          <c:tx>
            <c:v>Perfect line</c:v>
          </c:tx>
          <c:spPr>
            <a:ln w="25400" cap="rnd">
              <a:solidFill>
                <a:schemeClr val="bg1">
                  <a:lumMod val="8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'L50g-xTB vs DFT'!$AA$2:$AA$17</c:f>
              <c:numCache>
                <c:formatCode>General</c:formatCode>
                <c:ptCount val="16"/>
                <c:pt idx="0">
                  <c:v>121.2004554</c:v>
                </c:pt>
                <c:pt idx="1">
                  <c:v>134.97255430000001</c:v>
                </c:pt>
                <c:pt idx="2">
                  <c:v>126.22751479999999</c:v>
                </c:pt>
                <c:pt idx="3">
                  <c:v>151.3036439</c:v>
                </c:pt>
                <c:pt idx="4">
                  <c:v>137.4693001</c:v>
                </c:pt>
                <c:pt idx="5">
                  <c:v>139.6384501</c:v>
                </c:pt>
                <c:pt idx="6">
                  <c:v>140.0695059</c:v>
                </c:pt>
                <c:pt idx="7">
                  <c:v>134.62152570000001</c:v>
                </c:pt>
                <c:pt idx="8">
                  <c:v>153.9050038</c:v>
                </c:pt>
                <c:pt idx="9">
                  <c:v>125.8983829</c:v>
                </c:pt>
                <c:pt idx="10">
                  <c:v>128.94315539999999</c:v>
                </c:pt>
                <c:pt idx="11">
                  <c:v>144.74006270000001</c:v>
                </c:pt>
                <c:pt idx="12">
                  <c:v>134.7651554</c:v>
                </c:pt>
                <c:pt idx="13">
                  <c:v>153.33740900000001</c:v>
                </c:pt>
                <c:pt idx="14">
                  <c:v>150.81747609999999</c:v>
                </c:pt>
                <c:pt idx="15">
                  <c:v>146.22319379999999</c:v>
                </c:pt>
              </c:numCache>
            </c:numRef>
          </c:xVal>
          <c:yVal>
            <c:numRef>
              <c:f>'L50g-xTB vs DFT'!$AH$2:$AH$17</c:f>
              <c:numCache>
                <c:formatCode>General</c:formatCode>
                <c:ptCount val="16"/>
                <c:pt idx="0">
                  <c:v>121.2004554</c:v>
                </c:pt>
                <c:pt idx="1">
                  <c:v>134.97255430000001</c:v>
                </c:pt>
                <c:pt idx="2">
                  <c:v>126.22751479999999</c:v>
                </c:pt>
                <c:pt idx="3">
                  <c:v>151.3036439</c:v>
                </c:pt>
                <c:pt idx="4">
                  <c:v>137.4693001</c:v>
                </c:pt>
                <c:pt idx="5">
                  <c:v>139.6384501</c:v>
                </c:pt>
                <c:pt idx="6">
                  <c:v>140.0695059</c:v>
                </c:pt>
                <c:pt idx="7">
                  <c:v>134.62152570000001</c:v>
                </c:pt>
                <c:pt idx="8">
                  <c:v>153.9050038</c:v>
                </c:pt>
                <c:pt idx="9">
                  <c:v>125.8983829</c:v>
                </c:pt>
                <c:pt idx="10">
                  <c:v>128.94315539999999</c:v>
                </c:pt>
                <c:pt idx="11">
                  <c:v>144.74006270000001</c:v>
                </c:pt>
                <c:pt idx="12">
                  <c:v>134.7651554</c:v>
                </c:pt>
                <c:pt idx="13">
                  <c:v>153.33740900000001</c:v>
                </c:pt>
                <c:pt idx="14">
                  <c:v>150.81747609999999</c:v>
                </c:pt>
                <c:pt idx="15">
                  <c:v>146.22319379999999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3FA-468E-A603-6E3DAFCEDD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5447664"/>
        <c:axId val="745434704"/>
      </c:scatterChart>
      <c:valAx>
        <c:axId val="745447664"/>
        <c:scaling>
          <c:orientation val="minMax"/>
          <c:max val="154"/>
          <c:min val="12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400" b="0" i="0" u="none" strike="noStrike" kern="1200" spc="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β</a:t>
                </a:r>
                <a:r>
                  <a:rPr lang="en-GB" sz="1400" b="0" i="0" u="none" strike="noStrike" kern="1200" spc="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1</a:t>
                </a:r>
                <a:r>
                  <a:rPr lang="en-GB" sz="1400" b="0" i="0" u="none" strike="noStrike" kern="1200" spc="0" baseline="-25000">
                    <a:solidFill>
                      <a:sysClr val="windowText" lastClr="000000"/>
                    </a:solidFill>
                    <a:effectLst/>
                    <a:latin typeface="+mn-lt"/>
                    <a:cs typeface="Times New Roman" panose="02020603050405020304" pitchFamily="18" charset="0"/>
                  </a:rPr>
                  <a:t>xTB</a:t>
                </a:r>
                <a:r>
                  <a:rPr lang="en-GB" sz="1400" b="0" i="0" u="none" strike="noStrike" kern="1200" baseline="0">
                    <a:solidFill>
                      <a:sysClr val="windowText" lastClr="000000"/>
                    </a:solidFill>
                  </a:rPr>
                  <a:t>(</a:t>
                </a:r>
                <a:r>
                  <a:rPr lang="en-IN" sz="1400" b="0" i="0" u="none" strike="noStrike" kern="1200" baseline="0">
                    <a:solidFill>
                      <a:sysClr val="windowText" lastClr="000000"/>
                    </a:solidFill>
                  </a:rPr>
                  <a:t>°</a:t>
                </a:r>
                <a:r>
                  <a:rPr lang="en-GB" sz="1400" b="0" i="0" u="none" strike="noStrike" kern="1200" baseline="0">
                    <a:solidFill>
                      <a:sysClr val="windowText" lastClr="000000"/>
                    </a:solidFill>
                  </a:rPr>
                  <a:t>)</a:t>
                </a:r>
                <a:endParaRPr lang="en-IN" sz="1400" b="0" i="0" u="none" strike="noStrike" kern="1200" baseline="-25000">
                  <a:solidFill>
                    <a:sysClr val="windowText" lastClr="000000"/>
                  </a:solidFill>
                  <a:latin typeface="+mn-lt"/>
                </a:endParaRPr>
              </a:p>
            </c:rich>
          </c:tx>
          <c:layout>
            <c:manualLayout>
              <c:xMode val="edge"/>
              <c:yMode val="edge"/>
              <c:x val="0.49824755086756867"/>
              <c:y val="0.7686358996792067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5434704"/>
        <c:crosses val="autoZero"/>
        <c:crossBetween val="midCat"/>
      </c:valAx>
      <c:valAx>
        <c:axId val="745434704"/>
        <c:scaling>
          <c:orientation val="minMax"/>
          <c:max val="154"/>
          <c:min val="113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400" b="0" i="0" u="none" strike="noStrike" kern="1200" spc="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β</a:t>
                </a:r>
                <a:r>
                  <a:rPr lang="en-GB" sz="1400" b="0" i="0" u="none" strike="noStrike" kern="1200" spc="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1</a:t>
                </a:r>
                <a:r>
                  <a:rPr lang="en-GB" sz="1400" b="0" i="0" u="none" strike="noStrike" kern="1200" spc="0" baseline="-25000">
                    <a:solidFill>
                      <a:sysClr val="windowText" lastClr="000000"/>
                    </a:solidFill>
                    <a:effectLst/>
                    <a:latin typeface="+mn-lt"/>
                    <a:cs typeface="Times New Roman" panose="02020603050405020304" pitchFamily="18" charset="0"/>
                  </a:rPr>
                  <a:t>DFT</a:t>
                </a:r>
                <a:r>
                  <a:rPr lang="en-GB" sz="1400" b="0" i="0" u="none" strike="noStrike" kern="1200" baseline="0">
                    <a:solidFill>
                      <a:sysClr val="windowText" lastClr="000000"/>
                    </a:solidFill>
                  </a:rPr>
                  <a:t>(</a:t>
                </a:r>
                <a:r>
                  <a:rPr lang="en-IN" sz="1400" b="0" i="0" u="none" strike="noStrike" kern="1200" baseline="0">
                    <a:solidFill>
                      <a:sysClr val="windowText" lastClr="000000"/>
                    </a:solidFill>
                  </a:rPr>
                  <a:t>°</a:t>
                </a:r>
                <a:r>
                  <a:rPr lang="en-GB" sz="1400" b="0" i="0" u="none" strike="noStrike" kern="1200" baseline="0">
                    <a:solidFill>
                      <a:sysClr val="windowText" lastClr="000000"/>
                    </a:solidFill>
                  </a:rPr>
                  <a:t>)</a:t>
                </a:r>
                <a:endParaRPr lang="en-IN" sz="1400" b="0" i="0" u="none" strike="noStrike" kern="1200" baseline="-25000">
                  <a:solidFill>
                    <a:sysClr val="windowText" lastClr="000000"/>
                  </a:solidFill>
                  <a:latin typeface="+mn-lt"/>
                </a:endParaRPr>
              </a:p>
            </c:rich>
          </c:tx>
          <c:layout>
            <c:manualLayout>
              <c:xMode val="edge"/>
              <c:yMode val="edge"/>
              <c:x val="2.7392030541636839E-4"/>
              <c:y val="0.4108675998833479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54476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4173655262233444E-2"/>
          <c:y val="0.86535688247302422"/>
          <c:w val="0.89165266841644797"/>
          <c:h val="8.371719160104987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GB" sz="1600" b="1" i="0" u="none" strike="noStrike" kern="1200" spc="0" baseline="0">
                <a:solidFill>
                  <a:sysClr val="windowText" lastClr="000000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Angle </a:t>
            </a:r>
            <a:r>
              <a:rPr lang="el-GR" sz="1600" b="1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β</a:t>
            </a:r>
            <a:r>
              <a:rPr lang="en-GB" sz="1600" b="1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2</a:t>
            </a:r>
            <a:r>
              <a:rPr lang="en-IN" sz="1600" b="1" i="0" u="none" strike="noStrike" kern="1200" spc="0" baseline="0">
                <a:solidFill>
                  <a:sysClr val="windowText" lastClr="000000"/>
                </a:solidFill>
                <a:effectLst/>
                <a:latin typeface="+mn-lt"/>
              </a:rPr>
              <a:t> </a:t>
            </a:r>
            <a:r>
              <a:rPr lang="en-US" sz="1600" b="1">
                <a:solidFill>
                  <a:sysClr val="windowText" lastClr="000000"/>
                </a:solidFill>
                <a:latin typeface="+mn-lt"/>
              </a:rPr>
              <a:t>  </a:t>
            </a:r>
          </a:p>
        </c:rich>
      </c:tx>
      <c:layout>
        <c:manualLayout>
          <c:xMode val="edge"/>
          <c:yMode val="edge"/>
          <c:x val="0.43007388886595621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6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0.10757228194528802"/>
          <c:y val="0.16912037037037039"/>
          <c:w val="0.84452666717631175"/>
          <c:h val="0.53841243802857974"/>
        </c:manualLayout>
      </c:layout>
      <c:scatterChart>
        <c:scatterStyle val="lineMarker"/>
        <c:varyColors val="0"/>
        <c:ser>
          <c:idx val="0"/>
          <c:order val="0"/>
          <c:tx>
            <c:v>Data points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25400" cap="rnd">
                <a:solidFill>
                  <a:schemeClr val="accent6">
                    <a:lumMod val="75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5124015102948225"/>
                  <c:y val="-0.19689814814814816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1000" b="1" i="0" u="none" strike="noStrike" kern="1200" baseline="0">
                        <a:solidFill>
                          <a:sysClr val="windowText" lastClr="00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l-GR" sz="1000" b="1" i="0" u="none" strike="noStrike" baseline="0">
                        <a:effectLst/>
                      </a:rPr>
                      <a:t>β</a:t>
                    </a:r>
                    <a:r>
                      <a:rPr lang="en-GB" sz="1000" b="1" i="0" u="none" strike="noStrike" baseline="0">
                        <a:effectLst/>
                      </a:rPr>
                      <a:t>2</a:t>
                    </a:r>
                    <a:r>
                      <a:rPr lang="en-GB" sz="1000" b="1" i="0" u="none" strike="noStrike" baseline="-25000">
                        <a:effectLst/>
                      </a:rPr>
                      <a:t>DFT</a:t>
                    </a:r>
                    <a:r>
                      <a:rPr lang="en-US" b="1" baseline="0"/>
                      <a:t> = 0.78</a:t>
                    </a:r>
                    <a:r>
                      <a:rPr lang="el-GR" sz="1000" b="1" i="0" u="none" strike="noStrike" baseline="0">
                        <a:effectLst/>
                      </a:rPr>
                      <a:t>β</a:t>
                    </a:r>
                    <a:r>
                      <a:rPr lang="en-GB" sz="1000" b="1" i="0" u="none" strike="noStrike" baseline="0">
                        <a:effectLst/>
                      </a:rPr>
                      <a:t>2</a:t>
                    </a:r>
                    <a:r>
                      <a:rPr lang="en-GB" sz="1000" b="1" i="0" u="none" strike="noStrike" baseline="-25000">
                        <a:effectLst/>
                      </a:rPr>
                      <a:t>xTB</a:t>
                    </a:r>
                    <a:r>
                      <a:rPr lang="en-US" b="1" baseline="0"/>
                      <a:t> + 35.68</a:t>
                    </a:r>
                    <a:br>
                      <a:rPr lang="en-US" b="1" baseline="0"/>
                    </a:br>
                    <a:r>
                      <a:rPr lang="en-US" b="1" baseline="0"/>
                      <a:t>R² = 0.65</a:t>
                    </a:r>
                  </a:p>
                  <a:p>
                    <a:pPr>
                      <a:defRPr sz="1000" b="1">
                        <a:solidFill>
                          <a:sysClr val="windowText" lastClr="000000"/>
                        </a:solidFill>
                      </a:defRPr>
                    </a:pPr>
                    <a:r>
                      <a:rPr lang="en-US" b="1" baseline="0"/>
                      <a:t>Pearson R = 0.81</a:t>
                    </a:r>
                  </a:p>
                  <a:p>
                    <a:pPr>
                      <a:defRPr sz="1000" b="1">
                        <a:solidFill>
                          <a:sysClr val="windowText" lastClr="000000"/>
                        </a:solidFill>
                      </a:defRPr>
                    </a:pPr>
                    <a:r>
                      <a:rPr lang="en-US" b="1" baseline="0"/>
                      <a:t>MAE = 7.53</a:t>
                    </a:r>
                    <a:r>
                      <a:rPr lang="en-IN" sz="1000" b="1" i="0" u="none" strike="noStrike" baseline="0">
                        <a:effectLst/>
                      </a:rPr>
                      <a:t>°</a:t>
                    </a:r>
                  </a:p>
                  <a:p>
                    <a:pPr>
                      <a:defRPr sz="1000" b="1">
                        <a:solidFill>
                          <a:sysClr val="windowText" lastClr="000000"/>
                        </a:solidFill>
                      </a:defRPr>
                    </a:pPr>
                    <a:r>
                      <a:rPr lang="en-US" b="1" baseline="0"/>
                      <a:t>RMSE = 8.95</a:t>
                    </a:r>
                    <a:r>
                      <a:rPr lang="en-IN" sz="1000" b="1" i="0" u="none" strike="noStrike" baseline="0">
                        <a:effectLst/>
                      </a:rPr>
                      <a:t>°</a:t>
                    </a:r>
                    <a:endParaRPr lang="en-US" b="1" baseline="0"/>
                  </a:p>
                  <a:p>
                    <a:pPr>
                      <a:defRPr sz="1000" b="1">
                        <a:solidFill>
                          <a:sysClr val="windowText" lastClr="000000"/>
                        </a:solidFill>
                      </a:defRPr>
                    </a:pPr>
                    <a:r>
                      <a:rPr lang="en-US" b="1" baseline="0"/>
                      <a:t>N = 16</a:t>
                    </a:r>
                    <a:endParaRPr lang="en-US" b="1"/>
                  </a:p>
                </c:rich>
              </c:tx>
              <c:numFmt formatCode="General" sourceLinked="0"/>
              <c:spPr>
                <a:solidFill>
                  <a:schemeClr val="bg1">
                    <a:lumMod val="9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'L50g-xTB vs DFT'!$AN$2:$AN$17</c:f>
              <c:numCache>
                <c:formatCode>General</c:formatCode>
                <c:ptCount val="16"/>
                <c:pt idx="0">
                  <c:v>153.2023786</c:v>
                </c:pt>
                <c:pt idx="1">
                  <c:v>139.5846027</c:v>
                </c:pt>
                <c:pt idx="2">
                  <c:v>149.07712140000001</c:v>
                </c:pt>
                <c:pt idx="3">
                  <c:v>123.5455255</c:v>
                </c:pt>
                <c:pt idx="4">
                  <c:v>127.9290237</c:v>
                </c:pt>
                <c:pt idx="5">
                  <c:v>130.2347551</c:v>
                </c:pt>
                <c:pt idx="6">
                  <c:v>134.90489299999999</c:v>
                </c:pt>
                <c:pt idx="7">
                  <c:v>140.84900010000001</c:v>
                </c:pt>
                <c:pt idx="8">
                  <c:v>111.7451444</c:v>
                </c:pt>
                <c:pt idx="9">
                  <c:v>143.9075929</c:v>
                </c:pt>
                <c:pt idx="10">
                  <c:v>145.63021230000001</c:v>
                </c:pt>
                <c:pt idx="11">
                  <c:v>129.4943715</c:v>
                </c:pt>
                <c:pt idx="12">
                  <c:v>133.98963470000001</c:v>
                </c:pt>
                <c:pt idx="13">
                  <c:v>120.0013965</c:v>
                </c:pt>
                <c:pt idx="14">
                  <c:v>118.77536790000001</c:v>
                </c:pt>
                <c:pt idx="15">
                  <c:v>127.556984</c:v>
                </c:pt>
              </c:numCache>
            </c:numRef>
          </c:xVal>
          <c:yVal>
            <c:numRef>
              <c:f>'L50g-xTB vs DFT'!$AO$2:$AO$17</c:f>
              <c:numCache>
                <c:formatCode>General</c:formatCode>
                <c:ptCount val="16"/>
                <c:pt idx="0">
                  <c:v>159.64336130000001</c:v>
                </c:pt>
                <c:pt idx="1">
                  <c:v>141.8810574</c:v>
                </c:pt>
                <c:pt idx="2">
                  <c:v>143.16980380000001</c:v>
                </c:pt>
                <c:pt idx="3">
                  <c:v>141.41591550000001</c:v>
                </c:pt>
                <c:pt idx="4">
                  <c:v>130.31081270000001</c:v>
                </c:pt>
                <c:pt idx="5">
                  <c:v>124.426672</c:v>
                </c:pt>
                <c:pt idx="6">
                  <c:v>138.8287569</c:v>
                </c:pt>
                <c:pt idx="7">
                  <c:v>146.72692480000001</c:v>
                </c:pt>
                <c:pt idx="8">
                  <c:v>120.7098756</c:v>
                </c:pt>
                <c:pt idx="9">
                  <c:v>156.7786328</c:v>
                </c:pt>
                <c:pt idx="10">
                  <c:v>150.0304639</c:v>
                </c:pt>
                <c:pt idx="11">
                  <c:v>126.84978409999999</c:v>
                </c:pt>
                <c:pt idx="12">
                  <c:v>136.5072529</c:v>
                </c:pt>
                <c:pt idx="13">
                  <c:v>130.10383680000001</c:v>
                </c:pt>
                <c:pt idx="14">
                  <c:v>131.83159670000001</c:v>
                </c:pt>
                <c:pt idx="15">
                  <c:v>143.0466887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7E5-4B97-914D-7C5000053D7D}"/>
            </c:ext>
          </c:extLst>
        </c:ser>
        <c:ser>
          <c:idx val="1"/>
          <c:order val="1"/>
          <c:tx>
            <c:v>Perfect line</c:v>
          </c:tx>
          <c:spPr>
            <a:ln w="25400" cap="rnd">
              <a:solidFill>
                <a:schemeClr val="bg1">
                  <a:lumMod val="8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'L50g-xTB vs DFT'!$AN$2:$AN$17</c:f>
              <c:numCache>
                <c:formatCode>General</c:formatCode>
                <c:ptCount val="16"/>
                <c:pt idx="0">
                  <c:v>153.2023786</c:v>
                </c:pt>
                <c:pt idx="1">
                  <c:v>139.5846027</c:v>
                </c:pt>
                <c:pt idx="2">
                  <c:v>149.07712140000001</c:v>
                </c:pt>
                <c:pt idx="3">
                  <c:v>123.5455255</c:v>
                </c:pt>
                <c:pt idx="4">
                  <c:v>127.9290237</c:v>
                </c:pt>
                <c:pt idx="5">
                  <c:v>130.2347551</c:v>
                </c:pt>
                <c:pt idx="6">
                  <c:v>134.90489299999999</c:v>
                </c:pt>
                <c:pt idx="7">
                  <c:v>140.84900010000001</c:v>
                </c:pt>
                <c:pt idx="8">
                  <c:v>111.7451444</c:v>
                </c:pt>
                <c:pt idx="9">
                  <c:v>143.9075929</c:v>
                </c:pt>
                <c:pt idx="10">
                  <c:v>145.63021230000001</c:v>
                </c:pt>
                <c:pt idx="11">
                  <c:v>129.4943715</c:v>
                </c:pt>
                <c:pt idx="12">
                  <c:v>133.98963470000001</c:v>
                </c:pt>
                <c:pt idx="13">
                  <c:v>120.0013965</c:v>
                </c:pt>
                <c:pt idx="14">
                  <c:v>118.77536790000001</c:v>
                </c:pt>
                <c:pt idx="15">
                  <c:v>127.556984</c:v>
                </c:pt>
              </c:numCache>
            </c:numRef>
          </c:xVal>
          <c:yVal>
            <c:numRef>
              <c:f>'L50g-xTB vs DFT'!$AU$2:$AU$17</c:f>
              <c:numCache>
                <c:formatCode>General</c:formatCode>
                <c:ptCount val="16"/>
                <c:pt idx="0">
                  <c:v>153.2023786</c:v>
                </c:pt>
                <c:pt idx="1">
                  <c:v>139.5846027</c:v>
                </c:pt>
                <c:pt idx="2">
                  <c:v>149.07712140000001</c:v>
                </c:pt>
                <c:pt idx="3">
                  <c:v>123.5455255</c:v>
                </c:pt>
                <c:pt idx="4">
                  <c:v>127.9290237</c:v>
                </c:pt>
                <c:pt idx="5">
                  <c:v>130.2347551</c:v>
                </c:pt>
                <c:pt idx="6">
                  <c:v>134.90489299999999</c:v>
                </c:pt>
                <c:pt idx="7">
                  <c:v>140.84900010000001</c:v>
                </c:pt>
                <c:pt idx="8">
                  <c:v>111.7451444</c:v>
                </c:pt>
                <c:pt idx="9">
                  <c:v>143.9075929</c:v>
                </c:pt>
                <c:pt idx="10">
                  <c:v>145.63021230000001</c:v>
                </c:pt>
                <c:pt idx="11">
                  <c:v>129.4943715</c:v>
                </c:pt>
                <c:pt idx="12">
                  <c:v>133.98963470000001</c:v>
                </c:pt>
                <c:pt idx="13">
                  <c:v>120.0013965</c:v>
                </c:pt>
                <c:pt idx="14">
                  <c:v>118.77536790000001</c:v>
                </c:pt>
                <c:pt idx="15">
                  <c:v>127.556984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7E5-4B97-914D-7C5000053D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5447664"/>
        <c:axId val="745434704"/>
      </c:scatterChart>
      <c:valAx>
        <c:axId val="745447664"/>
        <c:scaling>
          <c:orientation val="minMax"/>
          <c:max val="154"/>
          <c:min val="11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400" b="0" i="0" u="none" strike="noStrike" kern="1200" spc="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β</a:t>
                </a:r>
                <a:r>
                  <a:rPr lang="en-GB" sz="1400" b="0" i="0" u="none" strike="noStrike" kern="1200" spc="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2</a:t>
                </a:r>
                <a:r>
                  <a:rPr lang="en-GB" sz="1400" b="0" i="0" u="none" strike="noStrike" kern="1200" spc="0" baseline="-25000">
                    <a:solidFill>
                      <a:sysClr val="windowText" lastClr="000000"/>
                    </a:solidFill>
                    <a:effectLst/>
                    <a:latin typeface="+mn-lt"/>
                    <a:cs typeface="Times New Roman" panose="02020603050405020304" pitchFamily="18" charset="0"/>
                  </a:rPr>
                  <a:t>xTB</a:t>
                </a:r>
                <a:r>
                  <a:rPr lang="en-GB" sz="1400" b="0" i="0" u="none" strike="noStrike" kern="1200" baseline="0">
                    <a:solidFill>
                      <a:sysClr val="windowText" lastClr="000000"/>
                    </a:solidFill>
                  </a:rPr>
                  <a:t>(</a:t>
                </a:r>
                <a:r>
                  <a:rPr lang="en-IN" sz="1400" b="0" i="0" u="none" strike="noStrike" kern="1200" baseline="0">
                    <a:solidFill>
                      <a:sysClr val="windowText" lastClr="000000"/>
                    </a:solidFill>
                  </a:rPr>
                  <a:t>°</a:t>
                </a:r>
                <a:r>
                  <a:rPr lang="en-GB" sz="1400" b="0" i="0" u="none" strike="noStrike" kern="1200" baseline="0">
                    <a:solidFill>
                      <a:sysClr val="windowText" lastClr="000000"/>
                    </a:solidFill>
                  </a:rPr>
                  <a:t>)</a:t>
                </a:r>
                <a:endParaRPr lang="en-IN" sz="1400" b="0" i="0" u="none" strike="noStrike" kern="1200" baseline="-25000">
                  <a:solidFill>
                    <a:sysClr val="windowText" lastClr="000000"/>
                  </a:solidFill>
                  <a:latin typeface="+mn-lt"/>
                </a:endParaRPr>
              </a:p>
            </c:rich>
          </c:tx>
          <c:layout>
            <c:manualLayout>
              <c:xMode val="edge"/>
              <c:yMode val="edge"/>
              <c:x val="0.49824755086756867"/>
              <c:y val="0.7686358996792067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5434704"/>
        <c:crosses val="autoZero"/>
        <c:crossBetween val="midCat"/>
      </c:valAx>
      <c:valAx>
        <c:axId val="745434704"/>
        <c:scaling>
          <c:orientation val="minMax"/>
          <c:max val="160"/>
          <c:min val="11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400" b="0" i="0" u="none" strike="noStrike" kern="1200" spc="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β</a:t>
                </a:r>
                <a:r>
                  <a:rPr lang="en-GB" sz="1400" b="0" i="0" u="none" strike="noStrike" kern="1200" spc="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2</a:t>
                </a:r>
                <a:r>
                  <a:rPr lang="en-GB" sz="1400" b="0" i="0" u="none" strike="noStrike" kern="1200" spc="0" baseline="-25000">
                    <a:solidFill>
                      <a:sysClr val="windowText" lastClr="000000"/>
                    </a:solidFill>
                    <a:effectLst/>
                    <a:latin typeface="+mn-lt"/>
                    <a:cs typeface="Times New Roman" panose="02020603050405020304" pitchFamily="18" charset="0"/>
                  </a:rPr>
                  <a:t>DFT</a:t>
                </a:r>
                <a:r>
                  <a:rPr lang="en-GB" sz="1400" b="0" i="0" u="none" strike="noStrike" kern="1200" baseline="0">
                    <a:solidFill>
                      <a:sysClr val="windowText" lastClr="000000"/>
                    </a:solidFill>
                  </a:rPr>
                  <a:t>(</a:t>
                </a:r>
                <a:r>
                  <a:rPr lang="en-IN" sz="1400" b="0" i="0" u="none" strike="noStrike" kern="1200" baseline="0">
                    <a:solidFill>
                      <a:sysClr val="windowText" lastClr="000000"/>
                    </a:solidFill>
                  </a:rPr>
                  <a:t>°</a:t>
                </a:r>
                <a:r>
                  <a:rPr lang="en-GB" sz="1400" b="0" i="0" u="none" strike="noStrike" kern="1200" baseline="0">
                    <a:solidFill>
                      <a:sysClr val="windowText" lastClr="000000"/>
                    </a:solidFill>
                  </a:rPr>
                  <a:t>)</a:t>
                </a:r>
                <a:endParaRPr lang="en-IN" sz="1400" b="0" i="0" u="none" strike="noStrike" kern="1200" baseline="-25000">
                  <a:solidFill>
                    <a:sysClr val="windowText" lastClr="000000"/>
                  </a:solidFill>
                  <a:latin typeface="+mn-lt"/>
                </a:endParaRPr>
              </a:p>
            </c:rich>
          </c:tx>
          <c:layout>
            <c:manualLayout>
              <c:xMode val="edge"/>
              <c:yMode val="edge"/>
              <c:x val="2.7392030541636839E-4"/>
              <c:y val="0.4108675998833479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54476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4173655262233444E-2"/>
          <c:y val="0.86535688247302422"/>
          <c:w val="0.89165266841644797"/>
          <c:h val="8.371719160104987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IN" sz="1600" b="1" i="0" u="none" strike="noStrike" kern="1200" spc="0" baseline="0">
                <a:solidFill>
                  <a:sysClr val="windowText" lastClr="000000"/>
                </a:solidFill>
                <a:effectLst/>
                <a:latin typeface="+mn-lt"/>
              </a:rPr>
              <a:t>Angle </a:t>
            </a:r>
            <a:r>
              <a:rPr lang="el-GR" sz="1600" b="1" i="0" u="none" strike="noStrike" kern="1200" spc="0" baseline="0">
                <a:solidFill>
                  <a:sysClr val="windowText" lastClr="000000"/>
                </a:solidFill>
                <a:effectLst/>
                <a:latin typeface="+mn-lt"/>
                <a:cs typeface="Times New Roman" panose="02020603050405020304" pitchFamily="18" charset="0"/>
              </a:rPr>
              <a:t>α</a:t>
            </a:r>
            <a:r>
              <a:rPr lang="en-IN" sz="1600" b="1" i="0" u="none" strike="noStrike" kern="1200" spc="0" baseline="0">
                <a:solidFill>
                  <a:sysClr val="windowText" lastClr="000000"/>
                </a:solidFill>
                <a:effectLst/>
                <a:latin typeface="+mn-lt"/>
              </a:rPr>
              <a:t> </a:t>
            </a:r>
            <a:r>
              <a:rPr lang="en-US" sz="1600" b="1">
                <a:solidFill>
                  <a:sysClr val="windowText" lastClr="000000"/>
                </a:solidFill>
                <a:latin typeface="+mn-lt"/>
              </a:rPr>
              <a:t>  </a:t>
            </a:r>
          </a:p>
        </c:rich>
      </c:tx>
      <c:layout>
        <c:manualLayout>
          <c:xMode val="edge"/>
          <c:yMode val="edge"/>
          <c:x val="0.4675195631534565"/>
          <c:y val="4.6296296296296294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6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0.12009178909879256"/>
          <c:y val="0.15060185185185185"/>
          <c:w val="0.83200717972296079"/>
          <c:h val="0.55693095654709823"/>
        </c:manualLayout>
      </c:layout>
      <c:scatterChart>
        <c:scatterStyle val="lineMarker"/>
        <c:varyColors val="0"/>
        <c:ser>
          <c:idx val="0"/>
          <c:order val="0"/>
          <c:tx>
            <c:v>Data points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25400" cap="rnd">
                <a:solidFill>
                  <a:schemeClr val="accent6">
                    <a:lumMod val="75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54168390122429244"/>
                  <c:y val="-9.0416666666666673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1000" b="1" i="0" u="none" strike="noStrike" kern="1200" baseline="0">
                        <a:solidFill>
                          <a:sysClr val="windowText" lastClr="00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l-GR" sz="1000" b="1" i="0" u="none" strike="noStrike" baseline="0">
                        <a:effectLst/>
                      </a:rPr>
                      <a:t>α</a:t>
                    </a:r>
                    <a:r>
                      <a:rPr lang="en-GB" sz="1000" b="1" i="0" u="none" strike="noStrike" baseline="-25000">
                        <a:effectLst/>
                      </a:rPr>
                      <a:t>DFT</a:t>
                    </a:r>
                    <a:r>
                      <a:rPr lang="en-US" sz="1000" b="1" baseline="0"/>
                      <a:t> = 1.19</a:t>
                    </a:r>
                    <a:r>
                      <a:rPr lang="el-GR" sz="1000" b="1" i="0" u="none" strike="noStrike" baseline="0">
                        <a:effectLst/>
                      </a:rPr>
                      <a:t>α</a:t>
                    </a:r>
                    <a:r>
                      <a:rPr lang="en-GB" sz="1000" b="1" i="0" u="none" strike="noStrike" baseline="-25000">
                        <a:effectLst/>
                      </a:rPr>
                      <a:t>xTB</a:t>
                    </a:r>
                    <a:r>
                      <a:rPr lang="en-US" sz="1000" b="1" baseline="0"/>
                      <a:t> - 20.79</a:t>
                    </a:r>
                    <a:br>
                      <a:rPr lang="en-US" sz="1000" b="1" baseline="0"/>
                    </a:br>
                    <a:r>
                      <a:rPr lang="en-US" sz="1000" b="1" baseline="0"/>
                      <a:t>R² = 0.76</a:t>
                    </a:r>
                  </a:p>
                  <a:p>
                    <a:pPr>
                      <a:defRPr sz="1000" b="1">
                        <a:solidFill>
                          <a:sysClr val="windowText" lastClr="000000"/>
                        </a:solidFill>
                      </a:defRPr>
                    </a:pPr>
                    <a:r>
                      <a:rPr lang="en-US" sz="1000" b="1" baseline="0"/>
                      <a:t>Pearson R = 0.87</a:t>
                    </a:r>
                  </a:p>
                  <a:p>
                    <a:pPr>
                      <a:defRPr sz="1000" b="1">
                        <a:solidFill>
                          <a:sysClr val="windowText" lastClr="000000"/>
                        </a:solidFill>
                      </a:defRPr>
                    </a:pPr>
                    <a:r>
                      <a:rPr lang="en-US" sz="1000" b="1" baseline="0"/>
                      <a:t>MAE = 1.23</a:t>
                    </a:r>
                  </a:p>
                  <a:p>
                    <a:pPr>
                      <a:defRPr sz="1000" b="1">
                        <a:solidFill>
                          <a:sysClr val="windowText" lastClr="000000"/>
                        </a:solidFill>
                      </a:defRPr>
                    </a:pPr>
                    <a:r>
                      <a:rPr lang="en-US" sz="1000" b="1" baseline="0"/>
                      <a:t>RMSE = 1.32</a:t>
                    </a:r>
                  </a:p>
                  <a:p>
                    <a:pPr>
                      <a:defRPr sz="1000" b="1">
                        <a:solidFill>
                          <a:sysClr val="windowText" lastClr="000000"/>
                        </a:solidFill>
                      </a:defRPr>
                    </a:pPr>
                    <a:r>
                      <a:rPr lang="en-US" sz="1000" b="1" baseline="0"/>
                      <a:t>N = 15</a:t>
                    </a:r>
                  </a:p>
                </c:rich>
              </c:tx>
              <c:numFmt formatCode="General" sourceLinked="0"/>
              <c:spPr>
                <a:solidFill>
                  <a:schemeClr val="bg1">
                    <a:lumMod val="9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'L10g-xtb vs DFT'!$B$2:$B$16</c:f>
              <c:numCache>
                <c:formatCode>General</c:formatCode>
                <c:ptCount val="15"/>
                <c:pt idx="0">
                  <c:v>116.26892960000001</c:v>
                </c:pt>
                <c:pt idx="1">
                  <c:v>116.83102270000001</c:v>
                </c:pt>
                <c:pt idx="2">
                  <c:v>116.73299489999999</c:v>
                </c:pt>
                <c:pt idx="3">
                  <c:v>116.7945934</c:v>
                </c:pt>
                <c:pt idx="4">
                  <c:v>116.9029177</c:v>
                </c:pt>
                <c:pt idx="5">
                  <c:v>116.6173763</c:v>
                </c:pt>
                <c:pt idx="6">
                  <c:v>116.9218317</c:v>
                </c:pt>
                <c:pt idx="7">
                  <c:v>116.4310936</c:v>
                </c:pt>
                <c:pt idx="8">
                  <c:v>114.7025277</c:v>
                </c:pt>
                <c:pt idx="9">
                  <c:v>116.7115506</c:v>
                </c:pt>
                <c:pt idx="10">
                  <c:v>115.6750421</c:v>
                </c:pt>
                <c:pt idx="11">
                  <c:v>116.8801325</c:v>
                </c:pt>
                <c:pt idx="12">
                  <c:v>114.83924690000001</c:v>
                </c:pt>
                <c:pt idx="13">
                  <c:v>116.5916142</c:v>
                </c:pt>
                <c:pt idx="14">
                  <c:v>116.71749749999999</c:v>
                </c:pt>
              </c:numCache>
            </c:numRef>
          </c:xVal>
          <c:yVal>
            <c:numRef>
              <c:f>'L10g-xtb vs DFT'!$C$2:$C$16</c:f>
              <c:numCache>
                <c:formatCode>General</c:formatCode>
                <c:ptCount val="15"/>
                <c:pt idx="0">
                  <c:v>118.0307656</c:v>
                </c:pt>
                <c:pt idx="1">
                  <c:v>118.80741020000001</c:v>
                </c:pt>
                <c:pt idx="2">
                  <c:v>118.1420226</c:v>
                </c:pt>
                <c:pt idx="3">
                  <c:v>118.0294718</c:v>
                </c:pt>
                <c:pt idx="4">
                  <c:v>118.1522217</c:v>
                </c:pt>
                <c:pt idx="5">
                  <c:v>118.0641548</c:v>
                </c:pt>
                <c:pt idx="6">
                  <c:v>117.4017369</c:v>
                </c:pt>
                <c:pt idx="7">
                  <c:v>118.15358329999999</c:v>
                </c:pt>
                <c:pt idx="8">
                  <c:v>116.08679189999999</c:v>
                </c:pt>
                <c:pt idx="9">
                  <c:v>117.3950153</c:v>
                </c:pt>
                <c:pt idx="10">
                  <c:v>116.7937336</c:v>
                </c:pt>
                <c:pt idx="11">
                  <c:v>118.15156229999999</c:v>
                </c:pt>
                <c:pt idx="12">
                  <c:v>115.01340020000001</c:v>
                </c:pt>
                <c:pt idx="13">
                  <c:v>117.44210169999999</c:v>
                </c:pt>
                <c:pt idx="14">
                  <c:v>118.4225816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C20-4691-9B6E-91A5BE71F743}"/>
            </c:ext>
          </c:extLst>
        </c:ser>
        <c:ser>
          <c:idx val="1"/>
          <c:order val="1"/>
          <c:tx>
            <c:v>Perfect line</c:v>
          </c:tx>
          <c:spPr>
            <a:ln w="25400" cap="rnd">
              <a:solidFill>
                <a:schemeClr val="bg1">
                  <a:lumMod val="8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'L10g-xtb vs DFT'!$B$2:$B$16</c:f>
              <c:numCache>
                <c:formatCode>General</c:formatCode>
                <c:ptCount val="15"/>
                <c:pt idx="0">
                  <c:v>116.26892960000001</c:v>
                </c:pt>
                <c:pt idx="1">
                  <c:v>116.83102270000001</c:v>
                </c:pt>
                <c:pt idx="2">
                  <c:v>116.73299489999999</c:v>
                </c:pt>
                <c:pt idx="3">
                  <c:v>116.7945934</c:v>
                </c:pt>
                <c:pt idx="4">
                  <c:v>116.9029177</c:v>
                </c:pt>
                <c:pt idx="5">
                  <c:v>116.6173763</c:v>
                </c:pt>
                <c:pt idx="6">
                  <c:v>116.9218317</c:v>
                </c:pt>
                <c:pt idx="7">
                  <c:v>116.4310936</c:v>
                </c:pt>
                <c:pt idx="8">
                  <c:v>114.7025277</c:v>
                </c:pt>
                <c:pt idx="9">
                  <c:v>116.7115506</c:v>
                </c:pt>
                <c:pt idx="10">
                  <c:v>115.6750421</c:v>
                </c:pt>
                <c:pt idx="11">
                  <c:v>116.8801325</c:v>
                </c:pt>
                <c:pt idx="12">
                  <c:v>114.83924690000001</c:v>
                </c:pt>
                <c:pt idx="13">
                  <c:v>116.5916142</c:v>
                </c:pt>
                <c:pt idx="14">
                  <c:v>116.71749749999999</c:v>
                </c:pt>
              </c:numCache>
            </c:numRef>
          </c:xVal>
          <c:yVal>
            <c:numRef>
              <c:f>'L10g-xtb vs DFT'!$I$2:$I$16</c:f>
              <c:numCache>
                <c:formatCode>General</c:formatCode>
                <c:ptCount val="15"/>
                <c:pt idx="0">
                  <c:v>116.26892960000001</c:v>
                </c:pt>
                <c:pt idx="1">
                  <c:v>116.83102270000001</c:v>
                </c:pt>
                <c:pt idx="2">
                  <c:v>116.73299489999999</c:v>
                </c:pt>
                <c:pt idx="3">
                  <c:v>116.7945934</c:v>
                </c:pt>
                <c:pt idx="4">
                  <c:v>116.9029177</c:v>
                </c:pt>
                <c:pt idx="5">
                  <c:v>116.6173763</c:v>
                </c:pt>
                <c:pt idx="6">
                  <c:v>116.9218317</c:v>
                </c:pt>
                <c:pt idx="7">
                  <c:v>116.4310936</c:v>
                </c:pt>
                <c:pt idx="8">
                  <c:v>114.7025277</c:v>
                </c:pt>
                <c:pt idx="9">
                  <c:v>116.7115506</c:v>
                </c:pt>
                <c:pt idx="10">
                  <c:v>115.6750421</c:v>
                </c:pt>
                <c:pt idx="11">
                  <c:v>116.8801325</c:v>
                </c:pt>
                <c:pt idx="12">
                  <c:v>114.83924690000001</c:v>
                </c:pt>
                <c:pt idx="13">
                  <c:v>116.5916142</c:v>
                </c:pt>
                <c:pt idx="14">
                  <c:v>116.71749749999999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C20-4691-9B6E-91A5BE71F7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5447664"/>
        <c:axId val="745434704"/>
      </c:scatterChart>
      <c:valAx>
        <c:axId val="745447664"/>
        <c:scaling>
          <c:orientation val="minMax"/>
          <c:max val="117"/>
          <c:min val="114.6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400" b="0" i="0" u="none" strike="noStrike" kern="1200" spc="0" baseline="0">
                    <a:solidFill>
                      <a:sysClr val="windowText" lastClr="000000"/>
                    </a:solidFill>
                    <a:effectLst/>
                    <a:latin typeface="+mn-lt"/>
                    <a:cs typeface="Times New Roman" panose="02020603050405020304" pitchFamily="18" charset="0"/>
                  </a:rPr>
                  <a:t>α</a:t>
                </a:r>
                <a:r>
                  <a:rPr lang="en-GB" sz="1400" b="0" i="0" u="none" strike="noStrike" kern="1200" spc="0" baseline="-25000">
                    <a:solidFill>
                      <a:sysClr val="windowText" lastClr="000000"/>
                    </a:solidFill>
                    <a:effectLst/>
                    <a:latin typeface="+mn-lt"/>
                    <a:cs typeface="Times New Roman" panose="02020603050405020304" pitchFamily="18" charset="0"/>
                  </a:rPr>
                  <a:t>xTB</a:t>
                </a:r>
                <a:r>
                  <a:rPr lang="en-GB" sz="1400" b="0" i="0" u="none" strike="noStrike" kern="1200" baseline="0">
                    <a:solidFill>
                      <a:sysClr val="windowText" lastClr="000000"/>
                    </a:solidFill>
                  </a:rPr>
                  <a:t>(</a:t>
                </a:r>
                <a:r>
                  <a:rPr lang="en-IN" sz="1400" b="0" i="0" u="none" strike="noStrike" kern="1200" baseline="0">
                    <a:solidFill>
                      <a:sysClr val="windowText" lastClr="000000"/>
                    </a:solidFill>
                  </a:rPr>
                  <a:t>°</a:t>
                </a:r>
                <a:r>
                  <a:rPr lang="en-GB" sz="1400" b="0" i="0" u="none" strike="noStrike" kern="1200" baseline="0">
                    <a:solidFill>
                      <a:sysClr val="windowText" lastClr="000000"/>
                    </a:solidFill>
                  </a:rPr>
                  <a:t>)</a:t>
                </a:r>
                <a:endParaRPr lang="en-IN" sz="1400" b="0" i="0" u="none" strike="noStrike" kern="1200" baseline="-25000">
                  <a:solidFill>
                    <a:sysClr val="windowText" lastClr="000000"/>
                  </a:solidFill>
                  <a:latin typeface="+mn-lt"/>
                </a:endParaRPr>
              </a:p>
            </c:rich>
          </c:tx>
          <c:layout>
            <c:manualLayout>
              <c:xMode val="edge"/>
              <c:yMode val="edge"/>
              <c:x val="0.49824755086756867"/>
              <c:y val="0.7686358996792067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5434704"/>
        <c:crosses val="autoZero"/>
        <c:crossBetween val="midCat"/>
      </c:valAx>
      <c:valAx>
        <c:axId val="745434704"/>
        <c:scaling>
          <c:orientation val="minMax"/>
          <c:max val="119"/>
          <c:min val="114.6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400" b="0" i="0" u="none" strike="noStrike" kern="1200" spc="0" baseline="0">
                    <a:solidFill>
                      <a:sysClr val="windowText" lastClr="000000"/>
                    </a:solidFill>
                    <a:effectLst/>
                    <a:latin typeface="+mn-lt"/>
                    <a:cs typeface="Times New Roman" panose="02020603050405020304" pitchFamily="18" charset="0"/>
                  </a:rPr>
                  <a:t>α</a:t>
                </a:r>
                <a:r>
                  <a:rPr lang="en-GB" sz="1400" b="0" i="0" u="none" strike="noStrike" kern="1200" spc="0" baseline="-25000">
                    <a:solidFill>
                      <a:sysClr val="windowText" lastClr="000000"/>
                    </a:solidFill>
                    <a:effectLst/>
                    <a:latin typeface="+mn-lt"/>
                    <a:cs typeface="Times New Roman" panose="02020603050405020304" pitchFamily="18" charset="0"/>
                  </a:rPr>
                  <a:t>DFT</a:t>
                </a:r>
                <a:r>
                  <a:rPr lang="en-GB" sz="1400" b="0" i="0" u="none" strike="noStrike" kern="1200" baseline="0">
                    <a:solidFill>
                      <a:sysClr val="windowText" lastClr="000000"/>
                    </a:solidFill>
                  </a:rPr>
                  <a:t>(</a:t>
                </a:r>
                <a:r>
                  <a:rPr lang="en-IN" sz="1400" b="0" i="0" u="none" strike="noStrike" kern="1200" baseline="0">
                    <a:solidFill>
                      <a:sysClr val="windowText" lastClr="000000"/>
                    </a:solidFill>
                  </a:rPr>
                  <a:t>°</a:t>
                </a:r>
                <a:r>
                  <a:rPr lang="en-GB" sz="1400" b="0" i="0" u="none" strike="noStrike" kern="1200" baseline="0">
                    <a:solidFill>
                      <a:sysClr val="windowText" lastClr="000000"/>
                    </a:solidFill>
                  </a:rPr>
                  <a:t>)</a:t>
                </a:r>
                <a:endParaRPr lang="en-IN" sz="1400" b="0" i="0" u="none" strike="noStrike" kern="1200" baseline="-25000">
                  <a:solidFill>
                    <a:sysClr val="windowText" lastClr="000000"/>
                  </a:solidFill>
                  <a:latin typeface="+mn-lt"/>
                </a:endParaRPr>
              </a:p>
            </c:rich>
          </c:tx>
          <c:layout>
            <c:manualLayout>
              <c:xMode val="edge"/>
              <c:yMode val="edge"/>
              <c:x val="2.7392030541636839E-4"/>
              <c:y val="0.4108675998833479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54476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4173655262233444E-2"/>
          <c:y val="0.86535688247302422"/>
          <c:w val="0.89165266841644797"/>
          <c:h val="8.371719160104987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IN" sz="1600" b="1" i="0" u="none" strike="noStrike" kern="1200" spc="0" baseline="0">
                <a:solidFill>
                  <a:sysClr val="windowText" lastClr="000000"/>
                </a:solidFill>
                <a:effectLst/>
                <a:latin typeface="+mn-lt"/>
              </a:rPr>
              <a:t>Bite angle </a:t>
            </a:r>
            <a:r>
              <a:rPr lang="el-GR" sz="1600" b="1" i="0" u="none" strike="noStrike" kern="1200" spc="0" baseline="0">
                <a:solidFill>
                  <a:sysClr val="windowText" lastClr="000000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θ</a:t>
            </a:r>
            <a:r>
              <a:rPr lang="en-IN" sz="1600" b="1" i="0" u="none" strike="noStrike" kern="1200" spc="0" baseline="0">
                <a:solidFill>
                  <a:sysClr val="windowText" lastClr="000000"/>
                </a:solidFill>
                <a:effectLst/>
                <a:latin typeface="+mn-lt"/>
              </a:rPr>
              <a:t> </a:t>
            </a:r>
            <a:r>
              <a:rPr lang="en-US" sz="1600" b="1">
                <a:solidFill>
                  <a:sysClr val="windowText" lastClr="000000"/>
                </a:solidFill>
                <a:latin typeface="+mn-lt"/>
              </a:rPr>
              <a:t>  </a:t>
            </a:r>
          </a:p>
        </c:rich>
      </c:tx>
      <c:layout>
        <c:manualLayout>
          <c:xMode val="edge"/>
          <c:yMode val="edge"/>
          <c:x val="0.3953028565604057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6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0.10757228194528802"/>
          <c:y val="0.16912037037037039"/>
          <c:w val="0.84452666717631175"/>
          <c:h val="0.53841243802857974"/>
        </c:manualLayout>
      </c:layout>
      <c:scatterChart>
        <c:scatterStyle val="lineMarker"/>
        <c:varyColors val="0"/>
        <c:ser>
          <c:idx val="0"/>
          <c:order val="0"/>
          <c:tx>
            <c:v>Data points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25400" cap="rnd">
                <a:solidFill>
                  <a:schemeClr val="accent6">
                    <a:lumMod val="75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3714665646773987"/>
                  <c:y val="-0.15060185185185185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1000" b="1" i="0" u="none" strike="noStrike" kern="1200" baseline="0">
                        <a:solidFill>
                          <a:sysClr val="windowText" lastClr="00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l-GR" sz="1000" b="1" i="0" u="none" strike="noStrike" baseline="0">
                        <a:effectLst/>
                      </a:rPr>
                      <a:t>θ</a:t>
                    </a:r>
                    <a:r>
                      <a:rPr lang="en-GB" sz="1000" b="1" i="0" u="none" strike="noStrike" baseline="-25000">
                        <a:effectLst/>
                      </a:rPr>
                      <a:t>DFT</a:t>
                    </a:r>
                    <a:r>
                      <a:rPr lang="en-US" b="1" baseline="0"/>
                      <a:t> = 0.68</a:t>
                    </a:r>
                    <a:r>
                      <a:rPr lang="el-GR" sz="1000" b="1" i="0" u="none" strike="noStrike" baseline="0">
                        <a:effectLst/>
                      </a:rPr>
                      <a:t>θ</a:t>
                    </a:r>
                    <a:r>
                      <a:rPr lang="en-GB" sz="1000" b="1" i="0" u="none" strike="noStrike" baseline="-25000">
                        <a:effectLst/>
                      </a:rPr>
                      <a:t>xTB</a:t>
                    </a:r>
                    <a:r>
                      <a:rPr lang="en-US" b="1" baseline="0"/>
                      <a:t> + 33.482</a:t>
                    </a:r>
                    <a:br>
                      <a:rPr lang="en-US" b="1" baseline="0"/>
                    </a:br>
                    <a:r>
                      <a:rPr lang="en-US" b="1" baseline="0"/>
                      <a:t>R² = 0.86</a:t>
                    </a:r>
                  </a:p>
                  <a:p>
                    <a:pPr>
                      <a:defRPr sz="1000" b="1">
                        <a:solidFill>
                          <a:sysClr val="windowText" lastClr="000000"/>
                        </a:solidFill>
                      </a:defRPr>
                    </a:pPr>
                    <a:r>
                      <a:rPr lang="en-US" b="1" baseline="0"/>
                      <a:t>Pearson R = 0.93</a:t>
                    </a:r>
                  </a:p>
                  <a:p>
                    <a:pPr>
                      <a:defRPr sz="1000" b="1">
                        <a:solidFill>
                          <a:sysClr val="windowText" lastClr="000000"/>
                        </a:solidFill>
                      </a:defRPr>
                    </a:pPr>
                    <a:r>
                      <a:rPr lang="en-US" b="1" baseline="0"/>
                      <a:t>MAE = 1.79</a:t>
                    </a:r>
                    <a:r>
                      <a:rPr lang="en-IN" sz="1000" b="1" i="0" u="none" strike="noStrike" baseline="0">
                        <a:effectLst/>
                      </a:rPr>
                      <a:t>°</a:t>
                    </a:r>
                    <a:endParaRPr lang="en-US" b="1" baseline="0"/>
                  </a:p>
                  <a:p>
                    <a:pPr>
                      <a:defRPr sz="1000" b="1">
                        <a:solidFill>
                          <a:sysClr val="windowText" lastClr="000000"/>
                        </a:solidFill>
                      </a:defRPr>
                    </a:pPr>
                    <a:r>
                      <a:rPr lang="en-US" b="1" baseline="0"/>
                      <a:t>RMSE = 2.16</a:t>
                    </a:r>
                    <a:r>
                      <a:rPr lang="en-IN" sz="1000" b="1" i="0" u="none" strike="noStrike" baseline="0">
                        <a:effectLst/>
                      </a:rPr>
                      <a:t>°</a:t>
                    </a:r>
                    <a:endParaRPr lang="en-US" b="1" baseline="0"/>
                  </a:p>
                  <a:p>
                    <a:pPr>
                      <a:defRPr sz="1000" b="1">
                        <a:solidFill>
                          <a:sysClr val="windowText" lastClr="000000"/>
                        </a:solidFill>
                      </a:defRPr>
                    </a:pPr>
                    <a:r>
                      <a:rPr lang="en-US" b="1" baseline="0"/>
                      <a:t>N = 15</a:t>
                    </a:r>
                    <a:endParaRPr lang="en-US" b="1"/>
                  </a:p>
                </c:rich>
              </c:tx>
              <c:numFmt formatCode="General" sourceLinked="0"/>
              <c:spPr>
                <a:solidFill>
                  <a:schemeClr val="bg1">
                    <a:lumMod val="9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'L10g-xtb vs DFT'!$M$2:$M$16</c:f>
              <c:numCache>
                <c:formatCode>General</c:formatCode>
                <c:ptCount val="15"/>
                <c:pt idx="0">
                  <c:v>104.2583101</c:v>
                </c:pt>
                <c:pt idx="1">
                  <c:v>98.716403029999995</c:v>
                </c:pt>
                <c:pt idx="2">
                  <c:v>100.47319589999999</c:v>
                </c:pt>
                <c:pt idx="3">
                  <c:v>104.5088185</c:v>
                </c:pt>
                <c:pt idx="4">
                  <c:v>100.46163919999999</c:v>
                </c:pt>
                <c:pt idx="5">
                  <c:v>111.9289788</c:v>
                </c:pt>
                <c:pt idx="6">
                  <c:v>112.7491132</c:v>
                </c:pt>
                <c:pt idx="7">
                  <c:v>100.411658</c:v>
                </c:pt>
                <c:pt idx="8">
                  <c:v>105.6510251</c:v>
                </c:pt>
                <c:pt idx="9">
                  <c:v>108.99644000000001</c:v>
                </c:pt>
                <c:pt idx="10">
                  <c:v>100.68572589999999</c:v>
                </c:pt>
                <c:pt idx="11">
                  <c:v>100.4285051</c:v>
                </c:pt>
                <c:pt idx="12">
                  <c:v>101.9461158</c:v>
                </c:pt>
                <c:pt idx="13">
                  <c:v>106.48178350000001</c:v>
                </c:pt>
                <c:pt idx="14">
                  <c:v>115.46171390000001</c:v>
                </c:pt>
              </c:numCache>
            </c:numRef>
          </c:xVal>
          <c:yVal>
            <c:numRef>
              <c:f>'L10g-xtb vs DFT'!$N$2:$N$16</c:f>
              <c:numCache>
                <c:formatCode>General</c:formatCode>
                <c:ptCount val="15"/>
                <c:pt idx="0">
                  <c:v>105.58440950000001</c:v>
                </c:pt>
                <c:pt idx="1">
                  <c:v>100.6490429</c:v>
                </c:pt>
                <c:pt idx="2">
                  <c:v>101.1050104</c:v>
                </c:pt>
                <c:pt idx="3">
                  <c:v>106.2838847</c:v>
                </c:pt>
                <c:pt idx="4">
                  <c:v>102.2050007</c:v>
                </c:pt>
                <c:pt idx="5">
                  <c:v>108.02647159999999</c:v>
                </c:pt>
                <c:pt idx="6">
                  <c:v>112.1929552</c:v>
                </c:pt>
                <c:pt idx="7">
                  <c:v>101.2959599</c:v>
                </c:pt>
                <c:pt idx="8">
                  <c:v>106.8637552</c:v>
                </c:pt>
                <c:pt idx="9">
                  <c:v>107.9060738</c:v>
                </c:pt>
                <c:pt idx="10">
                  <c:v>105.603694</c:v>
                </c:pt>
                <c:pt idx="11">
                  <c:v>102.22845890000001</c:v>
                </c:pt>
                <c:pt idx="12">
                  <c:v>100.9572079</c:v>
                </c:pt>
                <c:pt idx="13">
                  <c:v>105.2386753</c:v>
                </c:pt>
                <c:pt idx="14">
                  <c:v>112.5082154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CE5-4504-B4F6-152A05F6C881}"/>
            </c:ext>
          </c:extLst>
        </c:ser>
        <c:ser>
          <c:idx val="1"/>
          <c:order val="1"/>
          <c:tx>
            <c:v>Perfect line</c:v>
          </c:tx>
          <c:spPr>
            <a:ln w="25400" cap="rnd">
              <a:solidFill>
                <a:schemeClr val="bg1">
                  <a:lumMod val="8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'L10g-xtb vs DFT'!$M$2:$M$16</c:f>
              <c:numCache>
                <c:formatCode>General</c:formatCode>
                <c:ptCount val="15"/>
                <c:pt idx="0">
                  <c:v>104.2583101</c:v>
                </c:pt>
                <c:pt idx="1">
                  <c:v>98.716403029999995</c:v>
                </c:pt>
                <c:pt idx="2">
                  <c:v>100.47319589999999</c:v>
                </c:pt>
                <c:pt idx="3">
                  <c:v>104.5088185</c:v>
                </c:pt>
                <c:pt idx="4">
                  <c:v>100.46163919999999</c:v>
                </c:pt>
                <c:pt idx="5">
                  <c:v>111.9289788</c:v>
                </c:pt>
                <c:pt idx="6">
                  <c:v>112.7491132</c:v>
                </c:pt>
                <c:pt idx="7">
                  <c:v>100.411658</c:v>
                </c:pt>
                <c:pt idx="8">
                  <c:v>105.6510251</c:v>
                </c:pt>
                <c:pt idx="9">
                  <c:v>108.99644000000001</c:v>
                </c:pt>
                <c:pt idx="10">
                  <c:v>100.68572589999999</c:v>
                </c:pt>
                <c:pt idx="11">
                  <c:v>100.4285051</c:v>
                </c:pt>
                <c:pt idx="12">
                  <c:v>101.9461158</c:v>
                </c:pt>
                <c:pt idx="13">
                  <c:v>106.48178350000001</c:v>
                </c:pt>
                <c:pt idx="14">
                  <c:v>115.46171390000001</c:v>
                </c:pt>
              </c:numCache>
            </c:numRef>
          </c:xVal>
          <c:yVal>
            <c:numRef>
              <c:f>'L10g-xtb vs DFT'!$T$2:$T$16</c:f>
              <c:numCache>
                <c:formatCode>General</c:formatCode>
                <c:ptCount val="15"/>
                <c:pt idx="0">
                  <c:v>104.2583101</c:v>
                </c:pt>
                <c:pt idx="1">
                  <c:v>98.716403029999995</c:v>
                </c:pt>
                <c:pt idx="2">
                  <c:v>100.47319589999999</c:v>
                </c:pt>
                <c:pt idx="3">
                  <c:v>104.5088185</c:v>
                </c:pt>
                <c:pt idx="4">
                  <c:v>100.46163919999999</c:v>
                </c:pt>
                <c:pt idx="5">
                  <c:v>111.9289788</c:v>
                </c:pt>
                <c:pt idx="6">
                  <c:v>112.7491132</c:v>
                </c:pt>
                <c:pt idx="7">
                  <c:v>100.411658</c:v>
                </c:pt>
                <c:pt idx="8">
                  <c:v>105.6510251</c:v>
                </c:pt>
                <c:pt idx="9">
                  <c:v>108.99644000000001</c:v>
                </c:pt>
                <c:pt idx="10">
                  <c:v>100.68572589999999</c:v>
                </c:pt>
                <c:pt idx="11">
                  <c:v>100.4285051</c:v>
                </c:pt>
                <c:pt idx="12">
                  <c:v>101.9461158</c:v>
                </c:pt>
                <c:pt idx="13">
                  <c:v>106.48178350000001</c:v>
                </c:pt>
                <c:pt idx="14">
                  <c:v>115.46171390000001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CE5-4504-B4F6-152A05F6C8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5447664"/>
        <c:axId val="745434704"/>
      </c:scatterChart>
      <c:valAx>
        <c:axId val="745447664"/>
        <c:scaling>
          <c:orientation val="minMax"/>
          <c:min val="98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400" b="0" i="0" u="none" strike="noStrike" kern="1200" spc="0" baseline="0">
                    <a:solidFill>
                      <a:sysClr val="windowText" lastClr="000000"/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θ</a:t>
                </a:r>
                <a:r>
                  <a:rPr lang="en-GB" sz="1400" b="0" i="0" u="none" strike="noStrike" kern="1200" spc="0" baseline="-25000">
                    <a:solidFill>
                      <a:sysClr val="windowText" lastClr="000000"/>
                    </a:solidFill>
                    <a:effectLst/>
                    <a:latin typeface="+mn-lt"/>
                    <a:cs typeface="Times New Roman" panose="02020603050405020304" pitchFamily="18" charset="0"/>
                  </a:rPr>
                  <a:t>xTB</a:t>
                </a:r>
                <a:r>
                  <a:rPr lang="en-GB" sz="1400" b="0" i="0" u="none" strike="noStrike" kern="1200" baseline="0">
                    <a:solidFill>
                      <a:sysClr val="windowText" lastClr="000000"/>
                    </a:solidFill>
                  </a:rPr>
                  <a:t>(</a:t>
                </a:r>
                <a:r>
                  <a:rPr lang="en-IN" sz="1400" b="0" i="0" u="none" strike="noStrike" kern="1200" baseline="0">
                    <a:solidFill>
                      <a:sysClr val="windowText" lastClr="000000"/>
                    </a:solidFill>
                  </a:rPr>
                  <a:t>°</a:t>
                </a:r>
                <a:r>
                  <a:rPr lang="en-GB" sz="1400" b="0" i="0" u="none" strike="noStrike" kern="1200" baseline="0">
                    <a:solidFill>
                      <a:sysClr val="windowText" lastClr="000000"/>
                    </a:solidFill>
                  </a:rPr>
                  <a:t>)</a:t>
                </a:r>
                <a:endParaRPr lang="en-IN" sz="1400" b="0" i="0" u="none" strike="noStrike" kern="1200" baseline="-25000">
                  <a:solidFill>
                    <a:sysClr val="windowText" lastClr="000000"/>
                  </a:solidFill>
                  <a:latin typeface="+mn-lt"/>
                </a:endParaRPr>
              </a:p>
            </c:rich>
          </c:tx>
          <c:layout>
            <c:manualLayout>
              <c:xMode val="edge"/>
              <c:yMode val="edge"/>
              <c:x val="0.49824755086756867"/>
              <c:y val="0.7686358996792067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5434704"/>
        <c:crosses val="autoZero"/>
        <c:crossBetween val="midCat"/>
      </c:valAx>
      <c:valAx>
        <c:axId val="745434704"/>
        <c:scaling>
          <c:orientation val="minMax"/>
          <c:min val="99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400" b="0" i="0" u="none" strike="noStrike" kern="1200" spc="0" baseline="0">
                    <a:solidFill>
                      <a:sysClr val="windowText" lastClr="000000"/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θ</a:t>
                </a:r>
                <a:r>
                  <a:rPr lang="en-GB" sz="1400" b="0" i="0" u="none" strike="noStrike" kern="1200" spc="0" baseline="-25000">
                    <a:solidFill>
                      <a:sysClr val="windowText" lastClr="000000"/>
                    </a:solidFill>
                    <a:effectLst/>
                    <a:latin typeface="+mn-lt"/>
                    <a:cs typeface="Times New Roman" panose="02020603050405020304" pitchFamily="18" charset="0"/>
                  </a:rPr>
                  <a:t>DFT</a:t>
                </a:r>
                <a:r>
                  <a:rPr lang="en-GB" sz="1400" b="0" i="0" u="none" strike="noStrike" kern="1200" baseline="0">
                    <a:solidFill>
                      <a:sysClr val="windowText" lastClr="000000"/>
                    </a:solidFill>
                  </a:rPr>
                  <a:t>(</a:t>
                </a:r>
                <a:r>
                  <a:rPr lang="en-IN" sz="1400" b="0" i="0" u="none" strike="noStrike" kern="1200" baseline="0">
                    <a:solidFill>
                      <a:sysClr val="windowText" lastClr="000000"/>
                    </a:solidFill>
                  </a:rPr>
                  <a:t>°</a:t>
                </a:r>
                <a:r>
                  <a:rPr lang="en-GB" sz="1400" b="0" i="0" u="none" strike="noStrike" kern="1200" baseline="0">
                    <a:solidFill>
                      <a:sysClr val="windowText" lastClr="000000"/>
                    </a:solidFill>
                  </a:rPr>
                  <a:t>)</a:t>
                </a:r>
                <a:endParaRPr lang="en-IN" sz="1400" b="0" i="0" u="none" strike="noStrike" kern="1200" baseline="-25000">
                  <a:solidFill>
                    <a:sysClr val="windowText" lastClr="000000"/>
                  </a:solidFill>
                  <a:latin typeface="+mn-lt"/>
                </a:endParaRPr>
              </a:p>
            </c:rich>
          </c:tx>
          <c:layout>
            <c:manualLayout>
              <c:xMode val="edge"/>
              <c:yMode val="edge"/>
              <c:x val="2.7392030541636839E-4"/>
              <c:y val="0.4108675998833479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54476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4173655262233444E-2"/>
          <c:y val="0.86535688247302422"/>
          <c:w val="0.89165266841644797"/>
          <c:h val="8.371719160104987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GB" sz="1600" b="1" i="0" u="none" strike="noStrike" kern="1200" spc="0" baseline="0">
                <a:solidFill>
                  <a:sysClr val="windowText" lastClr="000000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Angle </a:t>
            </a:r>
            <a:r>
              <a:rPr lang="el-GR" sz="1600" b="1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β</a:t>
            </a:r>
            <a:r>
              <a:rPr lang="en-GB" sz="1600" b="1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1</a:t>
            </a:r>
            <a:r>
              <a:rPr lang="en-IN" sz="1600" b="1" i="0" u="none" strike="noStrike" kern="1200" spc="0" baseline="0">
                <a:solidFill>
                  <a:sysClr val="windowText" lastClr="000000"/>
                </a:solidFill>
                <a:effectLst/>
                <a:latin typeface="+mn-lt"/>
              </a:rPr>
              <a:t> </a:t>
            </a:r>
            <a:r>
              <a:rPr lang="en-US" sz="1600" b="1">
                <a:solidFill>
                  <a:sysClr val="windowText" lastClr="000000"/>
                </a:solidFill>
                <a:latin typeface="+mn-lt"/>
              </a:rPr>
              <a:t>  </a:t>
            </a:r>
          </a:p>
        </c:rich>
      </c:tx>
      <c:layout>
        <c:manualLayout>
          <c:xMode val="edge"/>
          <c:yMode val="edge"/>
          <c:x val="0.3953028565604057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6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0.10757228194528802"/>
          <c:y val="0.16912037037037039"/>
          <c:w val="0.84452666717631175"/>
          <c:h val="0.53841243802857974"/>
        </c:manualLayout>
      </c:layout>
      <c:scatterChart>
        <c:scatterStyle val="lineMarker"/>
        <c:varyColors val="0"/>
        <c:ser>
          <c:idx val="0"/>
          <c:order val="0"/>
          <c:tx>
            <c:v>Data points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25400" cap="rnd">
                <a:solidFill>
                  <a:schemeClr val="accent6">
                    <a:lumMod val="75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51935633876499199"/>
                  <c:y val="-0.10893518518518519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1000" b="1" i="0" u="none" strike="noStrike" kern="1200" baseline="0">
                        <a:solidFill>
                          <a:sysClr val="windowText" lastClr="00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l-GR" sz="1000" b="1" i="0" u="none" strike="noStrike" baseline="0">
                        <a:effectLst/>
                      </a:rPr>
                      <a:t>β</a:t>
                    </a:r>
                    <a:r>
                      <a:rPr lang="en-GB" sz="1000" b="1" i="0" u="none" strike="noStrike" baseline="0">
                        <a:effectLst/>
                      </a:rPr>
                      <a:t>1</a:t>
                    </a:r>
                    <a:r>
                      <a:rPr lang="en-GB" sz="1000" b="1" i="0" u="none" strike="noStrike" baseline="-25000">
                        <a:effectLst/>
                      </a:rPr>
                      <a:t>DFT</a:t>
                    </a:r>
                    <a:r>
                      <a:rPr lang="en-US" b="1" baseline="0"/>
                      <a:t> = 0.70</a:t>
                    </a:r>
                    <a:r>
                      <a:rPr lang="el-GR" sz="1000" b="1" i="0" u="none" strike="noStrike" baseline="0">
                        <a:effectLst/>
                      </a:rPr>
                      <a:t>β</a:t>
                    </a:r>
                    <a:r>
                      <a:rPr lang="en-GB" sz="1000" b="1" i="0" u="none" strike="noStrike" baseline="0">
                        <a:effectLst/>
                      </a:rPr>
                      <a:t>1</a:t>
                    </a:r>
                    <a:r>
                      <a:rPr lang="en-GB" sz="1000" b="1" i="0" u="none" strike="noStrike" baseline="-25000">
                        <a:effectLst/>
                      </a:rPr>
                      <a:t>xTB</a:t>
                    </a:r>
                    <a:r>
                      <a:rPr lang="en-US" b="1" baseline="0"/>
                      <a:t> + 44.14</a:t>
                    </a:r>
                    <a:br>
                      <a:rPr lang="en-US" b="1" baseline="0"/>
                    </a:br>
                    <a:r>
                      <a:rPr lang="en-US" b="1" baseline="0"/>
                      <a:t>R² = 0.59</a:t>
                    </a:r>
                  </a:p>
                  <a:p>
                    <a:pPr>
                      <a:defRPr sz="1000" b="1">
                        <a:solidFill>
                          <a:sysClr val="windowText" lastClr="000000"/>
                        </a:solidFill>
                      </a:defRPr>
                    </a:pPr>
                    <a:r>
                      <a:rPr lang="en-US" b="1" baseline="0"/>
                      <a:t>Pearson R = 0.77</a:t>
                    </a:r>
                  </a:p>
                  <a:p>
                    <a:pPr>
                      <a:defRPr sz="1000" b="1">
                        <a:solidFill>
                          <a:sysClr val="windowText" lastClr="000000"/>
                        </a:solidFill>
                      </a:defRPr>
                    </a:pPr>
                    <a:r>
                      <a:rPr lang="en-US" b="1" baseline="0"/>
                      <a:t>MAE = 3.92</a:t>
                    </a:r>
                  </a:p>
                  <a:p>
                    <a:pPr>
                      <a:defRPr sz="1000" b="1">
                        <a:solidFill>
                          <a:sysClr val="windowText" lastClr="000000"/>
                        </a:solidFill>
                      </a:defRPr>
                    </a:pPr>
                    <a:r>
                      <a:rPr lang="en-US" b="1" baseline="0"/>
                      <a:t>RMSE = 6.84</a:t>
                    </a:r>
                  </a:p>
                  <a:p>
                    <a:pPr>
                      <a:defRPr sz="1000" b="1">
                        <a:solidFill>
                          <a:sysClr val="windowText" lastClr="000000"/>
                        </a:solidFill>
                      </a:defRPr>
                    </a:pPr>
                    <a:r>
                      <a:rPr lang="en-US" b="1" baseline="0"/>
                      <a:t>N = 15</a:t>
                    </a:r>
                    <a:endParaRPr lang="en-US" b="1"/>
                  </a:p>
                </c:rich>
              </c:tx>
              <c:numFmt formatCode="General" sourceLinked="0"/>
              <c:spPr>
                <a:solidFill>
                  <a:schemeClr val="bg1">
                    <a:lumMod val="9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'L10g-xtb vs DFT'!$AA$2:$AA$16</c:f>
              <c:numCache>
                <c:formatCode>General</c:formatCode>
                <c:ptCount val="15"/>
                <c:pt idx="0">
                  <c:v>139.90516650000001</c:v>
                </c:pt>
                <c:pt idx="1">
                  <c:v>132.9908744</c:v>
                </c:pt>
                <c:pt idx="2">
                  <c:v>135.41678160000001</c:v>
                </c:pt>
                <c:pt idx="3">
                  <c:v>115.75571170000001</c:v>
                </c:pt>
                <c:pt idx="4">
                  <c:v>136.2513855</c:v>
                </c:pt>
                <c:pt idx="5">
                  <c:v>119.4068031</c:v>
                </c:pt>
                <c:pt idx="6">
                  <c:v>112.5678539</c:v>
                </c:pt>
                <c:pt idx="7">
                  <c:v>136.1596898</c:v>
                </c:pt>
                <c:pt idx="8">
                  <c:v>140.88457550000001</c:v>
                </c:pt>
                <c:pt idx="9">
                  <c:v>126.0338038</c:v>
                </c:pt>
                <c:pt idx="10">
                  <c:v>122.3075886</c:v>
                </c:pt>
                <c:pt idx="11">
                  <c:v>135.64258100000001</c:v>
                </c:pt>
                <c:pt idx="12">
                  <c:v>120.03232029999999</c:v>
                </c:pt>
                <c:pt idx="13">
                  <c:v>115.1770267</c:v>
                </c:pt>
                <c:pt idx="14">
                  <c:v>114.63269409999999</c:v>
                </c:pt>
              </c:numCache>
            </c:numRef>
          </c:xVal>
          <c:yVal>
            <c:numRef>
              <c:f>'L10g-xtb vs DFT'!$AB$2:$AB$16</c:f>
              <c:numCache>
                <c:formatCode>General</c:formatCode>
                <c:ptCount val="15"/>
                <c:pt idx="0">
                  <c:v>137.80114459999999</c:v>
                </c:pt>
                <c:pt idx="1">
                  <c:v>133.1907774</c:v>
                </c:pt>
                <c:pt idx="2">
                  <c:v>134.46694299999999</c:v>
                </c:pt>
                <c:pt idx="3">
                  <c:v>116.2882264</c:v>
                </c:pt>
                <c:pt idx="4">
                  <c:v>135.3084705</c:v>
                </c:pt>
                <c:pt idx="5">
                  <c:v>120.0802611</c:v>
                </c:pt>
                <c:pt idx="6">
                  <c:v>115.17508599999999</c:v>
                </c:pt>
                <c:pt idx="7">
                  <c:v>139.35526290000001</c:v>
                </c:pt>
                <c:pt idx="8">
                  <c:v>137.05484849999999</c:v>
                </c:pt>
                <c:pt idx="9">
                  <c:v>131.4272172</c:v>
                </c:pt>
                <c:pt idx="10">
                  <c:v>117.9254816</c:v>
                </c:pt>
                <c:pt idx="11">
                  <c:v>135.29658370000001</c:v>
                </c:pt>
                <c:pt idx="12">
                  <c:v>125.36968109999999</c:v>
                </c:pt>
                <c:pt idx="13">
                  <c:v>119.7542826</c:v>
                </c:pt>
                <c:pt idx="14">
                  <c:v>138.40904449999999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563-4D97-B474-F404FCA8D388}"/>
            </c:ext>
          </c:extLst>
        </c:ser>
        <c:ser>
          <c:idx val="1"/>
          <c:order val="1"/>
          <c:tx>
            <c:v>Perfect line</c:v>
          </c:tx>
          <c:spPr>
            <a:ln w="25400" cap="rnd">
              <a:solidFill>
                <a:schemeClr val="bg1">
                  <a:lumMod val="8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'L10g-xtb vs DFT'!$AA$2:$AA$16</c:f>
              <c:numCache>
                <c:formatCode>General</c:formatCode>
                <c:ptCount val="15"/>
                <c:pt idx="0">
                  <c:v>139.90516650000001</c:v>
                </c:pt>
                <c:pt idx="1">
                  <c:v>132.9908744</c:v>
                </c:pt>
                <c:pt idx="2">
                  <c:v>135.41678160000001</c:v>
                </c:pt>
                <c:pt idx="3">
                  <c:v>115.75571170000001</c:v>
                </c:pt>
                <c:pt idx="4">
                  <c:v>136.2513855</c:v>
                </c:pt>
                <c:pt idx="5">
                  <c:v>119.4068031</c:v>
                </c:pt>
                <c:pt idx="6">
                  <c:v>112.5678539</c:v>
                </c:pt>
                <c:pt idx="7">
                  <c:v>136.1596898</c:v>
                </c:pt>
                <c:pt idx="8">
                  <c:v>140.88457550000001</c:v>
                </c:pt>
                <c:pt idx="9">
                  <c:v>126.0338038</c:v>
                </c:pt>
                <c:pt idx="10">
                  <c:v>122.3075886</c:v>
                </c:pt>
                <c:pt idx="11">
                  <c:v>135.64258100000001</c:v>
                </c:pt>
                <c:pt idx="12">
                  <c:v>120.03232029999999</c:v>
                </c:pt>
                <c:pt idx="13">
                  <c:v>115.1770267</c:v>
                </c:pt>
                <c:pt idx="14">
                  <c:v>114.63269409999999</c:v>
                </c:pt>
              </c:numCache>
            </c:numRef>
          </c:xVal>
          <c:yVal>
            <c:numRef>
              <c:f>'L10g-xtb vs DFT'!$AH$2:$AH$16</c:f>
              <c:numCache>
                <c:formatCode>General</c:formatCode>
                <c:ptCount val="15"/>
                <c:pt idx="0">
                  <c:v>139.90516650000001</c:v>
                </c:pt>
                <c:pt idx="1">
                  <c:v>132.9908744</c:v>
                </c:pt>
                <c:pt idx="2">
                  <c:v>135.41678160000001</c:v>
                </c:pt>
                <c:pt idx="3">
                  <c:v>115.75571170000001</c:v>
                </c:pt>
                <c:pt idx="4">
                  <c:v>136.2513855</c:v>
                </c:pt>
                <c:pt idx="5">
                  <c:v>119.4068031</c:v>
                </c:pt>
                <c:pt idx="6">
                  <c:v>112.5678539</c:v>
                </c:pt>
                <c:pt idx="7">
                  <c:v>136.1596898</c:v>
                </c:pt>
                <c:pt idx="8">
                  <c:v>140.88457550000001</c:v>
                </c:pt>
                <c:pt idx="9">
                  <c:v>126.0338038</c:v>
                </c:pt>
                <c:pt idx="10">
                  <c:v>122.3075886</c:v>
                </c:pt>
                <c:pt idx="11">
                  <c:v>135.64258100000001</c:v>
                </c:pt>
                <c:pt idx="12">
                  <c:v>120.03232029999999</c:v>
                </c:pt>
                <c:pt idx="13">
                  <c:v>115.1770267</c:v>
                </c:pt>
                <c:pt idx="14">
                  <c:v>114.63269409999999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563-4D97-B474-F404FCA8D3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5447664"/>
        <c:axId val="745434704"/>
      </c:scatterChart>
      <c:valAx>
        <c:axId val="745447664"/>
        <c:scaling>
          <c:orientation val="minMax"/>
          <c:max val="141"/>
          <c:min val="11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400" b="0" i="0" u="none" strike="noStrike" kern="1200" spc="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β</a:t>
                </a:r>
                <a:r>
                  <a:rPr lang="en-GB" sz="1400" b="0" i="0" u="none" strike="noStrike" kern="1200" spc="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1</a:t>
                </a:r>
                <a:r>
                  <a:rPr lang="en-GB" sz="1400" b="0" i="0" u="none" strike="noStrike" kern="1200" spc="0" baseline="-25000">
                    <a:solidFill>
                      <a:sysClr val="windowText" lastClr="000000"/>
                    </a:solidFill>
                    <a:effectLst/>
                    <a:latin typeface="+mn-lt"/>
                    <a:cs typeface="Times New Roman" panose="02020603050405020304" pitchFamily="18" charset="0"/>
                  </a:rPr>
                  <a:t>xTB</a:t>
                </a:r>
                <a:r>
                  <a:rPr lang="en-GB" sz="1400" b="0" i="0" u="none" strike="noStrike" kern="1200" baseline="0">
                    <a:solidFill>
                      <a:sysClr val="windowText" lastClr="000000"/>
                    </a:solidFill>
                  </a:rPr>
                  <a:t>(</a:t>
                </a:r>
                <a:r>
                  <a:rPr lang="en-IN" sz="1400" b="0" i="0" u="none" strike="noStrike" kern="1200" baseline="0">
                    <a:solidFill>
                      <a:sysClr val="windowText" lastClr="000000"/>
                    </a:solidFill>
                  </a:rPr>
                  <a:t>°</a:t>
                </a:r>
                <a:r>
                  <a:rPr lang="en-GB" sz="1400" b="0" i="0" u="none" strike="noStrike" kern="1200" baseline="0">
                    <a:solidFill>
                      <a:sysClr val="windowText" lastClr="000000"/>
                    </a:solidFill>
                  </a:rPr>
                  <a:t>)</a:t>
                </a:r>
                <a:endParaRPr lang="en-IN" sz="1400" b="0" i="0" u="none" strike="noStrike" kern="1200" baseline="-25000">
                  <a:solidFill>
                    <a:sysClr val="windowText" lastClr="000000"/>
                  </a:solidFill>
                  <a:latin typeface="+mn-lt"/>
                </a:endParaRPr>
              </a:p>
            </c:rich>
          </c:tx>
          <c:layout>
            <c:manualLayout>
              <c:xMode val="edge"/>
              <c:yMode val="edge"/>
              <c:x val="0.49824755086756867"/>
              <c:y val="0.7686358996792067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5434704"/>
        <c:crosses val="autoZero"/>
        <c:crossBetween val="midCat"/>
      </c:valAx>
      <c:valAx>
        <c:axId val="745434704"/>
        <c:scaling>
          <c:orientation val="minMax"/>
          <c:max val="140"/>
          <c:min val="115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400" b="0" i="0" u="none" strike="noStrike" kern="1200" spc="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β</a:t>
                </a:r>
                <a:r>
                  <a:rPr lang="en-GB" sz="1400" b="0" i="0" u="none" strike="noStrike" kern="1200" spc="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1</a:t>
                </a:r>
                <a:r>
                  <a:rPr lang="en-GB" sz="1400" b="0" i="0" u="none" strike="noStrike" kern="1200" spc="0" baseline="-25000">
                    <a:solidFill>
                      <a:sysClr val="windowText" lastClr="000000"/>
                    </a:solidFill>
                    <a:effectLst/>
                    <a:latin typeface="+mn-lt"/>
                    <a:cs typeface="Times New Roman" panose="02020603050405020304" pitchFamily="18" charset="0"/>
                  </a:rPr>
                  <a:t>DFT</a:t>
                </a:r>
                <a:r>
                  <a:rPr lang="en-GB" sz="1400" b="0" i="0" u="none" strike="noStrike" kern="1200" baseline="0">
                    <a:solidFill>
                      <a:sysClr val="windowText" lastClr="000000"/>
                    </a:solidFill>
                  </a:rPr>
                  <a:t>(</a:t>
                </a:r>
                <a:r>
                  <a:rPr lang="en-IN" sz="1400" b="0" i="0" u="none" strike="noStrike" kern="1200" baseline="0">
                    <a:solidFill>
                      <a:sysClr val="windowText" lastClr="000000"/>
                    </a:solidFill>
                  </a:rPr>
                  <a:t>°</a:t>
                </a:r>
                <a:r>
                  <a:rPr lang="en-GB" sz="1400" b="0" i="0" u="none" strike="noStrike" kern="1200" baseline="0">
                    <a:solidFill>
                      <a:sysClr val="windowText" lastClr="000000"/>
                    </a:solidFill>
                  </a:rPr>
                  <a:t>)</a:t>
                </a:r>
                <a:endParaRPr lang="en-IN" sz="1400" b="0" i="0" u="none" strike="noStrike" kern="1200" baseline="-25000">
                  <a:solidFill>
                    <a:sysClr val="windowText" lastClr="000000"/>
                  </a:solidFill>
                  <a:latin typeface="+mn-lt"/>
                </a:endParaRPr>
              </a:p>
            </c:rich>
          </c:tx>
          <c:layout>
            <c:manualLayout>
              <c:xMode val="edge"/>
              <c:yMode val="edge"/>
              <c:x val="2.7392030541636839E-4"/>
              <c:y val="0.4108675998833479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54476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4173655262233444E-2"/>
          <c:y val="0.86535688247302422"/>
          <c:w val="0.89165266841644797"/>
          <c:h val="8.371719160104987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GB" sz="1600" b="1" i="0" u="none" strike="noStrike" kern="1200" spc="0" baseline="0">
                <a:solidFill>
                  <a:sysClr val="windowText" lastClr="000000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Angle </a:t>
            </a:r>
            <a:r>
              <a:rPr lang="el-GR" sz="1600" b="1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β</a:t>
            </a:r>
            <a:r>
              <a:rPr lang="en-GB" sz="1600" b="1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2</a:t>
            </a:r>
            <a:r>
              <a:rPr lang="en-IN" sz="1600" b="1" i="0" u="none" strike="noStrike" kern="1200" spc="0" baseline="0">
                <a:solidFill>
                  <a:sysClr val="windowText" lastClr="000000"/>
                </a:solidFill>
                <a:effectLst/>
                <a:latin typeface="+mn-lt"/>
              </a:rPr>
              <a:t> </a:t>
            </a:r>
            <a:r>
              <a:rPr lang="en-US" sz="1600" b="1">
                <a:solidFill>
                  <a:sysClr val="windowText" lastClr="000000"/>
                </a:solidFill>
                <a:latin typeface="+mn-lt"/>
              </a:rPr>
              <a:t>  </a:t>
            </a:r>
          </a:p>
        </c:rich>
      </c:tx>
      <c:layout>
        <c:manualLayout>
          <c:xMode val="edge"/>
          <c:yMode val="edge"/>
          <c:x val="0.3953028565604057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6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0.10757228194528802"/>
          <c:y val="0.16912037037037039"/>
          <c:w val="0.84452666717631175"/>
          <c:h val="0.53841243802857974"/>
        </c:manualLayout>
      </c:layout>
      <c:scatterChart>
        <c:scatterStyle val="lineMarker"/>
        <c:varyColors val="0"/>
        <c:ser>
          <c:idx val="0"/>
          <c:order val="0"/>
          <c:tx>
            <c:v>Data points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25400" cap="rnd">
                <a:solidFill>
                  <a:schemeClr val="accent6">
                    <a:lumMod val="75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6369791407797295"/>
                  <c:y val="-0.15060185185185185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1000" b="1" i="0" u="none" strike="noStrike" kern="1200" baseline="0">
                        <a:solidFill>
                          <a:sysClr val="windowText" lastClr="00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l-GR" sz="1000" b="1" i="0" u="none" strike="noStrike" baseline="0">
                        <a:effectLst/>
                      </a:rPr>
                      <a:t>β</a:t>
                    </a:r>
                    <a:r>
                      <a:rPr lang="en-GB" sz="1000" b="1" i="0" u="none" strike="noStrike" baseline="0">
                        <a:effectLst/>
                      </a:rPr>
                      <a:t>1</a:t>
                    </a:r>
                    <a:r>
                      <a:rPr lang="en-GB" sz="1000" b="1" i="0" u="none" strike="noStrike" baseline="-25000">
                        <a:effectLst/>
                      </a:rPr>
                      <a:t>DFT</a:t>
                    </a:r>
                    <a:r>
                      <a:rPr lang="en-US" b="1" baseline="0"/>
                      <a:t> = 0.81</a:t>
                    </a:r>
                    <a:r>
                      <a:rPr lang="el-GR" sz="1000" b="1" i="0" u="none" strike="noStrike" baseline="0">
                        <a:effectLst/>
                      </a:rPr>
                      <a:t>β</a:t>
                    </a:r>
                    <a:r>
                      <a:rPr lang="en-GB" sz="1000" b="1" i="0" u="none" strike="noStrike" baseline="0">
                        <a:effectLst/>
                      </a:rPr>
                      <a:t>1</a:t>
                    </a:r>
                    <a:r>
                      <a:rPr lang="en-GB" sz="1000" b="1" i="0" u="none" strike="noStrike" baseline="-25000">
                        <a:effectLst/>
                      </a:rPr>
                      <a:t>xTB</a:t>
                    </a:r>
                    <a:r>
                      <a:rPr lang="en-US" b="1" baseline="0"/>
                      <a:t> + 21.83</a:t>
                    </a:r>
                    <a:br>
                      <a:rPr lang="en-US" b="1" baseline="0"/>
                    </a:br>
                    <a:r>
                      <a:rPr lang="en-US" b="1" baseline="0"/>
                      <a:t>R² = 0.61</a:t>
                    </a:r>
                  </a:p>
                  <a:p>
                    <a:pPr>
                      <a:defRPr sz="1000" b="1">
                        <a:solidFill>
                          <a:sysClr val="windowText" lastClr="000000"/>
                        </a:solidFill>
                      </a:defRPr>
                    </a:pPr>
                    <a:r>
                      <a:rPr lang="en-US" b="1" baseline="0"/>
                      <a:t>Pearson R = 0.78</a:t>
                    </a:r>
                  </a:p>
                  <a:p>
                    <a:pPr>
                      <a:defRPr sz="1000" b="1">
                        <a:solidFill>
                          <a:sysClr val="windowText" lastClr="000000"/>
                        </a:solidFill>
                      </a:defRPr>
                    </a:pPr>
                    <a:r>
                      <a:rPr lang="en-US" b="1" baseline="0"/>
                      <a:t>MAE = 3.60</a:t>
                    </a:r>
                  </a:p>
                  <a:p>
                    <a:pPr>
                      <a:defRPr sz="1000" b="1">
                        <a:solidFill>
                          <a:sysClr val="windowText" lastClr="000000"/>
                        </a:solidFill>
                      </a:defRPr>
                    </a:pPr>
                    <a:r>
                      <a:rPr lang="en-US" b="1" baseline="0"/>
                      <a:t>RMSE = 6.02</a:t>
                    </a:r>
                  </a:p>
                  <a:p>
                    <a:pPr>
                      <a:defRPr sz="1000" b="1">
                        <a:solidFill>
                          <a:sysClr val="windowText" lastClr="000000"/>
                        </a:solidFill>
                      </a:defRPr>
                    </a:pPr>
                    <a:r>
                      <a:rPr lang="en-US" b="1" baseline="0"/>
                      <a:t>N = 15</a:t>
                    </a:r>
                    <a:endParaRPr lang="en-US" b="1"/>
                  </a:p>
                </c:rich>
              </c:tx>
              <c:numFmt formatCode="General" sourceLinked="0"/>
              <c:spPr>
                <a:solidFill>
                  <a:schemeClr val="bg1">
                    <a:lumMod val="9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'L10g-xtb vs DFT'!$AN$2:$AN$16</c:f>
              <c:numCache>
                <c:formatCode>General</c:formatCode>
                <c:ptCount val="15"/>
                <c:pt idx="0">
                  <c:v>115.4914228</c:v>
                </c:pt>
                <c:pt idx="1">
                  <c:v>128.2919507</c:v>
                </c:pt>
                <c:pt idx="2">
                  <c:v>121.6394284</c:v>
                </c:pt>
                <c:pt idx="3">
                  <c:v>139.71342480000001</c:v>
                </c:pt>
                <c:pt idx="4">
                  <c:v>120.81778559999999</c:v>
                </c:pt>
                <c:pt idx="5">
                  <c:v>127.2825169</c:v>
                </c:pt>
                <c:pt idx="6">
                  <c:v>134.45144809999999</c:v>
                </c:pt>
                <c:pt idx="7">
                  <c:v>123.4168207</c:v>
                </c:pt>
                <c:pt idx="8">
                  <c:v>112.3364565</c:v>
                </c:pt>
                <c:pt idx="9">
                  <c:v>123.83367730000001</c:v>
                </c:pt>
                <c:pt idx="10">
                  <c:v>136.80868219999999</c:v>
                </c:pt>
                <c:pt idx="11">
                  <c:v>121.3126651</c:v>
                </c:pt>
                <c:pt idx="12">
                  <c:v>135.98142970000001</c:v>
                </c:pt>
                <c:pt idx="13">
                  <c:v>137.87582549999999</c:v>
                </c:pt>
                <c:pt idx="14">
                  <c:v>129.4337543</c:v>
                </c:pt>
              </c:numCache>
            </c:numRef>
          </c:xVal>
          <c:yVal>
            <c:numRef>
              <c:f>'L10g-xtb vs DFT'!$AO$2:$AO$16</c:f>
              <c:numCache>
                <c:formatCode>General</c:formatCode>
                <c:ptCount val="15"/>
                <c:pt idx="0">
                  <c:v>116.3555771</c:v>
                </c:pt>
                <c:pt idx="1">
                  <c:v>126.058797</c:v>
                </c:pt>
                <c:pt idx="2">
                  <c:v>122.36527460000001</c:v>
                </c:pt>
                <c:pt idx="3">
                  <c:v>137.40713210000001</c:v>
                </c:pt>
                <c:pt idx="4">
                  <c:v>120.18157119999999</c:v>
                </c:pt>
                <c:pt idx="5">
                  <c:v>130.08393169999999</c:v>
                </c:pt>
                <c:pt idx="6">
                  <c:v>132.52409209999999</c:v>
                </c:pt>
                <c:pt idx="7">
                  <c:v>119.3284128</c:v>
                </c:pt>
                <c:pt idx="8">
                  <c:v>115.6373038</c:v>
                </c:pt>
                <c:pt idx="9">
                  <c:v>119.0653161</c:v>
                </c:pt>
                <c:pt idx="10">
                  <c:v>136.062285</c:v>
                </c:pt>
                <c:pt idx="11">
                  <c:v>120.178217</c:v>
                </c:pt>
                <c:pt idx="12">
                  <c:v>131.4994092</c:v>
                </c:pt>
                <c:pt idx="13">
                  <c:v>134.87133309999999</c:v>
                </c:pt>
                <c:pt idx="14">
                  <c:v>108.50490720000001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68F-4F0B-8B93-4830D3CEE2A8}"/>
            </c:ext>
          </c:extLst>
        </c:ser>
        <c:ser>
          <c:idx val="1"/>
          <c:order val="1"/>
          <c:tx>
            <c:v>Perfect line</c:v>
          </c:tx>
          <c:spPr>
            <a:ln w="25400" cap="rnd">
              <a:solidFill>
                <a:schemeClr val="bg1">
                  <a:lumMod val="8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'L10g-xtb vs DFT'!$AN$2:$AN$16</c:f>
              <c:numCache>
                <c:formatCode>General</c:formatCode>
                <c:ptCount val="15"/>
                <c:pt idx="0">
                  <c:v>115.4914228</c:v>
                </c:pt>
                <c:pt idx="1">
                  <c:v>128.2919507</c:v>
                </c:pt>
                <c:pt idx="2">
                  <c:v>121.6394284</c:v>
                </c:pt>
                <c:pt idx="3">
                  <c:v>139.71342480000001</c:v>
                </c:pt>
                <c:pt idx="4">
                  <c:v>120.81778559999999</c:v>
                </c:pt>
                <c:pt idx="5">
                  <c:v>127.2825169</c:v>
                </c:pt>
                <c:pt idx="6">
                  <c:v>134.45144809999999</c:v>
                </c:pt>
                <c:pt idx="7">
                  <c:v>123.4168207</c:v>
                </c:pt>
                <c:pt idx="8">
                  <c:v>112.3364565</c:v>
                </c:pt>
                <c:pt idx="9">
                  <c:v>123.83367730000001</c:v>
                </c:pt>
                <c:pt idx="10">
                  <c:v>136.80868219999999</c:v>
                </c:pt>
                <c:pt idx="11">
                  <c:v>121.3126651</c:v>
                </c:pt>
                <c:pt idx="12">
                  <c:v>135.98142970000001</c:v>
                </c:pt>
                <c:pt idx="13">
                  <c:v>137.87582549999999</c:v>
                </c:pt>
                <c:pt idx="14">
                  <c:v>129.4337543</c:v>
                </c:pt>
              </c:numCache>
            </c:numRef>
          </c:xVal>
          <c:yVal>
            <c:numRef>
              <c:f>'L10g-xtb vs DFT'!$AU$2:$AU$16</c:f>
              <c:numCache>
                <c:formatCode>General</c:formatCode>
                <c:ptCount val="15"/>
                <c:pt idx="0">
                  <c:v>115.4914228</c:v>
                </c:pt>
                <c:pt idx="1">
                  <c:v>128.2919507</c:v>
                </c:pt>
                <c:pt idx="2">
                  <c:v>121.6394284</c:v>
                </c:pt>
                <c:pt idx="3">
                  <c:v>139.71342480000001</c:v>
                </c:pt>
                <c:pt idx="4">
                  <c:v>120.81778559999999</c:v>
                </c:pt>
                <c:pt idx="5">
                  <c:v>127.2825169</c:v>
                </c:pt>
                <c:pt idx="6">
                  <c:v>134.45144809999999</c:v>
                </c:pt>
                <c:pt idx="7">
                  <c:v>123.4168207</c:v>
                </c:pt>
                <c:pt idx="8">
                  <c:v>112.3364565</c:v>
                </c:pt>
                <c:pt idx="9">
                  <c:v>123.83367730000001</c:v>
                </c:pt>
                <c:pt idx="10">
                  <c:v>136.80868219999999</c:v>
                </c:pt>
                <c:pt idx="11">
                  <c:v>121.3126651</c:v>
                </c:pt>
                <c:pt idx="12">
                  <c:v>135.98142970000001</c:v>
                </c:pt>
                <c:pt idx="13">
                  <c:v>137.87582549999999</c:v>
                </c:pt>
                <c:pt idx="14">
                  <c:v>129.4337543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68F-4F0B-8B93-4830D3CEE2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5447664"/>
        <c:axId val="745434704"/>
      </c:scatterChart>
      <c:valAx>
        <c:axId val="745447664"/>
        <c:scaling>
          <c:orientation val="minMax"/>
          <c:min val="11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400" b="0" i="0" u="none" strike="noStrike" kern="1200" spc="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β</a:t>
                </a:r>
                <a:r>
                  <a:rPr lang="en-GB" sz="1400" b="0" i="0" u="none" strike="noStrike" kern="1200" spc="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2</a:t>
                </a:r>
                <a:r>
                  <a:rPr lang="en-GB" sz="1400" b="0" i="0" u="none" strike="noStrike" kern="1200" spc="0" baseline="-25000">
                    <a:solidFill>
                      <a:sysClr val="windowText" lastClr="000000"/>
                    </a:solidFill>
                    <a:effectLst/>
                    <a:latin typeface="+mn-lt"/>
                    <a:cs typeface="Times New Roman" panose="02020603050405020304" pitchFamily="18" charset="0"/>
                  </a:rPr>
                  <a:t>xTB</a:t>
                </a:r>
                <a:r>
                  <a:rPr lang="en-GB" sz="1400" b="0" i="0" u="none" strike="noStrike" kern="1200" baseline="0">
                    <a:solidFill>
                      <a:sysClr val="windowText" lastClr="000000"/>
                    </a:solidFill>
                  </a:rPr>
                  <a:t>(</a:t>
                </a:r>
                <a:r>
                  <a:rPr lang="en-IN" sz="1400" b="0" i="0" u="none" strike="noStrike" kern="1200" baseline="0">
                    <a:solidFill>
                      <a:sysClr val="windowText" lastClr="000000"/>
                    </a:solidFill>
                  </a:rPr>
                  <a:t>°</a:t>
                </a:r>
                <a:r>
                  <a:rPr lang="en-GB" sz="1400" b="0" i="0" u="none" strike="noStrike" kern="1200" baseline="0">
                    <a:solidFill>
                      <a:sysClr val="windowText" lastClr="000000"/>
                    </a:solidFill>
                  </a:rPr>
                  <a:t>)</a:t>
                </a:r>
                <a:endParaRPr lang="en-IN" sz="1400" b="0" i="0" u="none" strike="noStrike" kern="1200" baseline="-25000">
                  <a:solidFill>
                    <a:sysClr val="windowText" lastClr="000000"/>
                  </a:solidFill>
                  <a:latin typeface="+mn-lt"/>
                </a:endParaRPr>
              </a:p>
            </c:rich>
          </c:tx>
          <c:layout>
            <c:manualLayout>
              <c:xMode val="edge"/>
              <c:yMode val="edge"/>
              <c:x val="0.49824755086756867"/>
              <c:y val="0.7686358996792067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5434704"/>
        <c:crosses val="autoZero"/>
        <c:crossBetween val="midCat"/>
      </c:valAx>
      <c:valAx>
        <c:axId val="745434704"/>
        <c:scaling>
          <c:orientation val="minMax"/>
          <c:min val="108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400" b="0" i="0" u="none" strike="noStrike" kern="1200" spc="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β</a:t>
                </a:r>
                <a:r>
                  <a:rPr lang="en-GB" sz="1400" b="0" i="0" u="none" strike="noStrike" kern="1200" spc="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2</a:t>
                </a:r>
                <a:r>
                  <a:rPr lang="en-GB" sz="1400" b="0" i="0" u="none" strike="noStrike" kern="1200" spc="0" baseline="-25000">
                    <a:solidFill>
                      <a:sysClr val="windowText" lastClr="000000"/>
                    </a:solidFill>
                    <a:effectLst/>
                    <a:latin typeface="+mn-lt"/>
                    <a:cs typeface="Times New Roman" panose="02020603050405020304" pitchFamily="18" charset="0"/>
                  </a:rPr>
                  <a:t>DFT</a:t>
                </a:r>
                <a:r>
                  <a:rPr lang="en-GB" sz="1400" b="0" i="0" u="none" strike="noStrike" kern="1200" baseline="0">
                    <a:solidFill>
                      <a:sysClr val="windowText" lastClr="000000"/>
                    </a:solidFill>
                  </a:rPr>
                  <a:t>(</a:t>
                </a:r>
                <a:r>
                  <a:rPr lang="en-IN" sz="1400" b="0" i="0" u="none" strike="noStrike" kern="1200" baseline="0">
                    <a:solidFill>
                      <a:sysClr val="windowText" lastClr="000000"/>
                    </a:solidFill>
                  </a:rPr>
                  <a:t>°</a:t>
                </a:r>
                <a:r>
                  <a:rPr lang="en-GB" sz="1400" b="0" i="0" u="none" strike="noStrike" kern="1200" baseline="0">
                    <a:solidFill>
                      <a:sysClr val="windowText" lastClr="000000"/>
                    </a:solidFill>
                  </a:rPr>
                  <a:t>)</a:t>
                </a:r>
                <a:endParaRPr lang="en-IN" sz="1400" b="0" i="0" u="none" strike="noStrike" kern="1200" baseline="-25000">
                  <a:solidFill>
                    <a:sysClr val="windowText" lastClr="000000"/>
                  </a:solidFill>
                  <a:latin typeface="+mn-lt"/>
                </a:endParaRPr>
              </a:p>
            </c:rich>
          </c:tx>
          <c:layout>
            <c:manualLayout>
              <c:xMode val="edge"/>
              <c:yMode val="edge"/>
              <c:x val="2.7392030541636839E-4"/>
              <c:y val="0.4108675998833479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54476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4173655262233444E-2"/>
          <c:y val="0.86535688247302422"/>
          <c:w val="0.89165266841644797"/>
          <c:h val="8.371719160104987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4" Type="http://schemas.openxmlformats.org/officeDocument/2006/relationships/chart" Target="../charts/chart9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4" Type="http://schemas.openxmlformats.org/officeDocument/2006/relationships/chart" Target="../charts/chart13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6.xml"/><Relationship Id="rId2" Type="http://schemas.openxmlformats.org/officeDocument/2006/relationships/chart" Target="../charts/chart15.xml"/><Relationship Id="rId1" Type="http://schemas.openxmlformats.org/officeDocument/2006/relationships/chart" Target="../charts/chart14.xml"/><Relationship Id="rId4" Type="http://schemas.openxmlformats.org/officeDocument/2006/relationships/chart" Target="../charts/chart17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252413</xdr:colOff>
      <xdr:row>6</xdr:row>
      <xdr:rowOff>47625</xdr:rowOff>
    </xdr:from>
    <xdr:to>
      <xdr:col>16</xdr:col>
      <xdr:colOff>147637</xdr:colOff>
      <xdr:row>21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209550</xdr:colOff>
      <xdr:row>5</xdr:row>
      <xdr:rowOff>100014</xdr:rowOff>
    </xdr:from>
    <xdr:to>
      <xdr:col>16</xdr:col>
      <xdr:colOff>57149</xdr:colOff>
      <xdr:row>20</xdr:row>
      <xdr:rowOff>76201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209550</xdr:colOff>
      <xdr:row>5</xdr:row>
      <xdr:rowOff>4764</xdr:rowOff>
    </xdr:from>
    <xdr:to>
      <xdr:col>16</xdr:col>
      <xdr:colOff>57149</xdr:colOff>
      <xdr:row>20</xdr:row>
      <xdr:rowOff>76201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209550</xdr:colOff>
      <xdr:row>6</xdr:row>
      <xdr:rowOff>47625</xdr:rowOff>
    </xdr:from>
    <xdr:to>
      <xdr:col>16</xdr:col>
      <xdr:colOff>57149</xdr:colOff>
      <xdr:row>20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185738</xdr:colOff>
          <xdr:row>12</xdr:row>
          <xdr:rowOff>171450</xdr:rowOff>
        </xdr:from>
        <xdr:to>
          <xdr:col>13</xdr:col>
          <xdr:colOff>581025</xdr:colOff>
          <xdr:row>16</xdr:row>
          <xdr:rowOff>14288</xdr:rowOff>
        </xdr:to>
        <xdr:sp macro="" textlink="">
          <xdr:nvSpPr>
            <xdr:cNvPr id="12289" name="Object 1" hidden="1">
              <a:extLst>
                <a:ext uri="{63B3BB69-23CF-44E3-9099-C40C66FF867C}">
                  <a14:compatExt spid="_x0000_s12289"/>
                </a:ext>
                <a:ext uri="{FF2B5EF4-FFF2-40B4-BE49-F238E27FC236}">
                  <a16:creationId xmlns:a16="http://schemas.microsoft.com/office/drawing/2014/main" id="{00000000-0008-0000-0500-000001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209550</xdr:colOff>
      <xdr:row>6</xdr:row>
      <xdr:rowOff>47625</xdr:rowOff>
    </xdr:from>
    <xdr:to>
      <xdr:col>16</xdr:col>
      <xdr:colOff>57149</xdr:colOff>
      <xdr:row>20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276225</xdr:colOff>
          <xdr:row>12</xdr:row>
          <xdr:rowOff>133350</xdr:rowOff>
        </xdr:from>
        <xdr:to>
          <xdr:col>15</xdr:col>
          <xdr:colOff>47625</xdr:colOff>
          <xdr:row>15</xdr:row>
          <xdr:rowOff>157163</xdr:rowOff>
        </xdr:to>
        <xdr:sp macro="" textlink="">
          <xdr:nvSpPr>
            <xdr:cNvPr id="7169" name="Object 1" hidden="1">
              <a:extLst>
                <a:ext uri="{63B3BB69-23CF-44E3-9099-C40C66FF867C}">
                  <a14:compatExt spid="_x0000_s7169"/>
                </a:ext>
                <a:ext uri="{FF2B5EF4-FFF2-40B4-BE49-F238E27FC236}">
                  <a16:creationId xmlns:a16="http://schemas.microsoft.com/office/drawing/2014/main" id="{00000000-0008-0000-0600-000001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23</xdr:row>
      <xdr:rowOff>123826</xdr:rowOff>
    </xdr:from>
    <xdr:to>
      <xdr:col>7</xdr:col>
      <xdr:colOff>214312</xdr:colOff>
      <xdr:row>38</xdr:row>
      <xdr:rowOff>152401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24</xdr:row>
      <xdr:rowOff>0</xdr:rowOff>
    </xdr:from>
    <xdr:to>
      <xdr:col>19</xdr:col>
      <xdr:colOff>214312</xdr:colOff>
      <xdr:row>39</xdr:row>
      <xdr:rowOff>28575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25</xdr:col>
      <xdr:colOff>0</xdr:colOff>
      <xdr:row>23</xdr:row>
      <xdr:rowOff>0</xdr:rowOff>
    </xdr:from>
    <xdr:to>
      <xdr:col>32</xdr:col>
      <xdr:colOff>214312</xdr:colOff>
      <xdr:row>38</xdr:row>
      <xdr:rowOff>28575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38</xdr:col>
      <xdr:colOff>161925</xdr:colOff>
      <xdr:row>21</xdr:row>
      <xdr:rowOff>23812</xdr:rowOff>
    </xdr:from>
    <xdr:to>
      <xdr:col>45</xdr:col>
      <xdr:colOff>376237</xdr:colOff>
      <xdr:row>36</xdr:row>
      <xdr:rowOff>52387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23</xdr:row>
      <xdr:rowOff>123826</xdr:rowOff>
    </xdr:from>
    <xdr:to>
      <xdr:col>7</xdr:col>
      <xdr:colOff>214312</xdr:colOff>
      <xdr:row>38</xdr:row>
      <xdr:rowOff>152401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24</xdr:row>
      <xdr:rowOff>0</xdr:rowOff>
    </xdr:from>
    <xdr:to>
      <xdr:col>19</xdr:col>
      <xdr:colOff>214312</xdr:colOff>
      <xdr:row>39</xdr:row>
      <xdr:rowOff>28575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25</xdr:col>
      <xdr:colOff>0</xdr:colOff>
      <xdr:row>23</xdr:row>
      <xdr:rowOff>0</xdr:rowOff>
    </xdr:from>
    <xdr:to>
      <xdr:col>32</xdr:col>
      <xdr:colOff>214312</xdr:colOff>
      <xdr:row>38</xdr:row>
      <xdr:rowOff>28575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38</xdr:col>
      <xdr:colOff>161925</xdr:colOff>
      <xdr:row>21</xdr:row>
      <xdr:rowOff>23812</xdr:rowOff>
    </xdr:from>
    <xdr:to>
      <xdr:col>45</xdr:col>
      <xdr:colOff>376237</xdr:colOff>
      <xdr:row>36</xdr:row>
      <xdr:rowOff>52387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614363</xdr:colOff>
      <xdr:row>21</xdr:row>
      <xdr:rowOff>33339</xdr:rowOff>
    </xdr:from>
    <xdr:to>
      <xdr:col>8</xdr:col>
      <xdr:colOff>504825</xdr:colOff>
      <xdr:row>36</xdr:row>
      <xdr:rowOff>61914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23</xdr:row>
      <xdr:rowOff>0</xdr:rowOff>
    </xdr:from>
    <xdr:to>
      <xdr:col>19</xdr:col>
      <xdr:colOff>214312</xdr:colOff>
      <xdr:row>38</xdr:row>
      <xdr:rowOff>28575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25</xdr:col>
      <xdr:colOff>0</xdr:colOff>
      <xdr:row>22</xdr:row>
      <xdr:rowOff>0</xdr:rowOff>
    </xdr:from>
    <xdr:to>
      <xdr:col>32</xdr:col>
      <xdr:colOff>214312</xdr:colOff>
      <xdr:row>37</xdr:row>
      <xdr:rowOff>28575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38</xdr:col>
      <xdr:colOff>161925</xdr:colOff>
      <xdr:row>20</xdr:row>
      <xdr:rowOff>23812</xdr:rowOff>
    </xdr:from>
    <xdr:to>
      <xdr:col>45</xdr:col>
      <xdr:colOff>376237</xdr:colOff>
      <xdr:row>35</xdr:row>
      <xdr:rowOff>52387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4.xml"/><Relationship Id="rId4" Type="http://schemas.openxmlformats.org/officeDocument/2006/relationships/image" Target="../media/image1.emf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2.bin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5.xml"/><Relationship Id="rId4" Type="http://schemas.openxmlformats.org/officeDocument/2006/relationships/image" Target="../media/image1.emf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C8DB0-0F4A-4425-B7CF-A3DB95135215}">
  <dimension ref="A1:H137"/>
  <sheetViews>
    <sheetView tabSelected="1" zoomScale="91" zoomScaleNormal="91" workbookViewId="0">
      <selection activeCell="K12" sqref="K12"/>
    </sheetView>
  </sheetViews>
  <sheetFormatPr defaultRowHeight="14.25" x14ac:dyDescent="0.45"/>
  <sheetData>
    <row r="1" spans="1:8" x14ac:dyDescent="0.45">
      <c r="A1" t="s">
        <v>6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</row>
    <row r="2" spans="1:8" x14ac:dyDescent="0.45">
      <c r="A2" t="s">
        <v>113</v>
      </c>
      <c r="B2">
        <v>116.7731071</v>
      </c>
      <c r="C2">
        <v>91.258685279999995</v>
      </c>
      <c r="D2">
        <v>143.3137418</v>
      </c>
      <c r="E2">
        <v>123.5641913</v>
      </c>
      <c r="F2">
        <v>0</v>
      </c>
      <c r="G2">
        <v>0</v>
      </c>
      <c r="H2">
        <v>0</v>
      </c>
    </row>
    <row r="3" spans="1:8" x14ac:dyDescent="0.45">
      <c r="A3" t="s">
        <v>114</v>
      </c>
      <c r="B3">
        <v>116.4442801</v>
      </c>
      <c r="C3">
        <v>89.850270879999997</v>
      </c>
      <c r="D3">
        <v>123.5460848</v>
      </c>
      <c r="E3">
        <v>145.8929023</v>
      </c>
      <c r="F3">
        <v>0</v>
      </c>
      <c r="G3">
        <v>0</v>
      </c>
      <c r="H3">
        <v>0</v>
      </c>
    </row>
    <row r="4" spans="1:8" x14ac:dyDescent="0.45">
      <c r="A4" t="s">
        <v>115</v>
      </c>
      <c r="B4">
        <v>116.6953041</v>
      </c>
      <c r="C4">
        <v>90.819145739999996</v>
      </c>
      <c r="D4">
        <v>137.64240720000001</v>
      </c>
      <c r="E4">
        <v>131.5294504</v>
      </c>
      <c r="F4">
        <v>0</v>
      </c>
      <c r="G4">
        <v>0</v>
      </c>
      <c r="H4">
        <v>0</v>
      </c>
    </row>
    <row r="5" spans="1:8" x14ac:dyDescent="0.45">
      <c r="A5" t="s">
        <v>116</v>
      </c>
      <c r="B5">
        <v>118.0497763</v>
      </c>
      <c r="C5">
        <v>77.926682330000006</v>
      </c>
      <c r="D5">
        <v>142.74658529999999</v>
      </c>
      <c r="E5">
        <v>122.3796423</v>
      </c>
      <c r="F5">
        <v>72.132006129999994</v>
      </c>
      <c r="G5">
        <v>150.29739169999999</v>
      </c>
      <c r="H5">
        <v>94.088035439999999</v>
      </c>
    </row>
    <row r="6" spans="1:8" x14ac:dyDescent="0.45">
      <c r="A6" t="s">
        <v>117</v>
      </c>
      <c r="B6">
        <v>117.9294915</v>
      </c>
      <c r="C6">
        <v>89.077999500000004</v>
      </c>
      <c r="D6">
        <v>154.8822145</v>
      </c>
      <c r="E6">
        <v>116.0358913</v>
      </c>
      <c r="F6">
        <v>0</v>
      </c>
      <c r="G6">
        <v>0</v>
      </c>
      <c r="H6">
        <v>0</v>
      </c>
    </row>
    <row r="7" spans="1:8" x14ac:dyDescent="0.45">
      <c r="A7" t="s">
        <v>118</v>
      </c>
      <c r="B7">
        <v>117.554564</v>
      </c>
      <c r="C7">
        <v>72.180617150000003</v>
      </c>
      <c r="D7">
        <v>143.01979890000001</v>
      </c>
      <c r="E7">
        <v>95.777013920000002</v>
      </c>
      <c r="F7">
        <v>77.768869710000004</v>
      </c>
      <c r="G7">
        <v>152.11539740000001</v>
      </c>
      <c r="H7">
        <v>120.4130964</v>
      </c>
    </row>
    <row r="8" spans="1:8" x14ac:dyDescent="0.45">
      <c r="A8" t="s">
        <v>7</v>
      </c>
      <c r="B8">
        <v>117.3498712</v>
      </c>
      <c r="C8">
        <v>113.1914419</v>
      </c>
      <c r="D8">
        <v>131.0861108</v>
      </c>
      <c r="E8">
        <v>115.7062348</v>
      </c>
      <c r="F8">
        <v>0</v>
      </c>
      <c r="G8">
        <v>0</v>
      </c>
      <c r="H8">
        <v>0</v>
      </c>
    </row>
    <row r="9" spans="1:8" x14ac:dyDescent="0.45">
      <c r="A9" t="s">
        <v>8</v>
      </c>
      <c r="B9">
        <v>118.81107230000001</v>
      </c>
      <c r="C9">
        <v>112.3610477</v>
      </c>
      <c r="D9">
        <v>118.03717810000001</v>
      </c>
      <c r="E9">
        <v>129.2991557</v>
      </c>
      <c r="F9">
        <v>0</v>
      </c>
      <c r="G9">
        <v>0</v>
      </c>
      <c r="H9">
        <v>0</v>
      </c>
    </row>
    <row r="10" spans="1:8" x14ac:dyDescent="0.45">
      <c r="A10" t="s">
        <v>9</v>
      </c>
      <c r="B10">
        <v>116.26892960000001</v>
      </c>
      <c r="C10">
        <v>104.2583101</v>
      </c>
      <c r="D10">
        <v>139.90516650000001</v>
      </c>
      <c r="E10">
        <v>115.4914228</v>
      </c>
      <c r="F10">
        <v>0</v>
      </c>
      <c r="G10">
        <v>0</v>
      </c>
      <c r="H10">
        <v>0</v>
      </c>
    </row>
    <row r="11" spans="1:8" x14ac:dyDescent="0.45">
      <c r="A11" t="s">
        <v>10</v>
      </c>
      <c r="B11">
        <v>116.83102270000001</v>
      </c>
      <c r="C11">
        <v>98.716403029999995</v>
      </c>
      <c r="D11">
        <v>132.9908744</v>
      </c>
      <c r="E11">
        <v>128.2919507</v>
      </c>
      <c r="F11">
        <v>0</v>
      </c>
      <c r="G11">
        <v>0</v>
      </c>
      <c r="H11">
        <v>0</v>
      </c>
    </row>
    <row r="12" spans="1:8" x14ac:dyDescent="0.45">
      <c r="A12" t="s">
        <v>11</v>
      </c>
      <c r="B12">
        <v>116.73299489999999</v>
      </c>
      <c r="C12">
        <v>100.47319589999999</v>
      </c>
      <c r="D12">
        <v>135.41678160000001</v>
      </c>
      <c r="E12">
        <v>121.6394284</v>
      </c>
      <c r="F12">
        <v>0</v>
      </c>
      <c r="G12">
        <v>0</v>
      </c>
      <c r="H12">
        <v>0</v>
      </c>
    </row>
    <row r="13" spans="1:8" x14ac:dyDescent="0.45">
      <c r="A13" t="s">
        <v>12</v>
      </c>
      <c r="B13">
        <v>131.31039730000001</v>
      </c>
      <c r="C13">
        <v>109.6802507</v>
      </c>
      <c r="D13">
        <v>99.204962870000003</v>
      </c>
      <c r="E13">
        <v>141.9198887</v>
      </c>
      <c r="F13">
        <v>0</v>
      </c>
      <c r="G13">
        <v>0</v>
      </c>
      <c r="H13">
        <v>0</v>
      </c>
    </row>
    <row r="14" spans="1:8" x14ac:dyDescent="0.45">
      <c r="A14" t="s">
        <v>13</v>
      </c>
      <c r="B14">
        <v>116.7945934</v>
      </c>
      <c r="C14">
        <v>104.5088185</v>
      </c>
      <c r="D14">
        <v>115.75571170000001</v>
      </c>
      <c r="E14">
        <v>139.71342480000001</v>
      </c>
      <c r="F14">
        <v>0</v>
      </c>
      <c r="G14">
        <v>0</v>
      </c>
      <c r="H14">
        <v>0</v>
      </c>
    </row>
    <row r="15" spans="1:8" x14ac:dyDescent="0.45">
      <c r="A15" t="s">
        <v>119</v>
      </c>
      <c r="B15">
        <v>116.92733680000001</v>
      </c>
      <c r="C15">
        <v>89.575054499999993</v>
      </c>
      <c r="D15">
        <v>132.32677609999999</v>
      </c>
      <c r="E15">
        <v>133.1512907</v>
      </c>
      <c r="F15">
        <v>0</v>
      </c>
      <c r="G15">
        <v>0</v>
      </c>
      <c r="H15">
        <v>0</v>
      </c>
    </row>
    <row r="16" spans="1:8" x14ac:dyDescent="0.45">
      <c r="A16" t="s">
        <v>14</v>
      </c>
      <c r="B16">
        <v>116.9029177</v>
      </c>
      <c r="C16">
        <v>100.46163919999999</v>
      </c>
      <c r="D16">
        <v>136.2513855</v>
      </c>
      <c r="E16">
        <v>120.81778559999999</v>
      </c>
      <c r="F16">
        <v>0</v>
      </c>
      <c r="G16">
        <v>0</v>
      </c>
      <c r="H16">
        <v>0</v>
      </c>
    </row>
    <row r="17" spans="1:8" x14ac:dyDescent="0.45">
      <c r="A17" t="s">
        <v>120</v>
      </c>
      <c r="B17">
        <v>126.8680725</v>
      </c>
      <c r="C17">
        <v>74.143463370000006</v>
      </c>
      <c r="D17">
        <v>144.02059080000001</v>
      </c>
      <c r="E17">
        <v>115.7444631</v>
      </c>
      <c r="F17">
        <v>76.627155610000003</v>
      </c>
      <c r="G17">
        <v>168.59037860000001</v>
      </c>
      <c r="H17">
        <v>95.936145519999997</v>
      </c>
    </row>
    <row r="18" spans="1:8" x14ac:dyDescent="0.45">
      <c r="A18" t="s">
        <v>121</v>
      </c>
      <c r="B18">
        <v>116.5623767</v>
      </c>
      <c r="C18">
        <v>93.050602409999996</v>
      </c>
      <c r="D18">
        <v>125.0755683</v>
      </c>
      <c r="E18">
        <v>141.29728789999999</v>
      </c>
      <c r="F18">
        <v>0</v>
      </c>
      <c r="G18">
        <v>0</v>
      </c>
      <c r="H18">
        <v>0</v>
      </c>
    </row>
    <row r="19" spans="1:8" x14ac:dyDescent="0.45">
      <c r="A19" t="s">
        <v>122</v>
      </c>
      <c r="B19">
        <v>117.9015332</v>
      </c>
      <c r="C19">
        <v>0</v>
      </c>
      <c r="D19">
        <v>143.06461340000001</v>
      </c>
      <c r="E19">
        <v>0</v>
      </c>
      <c r="F19">
        <v>0</v>
      </c>
      <c r="G19">
        <v>0</v>
      </c>
      <c r="H19">
        <v>0</v>
      </c>
    </row>
    <row r="20" spans="1:8" x14ac:dyDescent="0.45">
      <c r="A20" t="s">
        <v>123</v>
      </c>
      <c r="B20">
        <v>118.68592289999999</v>
      </c>
      <c r="C20">
        <v>101.6892556</v>
      </c>
      <c r="D20">
        <v>117.82185130000001</v>
      </c>
      <c r="E20">
        <v>138.8687276</v>
      </c>
      <c r="F20">
        <v>0</v>
      </c>
      <c r="G20">
        <v>0</v>
      </c>
      <c r="H20">
        <v>0</v>
      </c>
    </row>
    <row r="21" spans="1:8" x14ac:dyDescent="0.45">
      <c r="A21" t="s">
        <v>124</v>
      </c>
      <c r="B21">
        <v>117.20349760000001</v>
      </c>
      <c r="C21">
        <v>103.627376</v>
      </c>
      <c r="D21">
        <v>113.9478879</v>
      </c>
      <c r="E21">
        <v>139.5514895</v>
      </c>
      <c r="F21">
        <v>0</v>
      </c>
      <c r="G21">
        <v>0</v>
      </c>
      <c r="H21">
        <v>0</v>
      </c>
    </row>
    <row r="22" spans="1:8" x14ac:dyDescent="0.45">
      <c r="A22" t="s">
        <v>125</v>
      </c>
      <c r="B22">
        <v>116.5727991</v>
      </c>
      <c r="C22">
        <v>100.8654677</v>
      </c>
      <c r="D22">
        <v>118.90071519999999</v>
      </c>
      <c r="E22">
        <v>133.76996800000001</v>
      </c>
      <c r="F22">
        <v>0</v>
      </c>
      <c r="G22">
        <v>0</v>
      </c>
      <c r="H22">
        <v>0</v>
      </c>
    </row>
    <row r="23" spans="1:8" x14ac:dyDescent="0.45">
      <c r="A23" t="s">
        <v>15</v>
      </c>
      <c r="B23">
        <v>114.62505779999999</v>
      </c>
      <c r="C23">
        <v>106.2482251</v>
      </c>
      <c r="D23">
        <v>118.3054269</v>
      </c>
      <c r="E23">
        <v>133.91578630000001</v>
      </c>
      <c r="F23">
        <v>0</v>
      </c>
      <c r="G23">
        <v>0</v>
      </c>
      <c r="H23">
        <v>0</v>
      </c>
    </row>
    <row r="24" spans="1:8" x14ac:dyDescent="0.45">
      <c r="A24" t="s">
        <v>16</v>
      </c>
      <c r="B24">
        <v>115.6987353</v>
      </c>
      <c r="C24">
        <v>79.629050950000007</v>
      </c>
      <c r="D24">
        <v>133.08676579999999</v>
      </c>
      <c r="E24">
        <v>146.9232083</v>
      </c>
      <c r="F24">
        <v>0</v>
      </c>
      <c r="G24">
        <v>0</v>
      </c>
      <c r="H24">
        <v>0</v>
      </c>
    </row>
    <row r="25" spans="1:8" x14ac:dyDescent="0.45">
      <c r="A25" t="s">
        <v>17</v>
      </c>
      <c r="B25">
        <v>115.6850625</v>
      </c>
      <c r="C25">
        <v>83.026475160000004</v>
      </c>
      <c r="D25">
        <v>144.89444309999999</v>
      </c>
      <c r="E25">
        <v>131.81316559999999</v>
      </c>
      <c r="F25">
        <v>0</v>
      </c>
      <c r="G25">
        <v>0</v>
      </c>
      <c r="H25">
        <v>0</v>
      </c>
    </row>
    <row r="26" spans="1:8" x14ac:dyDescent="0.45">
      <c r="A26" t="s">
        <v>18</v>
      </c>
      <c r="B26">
        <v>127.4962195</v>
      </c>
      <c r="C26">
        <v>87.653648689999997</v>
      </c>
      <c r="D26">
        <v>164.5721618</v>
      </c>
      <c r="E26">
        <v>107.12935160000001</v>
      </c>
      <c r="F26">
        <v>0</v>
      </c>
      <c r="G26">
        <v>0</v>
      </c>
      <c r="H26">
        <v>0</v>
      </c>
    </row>
    <row r="27" spans="1:8" x14ac:dyDescent="0.45">
      <c r="A27" t="s">
        <v>19</v>
      </c>
      <c r="B27">
        <v>115.8390974</v>
      </c>
      <c r="C27">
        <v>83.590012139999999</v>
      </c>
      <c r="D27">
        <v>147.2255767</v>
      </c>
      <c r="E27">
        <v>129.0952829</v>
      </c>
      <c r="F27">
        <v>0</v>
      </c>
      <c r="G27">
        <v>0</v>
      </c>
      <c r="H27">
        <v>0</v>
      </c>
    </row>
    <row r="28" spans="1:8" x14ac:dyDescent="0.45">
      <c r="A28" t="s">
        <v>20</v>
      </c>
      <c r="B28">
        <v>116.5496658</v>
      </c>
      <c r="C28">
        <v>84.729683660000006</v>
      </c>
      <c r="D28">
        <v>134.10633680000001</v>
      </c>
      <c r="E28">
        <v>140.47496369999999</v>
      </c>
      <c r="F28">
        <v>0</v>
      </c>
      <c r="G28">
        <v>0</v>
      </c>
      <c r="H28">
        <v>0</v>
      </c>
    </row>
    <row r="29" spans="1:8" x14ac:dyDescent="0.45">
      <c r="A29" t="s">
        <v>21</v>
      </c>
      <c r="B29">
        <v>115.77441</v>
      </c>
      <c r="C29">
        <v>84.301551200000006</v>
      </c>
      <c r="D29">
        <v>131.36235769999999</v>
      </c>
      <c r="E29">
        <v>144.0303193</v>
      </c>
      <c r="F29">
        <v>0</v>
      </c>
      <c r="G29">
        <v>0</v>
      </c>
      <c r="H29">
        <v>0</v>
      </c>
    </row>
    <row r="30" spans="1:8" x14ac:dyDescent="0.45">
      <c r="A30" t="s">
        <v>22</v>
      </c>
      <c r="B30">
        <v>116.382017</v>
      </c>
      <c r="C30">
        <v>84.533700749999994</v>
      </c>
      <c r="D30">
        <v>137.97371419999999</v>
      </c>
      <c r="E30">
        <v>137.36758639999999</v>
      </c>
      <c r="F30">
        <v>0</v>
      </c>
      <c r="G30">
        <v>0</v>
      </c>
      <c r="H30">
        <v>0</v>
      </c>
    </row>
    <row r="31" spans="1:8" x14ac:dyDescent="0.45">
      <c r="A31" t="s">
        <v>23</v>
      </c>
      <c r="B31">
        <v>127.6767846</v>
      </c>
      <c r="C31">
        <v>88.719491950000005</v>
      </c>
      <c r="D31">
        <v>166.5459267</v>
      </c>
      <c r="E31">
        <v>104.549626</v>
      </c>
      <c r="F31">
        <v>0</v>
      </c>
      <c r="G31">
        <v>0</v>
      </c>
      <c r="H31">
        <v>0</v>
      </c>
    </row>
    <row r="32" spans="1:8" x14ac:dyDescent="0.45">
      <c r="A32" t="s">
        <v>24</v>
      </c>
      <c r="B32">
        <v>117.2586891</v>
      </c>
      <c r="C32">
        <v>84.310374960000004</v>
      </c>
      <c r="D32">
        <v>125.41894739999999</v>
      </c>
      <c r="E32">
        <v>149.6626646</v>
      </c>
      <c r="F32">
        <v>0</v>
      </c>
      <c r="G32">
        <v>0</v>
      </c>
      <c r="H32">
        <v>0</v>
      </c>
    </row>
    <row r="33" spans="1:8" x14ac:dyDescent="0.45">
      <c r="A33" t="s">
        <v>25</v>
      </c>
      <c r="B33">
        <v>117.5996313</v>
      </c>
      <c r="C33">
        <v>91.483094960000003</v>
      </c>
      <c r="D33">
        <v>143.7719697</v>
      </c>
      <c r="E33">
        <v>122.0559397</v>
      </c>
      <c r="F33">
        <v>0</v>
      </c>
      <c r="G33">
        <v>0</v>
      </c>
      <c r="H33">
        <v>0</v>
      </c>
    </row>
    <row r="34" spans="1:8" x14ac:dyDescent="0.45">
      <c r="A34" t="s">
        <v>26</v>
      </c>
      <c r="B34">
        <v>117.83830089999999</v>
      </c>
      <c r="C34">
        <v>91.176191009999997</v>
      </c>
      <c r="D34">
        <v>138.51101439999999</v>
      </c>
      <c r="E34">
        <v>128.46793600000001</v>
      </c>
      <c r="F34">
        <v>0</v>
      </c>
      <c r="G34">
        <v>0</v>
      </c>
      <c r="H34">
        <v>0</v>
      </c>
    </row>
    <row r="35" spans="1:8" x14ac:dyDescent="0.45">
      <c r="A35" t="s">
        <v>27</v>
      </c>
      <c r="B35">
        <v>116.7501961</v>
      </c>
      <c r="C35">
        <v>95.317804120000005</v>
      </c>
      <c r="D35">
        <v>127.3927039</v>
      </c>
      <c r="E35">
        <v>137.0744038</v>
      </c>
      <c r="F35">
        <v>0</v>
      </c>
      <c r="G35">
        <v>0</v>
      </c>
      <c r="H35">
        <v>0</v>
      </c>
    </row>
    <row r="36" spans="1:8" x14ac:dyDescent="0.45">
      <c r="A36" t="s">
        <v>28</v>
      </c>
      <c r="B36">
        <v>117.41134169999999</v>
      </c>
      <c r="C36">
        <v>92.391578170000003</v>
      </c>
      <c r="D36">
        <v>139.7601334</v>
      </c>
      <c r="E36">
        <v>127.0240701</v>
      </c>
      <c r="F36">
        <v>0</v>
      </c>
      <c r="G36">
        <v>0</v>
      </c>
      <c r="H36">
        <v>0</v>
      </c>
    </row>
    <row r="37" spans="1:8" x14ac:dyDescent="0.45">
      <c r="A37" t="s">
        <v>126</v>
      </c>
      <c r="B37">
        <v>124.6949829</v>
      </c>
      <c r="C37">
        <v>146.7553351</v>
      </c>
      <c r="D37">
        <v>97.747643460000006</v>
      </c>
      <c r="E37">
        <v>106.0918424</v>
      </c>
    </row>
    <row r="38" spans="1:8" x14ac:dyDescent="0.45">
      <c r="A38" t="s">
        <v>29</v>
      </c>
      <c r="B38">
        <v>117.37183640000001</v>
      </c>
      <c r="C38">
        <v>93.030932199999995</v>
      </c>
      <c r="D38">
        <v>126.0882369</v>
      </c>
      <c r="E38">
        <v>140.43769750000001</v>
      </c>
      <c r="F38">
        <v>0</v>
      </c>
      <c r="G38">
        <v>0</v>
      </c>
      <c r="H38">
        <v>0</v>
      </c>
    </row>
    <row r="39" spans="1:8" x14ac:dyDescent="0.45">
      <c r="A39" t="s">
        <v>30</v>
      </c>
      <c r="B39">
        <v>116.39676969999999</v>
      </c>
      <c r="C39">
        <v>97.766808510000004</v>
      </c>
      <c r="D39">
        <v>141.2358682</v>
      </c>
      <c r="E39">
        <v>120.4543559</v>
      </c>
      <c r="F39">
        <v>0</v>
      </c>
      <c r="G39">
        <v>0</v>
      </c>
      <c r="H39">
        <v>0</v>
      </c>
    </row>
    <row r="40" spans="1:8" x14ac:dyDescent="0.45">
      <c r="A40" t="s">
        <v>31</v>
      </c>
      <c r="B40">
        <v>117.3636004</v>
      </c>
      <c r="C40">
        <v>111.1898779</v>
      </c>
      <c r="D40">
        <v>128.5521717</v>
      </c>
      <c r="E40">
        <v>120.2306581</v>
      </c>
      <c r="F40">
        <v>0</v>
      </c>
      <c r="G40">
        <v>0</v>
      </c>
      <c r="H40">
        <v>0</v>
      </c>
    </row>
    <row r="41" spans="1:8" x14ac:dyDescent="0.45">
      <c r="A41" t="s">
        <v>127</v>
      </c>
      <c r="B41">
        <v>116.14260280000001</v>
      </c>
      <c r="C41">
        <v>83.878644629999997</v>
      </c>
      <c r="D41">
        <v>150.4265346</v>
      </c>
      <c r="E41">
        <v>125.5657312</v>
      </c>
      <c r="F41">
        <v>0</v>
      </c>
      <c r="G41">
        <v>0</v>
      </c>
      <c r="H41">
        <v>0</v>
      </c>
    </row>
    <row r="42" spans="1:8" x14ac:dyDescent="0.45">
      <c r="A42" t="s">
        <v>128</v>
      </c>
      <c r="B42">
        <v>115.37326830000001</v>
      </c>
      <c r="C42">
        <v>90.27855572</v>
      </c>
      <c r="D42">
        <v>130.90285009999999</v>
      </c>
      <c r="E42">
        <v>138.26877820000001</v>
      </c>
      <c r="F42">
        <v>0</v>
      </c>
      <c r="G42">
        <v>0</v>
      </c>
      <c r="H42">
        <v>0</v>
      </c>
    </row>
    <row r="43" spans="1:8" x14ac:dyDescent="0.45">
      <c r="A43" t="s">
        <v>32</v>
      </c>
      <c r="B43">
        <v>116.6173763</v>
      </c>
      <c r="C43">
        <v>111.9289788</v>
      </c>
      <c r="D43">
        <v>119.4068031</v>
      </c>
      <c r="E43">
        <v>127.2825169</v>
      </c>
      <c r="F43">
        <v>0</v>
      </c>
      <c r="G43">
        <v>0</v>
      </c>
      <c r="H43">
        <v>0</v>
      </c>
    </row>
    <row r="44" spans="1:8" x14ac:dyDescent="0.45">
      <c r="A44" t="s">
        <v>33</v>
      </c>
      <c r="B44">
        <v>116.9218317</v>
      </c>
      <c r="C44">
        <v>112.7491132</v>
      </c>
      <c r="D44">
        <v>112.5678539</v>
      </c>
      <c r="E44">
        <v>134.45144809999999</v>
      </c>
      <c r="F44">
        <v>0</v>
      </c>
      <c r="G44">
        <v>0</v>
      </c>
      <c r="H44">
        <v>0</v>
      </c>
    </row>
    <row r="45" spans="1:8" x14ac:dyDescent="0.45">
      <c r="A45" t="s">
        <v>34</v>
      </c>
      <c r="B45">
        <v>113.8417153</v>
      </c>
      <c r="C45">
        <v>105.94938639999999</v>
      </c>
      <c r="D45">
        <v>128.15938059999999</v>
      </c>
      <c r="E45">
        <v>125.884016</v>
      </c>
      <c r="F45">
        <v>0</v>
      </c>
      <c r="G45">
        <v>0</v>
      </c>
      <c r="H45">
        <v>0</v>
      </c>
    </row>
    <row r="46" spans="1:8" x14ac:dyDescent="0.45">
      <c r="A46" t="s">
        <v>35</v>
      </c>
      <c r="B46">
        <v>117.5824217</v>
      </c>
      <c r="C46">
        <v>104.87650259999999</v>
      </c>
      <c r="D46">
        <v>109.9740984</v>
      </c>
      <c r="E46">
        <v>144.9696691</v>
      </c>
      <c r="F46">
        <v>0</v>
      </c>
      <c r="G46">
        <v>0</v>
      </c>
      <c r="H46">
        <v>0</v>
      </c>
    </row>
    <row r="47" spans="1:8" x14ac:dyDescent="0.45">
      <c r="A47" t="s">
        <v>36</v>
      </c>
      <c r="B47">
        <v>117.7519717</v>
      </c>
      <c r="C47">
        <v>85.044258429999999</v>
      </c>
      <c r="D47">
        <v>121.2004554</v>
      </c>
      <c r="E47">
        <v>153.2023786</v>
      </c>
      <c r="F47">
        <v>0</v>
      </c>
      <c r="G47">
        <v>0</v>
      </c>
      <c r="H47">
        <v>0</v>
      </c>
    </row>
    <row r="48" spans="1:8" x14ac:dyDescent="0.45">
      <c r="A48" t="s">
        <v>37</v>
      </c>
      <c r="B48">
        <v>119.0737026</v>
      </c>
      <c r="C48">
        <v>85.370693079999995</v>
      </c>
      <c r="D48">
        <v>134.97255430000001</v>
      </c>
      <c r="E48">
        <v>139.5846027</v>
      </c>
      <c r="F48">
        <v>0</v>
      </c>
      <c r="G48">
        <v>0</v>
      </c>
      <c r="H48">
        <v>0</v>
      </c>
    </row>
    <row r="49" spans="1:8" x14ac:dyDescent="0.45">
      <c r="A49" t="s">
        <v>38</v>
      </c>
      <c r="B49">
        <v>117.0203386</v>
      </c>
      <c r="C49">
        <v>84.327758939999995</v>
      </c>
      <c r="D49">
        <v>126.22751479999999</v>
      </c>
      <c r="E49">
        <v>149.07712140000001</v>
      </c>
      <c r="F49">
        <v>0</v>
      </c>
      <c r="G49">
        <v>0</v>
      </c>
      <c r="H49">
        <v>0</v>
      </c>
    </row>
    <row r="50" spans="1:8" x14ac:dyDescent="0.45">
      <c r="A50" t="s">
        <v>39</v>
      </c>
      <c r="B50">
        <v>117.55285670000001</v>
      </c>
      <c r="C50">
        <v>85.14903151</v>
      </c>
      <c r="D50">
        <v>151.3036439</v>
      </c>
      <c r="E50">
        <v>123.5455255</v>
      </c>
      <c r="F50">
        <v>0</v>
      </c>
      <c r="G50">
        <v>0</v>
      </c>
      <c r="H50">
        <v>0</v>
      </c>
    </row>
    <row r="51" spans="1:8" x14ac:dyDescent="0.45">
      <c r="A51" t="s">
        <v>40</v>
      </c>
      <c r="B51">
        <v>119.0532348</v>
      </c>
      <c r="C51">
        <v>92.023344660000006</v>
      </c>
      <c r="D51">
        <v>137.4693001</v>
      </c>
      <c r="E51">
        <v>127.9290237</v>
      </c>
      <c r="F51">
        <v>0</v>
      </c>
      <c r="G51">
        <v>0</v>
      </c>
      <c r="H51">
        <v>0</v>
      </c>
    </row>
    <row r="52" spans="1:8" x14ac:dyDescent="0.45">
      <c r="A52" t="s">
        <v>41</v>
      </c>
      <c r="B52">
        <v>117.86492079999999</v>
      </c>
      <c r="C52">
        <v>82.87431334</v>
      </c>
      <c r="D52">
        <v>139.6384501</v>
      </c>
      <c r="E52">
        <v>130.2347551</v>
      </c>
      <c r="F52">
        <v>0</v>
      </c>
      <c r="G52">
        <v>0</v>
      </c>
      <c r="H52">
        <v>0</v>
      </c>
    </row>
    <row r="53" spans="1:8" x14ac:dyDescent="0.45">
      <c r="A53" t="s">
        <v>42</v>
      </c>
      <c r="B53">
        <v>117.2112039</v>
      </c>
      <c r="C53">
        <v>85.01360425</v>
      </c>
      <c r="D53">
        <v>140.0695059</v>
      </c>
      <c r="E53">
        <v>134.90489299999999</v>
      </c>
      <c r="F53">
        <v>0</v>
      </c>
      <c r="G53">
        <v>0</v>
      </c>
      <c r="H53">
        <v>0</v>
      </c>
    </row>
    <row r="54" spans="1:8" x14ac:dyDescent="0.45">
      <c r="A54" t="s">
        <v>43</v>
      </c>
      <c r="B54">
        <v>117.0443004</v>
      </c>
      <c r="C54">
        <v>83.694305810000003</v>
      </c>
      <c r="D54">
        <v>134.62152570000001</v>
      </c>
      <c r="E54">
        <v>140.84900010000001</v>
      </c>
      <c r="F54">
        <v>0</v>
      </c>
      <c r="G54">
        <v>0</v>
      </c>
      <c r="H54">
        <v>0</v>
      </c>
    </row>
    <row r="55" spans="1:8" x14ac:dyDescent="0.45">
      <c r="A55" t="s">
        <v>44</v>
      </c>
      <c r="B55">
        <v>116.7298395</v>
      </c>
      <c r="C55">
        <v>82.210611540000002</v>
      </c>
      <c r="D55">
        <v>137.21778599999999</v>
      </c>
      <c r="E55">
        <v>139.38515609999999</v>
      </c>
    </row>
    <row r="56" spans="1:8" x14ac:dyDescent="0.45">
      <c r="A56" t="s">
        <v>45</v>
      </c>
      <c r="B56">
        <v>117.2689577</v>
      </c>
      <c r="C56">
        <v>83.142563109999998</v>
      </c>
      <c r="D56">
        <v>154.65488189999999</v>
      </c>
      <c r="E56">
        <v>113.3613414</v>
      </c>
      <c r="F56">
        <v>0</v>
      </c>
      <c r="G56">
        <v>0</v>
      </c>
      <c r="H56">
        <v>0</v>
      </c>
    </row>
    <row r="57" spans="1:8" x14ac:dyDescent="0.45">
      <c r="A57" t="s">
        <v>46</v>
      </c>
      <c r="B57">
        <v>117.99891460000001</v>
      </c>
      <c r="C57">
        <v>93.888593540000002</v>
      </c>
      <c r="D57">
        <v>108.796993</v>
      </c>
      <c r="E57">
        <v>156.902434</v>
      </c>
      <c r="F57">
        <v>0</v>
      </c>
      <c r="G57">
        <v>0</v>
      </c>
      <c r="H57">
        <v>0</v>
      </c>
    </row>
    <row r="58" spans="1:8" x14ac:dyDescent="0.45">
      <c r="A58" t="s">
        <v>47</v>
      </c>
      <c r="B58">
        <v>118.3977615</v>
      </c>
      <c r="C58">
        <v>91.595191130000003</v>
      </c>
      <c r="D58">
        <v>138.43847959999999</v>
      </c>
      <c r="E58">
        <v>129.85150379999999</v>
      </c>
      <c r="F58">
        <v>0</v>
      </c>
      <c r="G58">
        <v>0</v>
      </c>
      <c r="H58">
        <v>0</v>
      </c>
    </row>
    <row r="59" spans="1:8" x14ac:dyDescent="0.45">
      <c r="A59" t="s">
        <v>48</v>
      </c>
      <c r="B59">
        <v>115.7075437</v>
      </c>
      <c r="C59">
        <v>80.717403000000004</v>
      </c>
      <c r="D59">
        <v>132.99519570000001</v>
      </c>
      <c r="E59">
        <v>145.83506819999999</v>
      </c>
      <c r="F59">
        <v>0</v>
      </c>
      <c r="G59">
        <v>0</v>
      </c>
      <c r="H59">
        <v>0</v>
      </c>
    </row>
    <row r="60" spans="1:8" x14ac:dyDescent="0.45">
      <c r="A60" t="s">
        <v>49</v>
      </c>
      <c r="B60">
        <v>117.5808249</v>
      </c>
      <c r="C60">
        <v>107.1068629</v>
      </c>
      <c r="D60">
        <v>112.62195989999999</v>
      </c>
      <c r="E60">
        <v>137.40856049999999</v>
      </c>
      <c r="F60">
        <v>0</v>
      </c>
      <c r="G60">
        <v>0</v>
      </c>
      <c r="H60">
        <v>0</v>
      </c>
    </row>
    <row r="61" spans="1:8" x14ac:dyDescent="0.45">
      <c r="A61" t="s">
        <v>50</v>
      </c>
      <c r="B61">
        <v>118.44145640000001</v>
      </c>
      <c r="C61">
        <v>89.265178539999994</v>
      </c>
      <c r="D61">
        <v>111.2758498</v>
      </c>
      <c r="E61">
        <v>155.97343799999999</v>
      </c>
      <c r="F61">
        <v>0</v>
      </c>
      <c r="G61">
        <v>0</v>
      </c>
      <c r="H61">
        <v>0</v>
      </c>
    </row>
    <row r="62" spans="1:8" x14ac:dyDescent="0.45">
      <c r="A62" t="s">
        <v>51</v>
      </c>
      <c r="B62">
        <v>116.3483744</v>
      </c>
      <c r="C62">
        <v>95.941040709999996</v>
      </c>
      <c r="D62">
        <v>132.24393140000001</v>
      </c>
      <c r="E62">
        <v>128.8176516</v>
      </c>
      <c r="F62">
        <v>0</v>
      </c>
      <c r="G62">
        <v>0</v>
      </c>
      <c r="H62">
        <v>0</v>
      </c>
    </row>
    <row r="63" spans="1:8" x14ac:dyDescent="0.45">
      <c r="A63" t="s">
        <v>52</v>
      </c>
      <c r="B63">
        <v>117.04548939999999</v>
      </c>
      <c r="C63">
        <v>96.434994340000003</v>
      </c>
      <c r="D63">
        <v>147.2991442</v>
      </c>
      <c r="E63">
        <v>115.4239718</v>
      </c>
      <c r="F63">
        <v>0</v>
      </c>
      <c r="G63">
        <v>0</v>
      </c>
      <c r="H63">
        <v>0</v>
      </c>
    </row>
    <row r="64" spans="1:8" x14ac:dyDescent="0.45">
      <c r="A64" t="s">
        <v>53</v>
      </c>
      <c r="B64">
        <v>117.28887469999999</v>
      </c>
      <c r="C64">
        <v>94.720714409999999</v>
      </c>
      <c r="D64">
        <v>116.7480722</v>
      </c>
      <c r="E64">
        <v>148.32661440000001</v>
      </c>
      <c r="F64">
        <v>0</v>
      </c>
      <c r="G64">
        <v>0</v>
      </c>
      <c r="H64">
        <v>0</v>
      </c>
    </row>
    <row r="65" spans="1:8" x14ac:dyDescent="0.45">
      <c r="A65" t="s">
        <v>129</v>
      </c>
      <c r="B65">
        <v>116.91677489999999</v>
      </c>
      <c r="C65">
        <v>81.928563639999993</v>
      </c>
      <c r="D65">
        <v>141.4308857</v>
      </c>
      <c r="E65">
        <v>136.36428470000001</v>
      </c>
    </row>
    <row r="66" spans="1:8" x14ac:dyDescent="0.45">
      <c r="A66" t="s">
        <v>130</v>
      </c>
      <c r="B66">
        <v>115.85876020000001</v>
      </c>
      <c r="C66">
        <v>91.685113670000007</v>
      </c>
      <c r="D66">
        <v>129.84754459999999</v>
      </c>
      <c r="E66">
        <v>137.9580775</v>
      </c>
      <c r="F66">
        <v>0</v>
      </c>
      <c r="G66">
        <v>0</v>
      </c>
      <c r="H66">
        <v>0</v>
      </c>
    </row>
    <row r="67" spans="1:8" x14ac:dyDescent="0.45">
      <c r="A67" t="s">
        <v>54</v>
      </c>
      <c r="B67">
        <v>116.8770013</v>
      </c>
      <c r="C67">
        <v>108.85873170000001</v>
      </c>
      <c r="D67">
        <v>128.47991590000001</v>
      </c>
      <c r="E67">
        <v>122.2466561</v>
      </c>
      <c r="F67">
        <v>0</v>
      </c>
      <c r="G67">
        <v>0</v>
      </c>
      <c r="H67">
        <v>0</v>
      </c>
    </row>
    <row r="68" spans="1:8" x14ac:dyDescent="0.45">
      <c r="A68" t="s">
        <v>55</v>
      </c>
      <c r="B68">
        <v>118.5501385</v>
      </c>
      <c r="C68">
        <v>99.661803590000005</v>
      </c>
      <c r="D68">
        <v>144.5802429</v>
      </c>
      <c r="E68">
        <v>114.4560745</v>
      </c>
      <c r="F68">
        <v>0</v>
      </c>
      <c r="G68">
        <v>0</v>
      </c>
      <c r="H68">
        <v>0</v>
      </c>
    </row>
    <row r="69" spans="1:8" x14ac:dyDescent="0.45">
      <c r="A69" t="s">
        <v>56</v>
      </c>
      <c r="B69">
        <v>116.26394999999999</v>
      </c>
      <c r="C69">
        <v>99.122250309999998</v>
      </c>
      <c r="D69">
        <v>145.34919339999999</v>
      </c>
      <c r="E69">
        <v>115.3298197</v>
      </c>
      <c r="F69">
        <v>0</v>
      </c>
      <c r="G69">
        <v>0</v>
      </c>
      <c r="H69">
        <v>0</v>
      </c>
    </row>
    <row r="70" spans="1:8" x14ac:dyDescent="0.45">
      <c r="A70" t="s">
        <v>57</v>
      </c>
      <c r="B70">
        <v>117.02878010000001</v>
      </c>
      <c r="C70">
        <v>100.9525886</v>
      </c>
      <c r="D70">
        <v>130.84493499999999</v>
      </c>
      <c r="E70">
        <v>125.15739910000001</v>
      </c>
      <c r="F70">
        <v>0</v>
      </c>
      <c r="G70">
        <v>0</v>
      </c>
      <c r="H70">
        <v>0</v>
      </c>
    </row>
    <row r="71" spans="1:8" x14ac:dyDescent="0.45">
      <c r="A71" t="s">
        <v>58</v>
      </c>
      <c r="B71">
        <v>115.73702249999999</v>
      </c>
      <c r="C71">
        <v>81.00884284</v>
      </c>
      <c r="D71">
        <v>145.5841355</v>
      </c>
      <c r="E71">
        <v>132.8022905</v>
      </c>
      <c r="F71">
        <v>0</v>
      </c>
      <c r="G71">
        <v>0</v>
      </c>
      <c r="H71">
        <v>0</v>
      </c>
    </row>
    <row r="72" spans="1:8" x14ac:dyDescent="0.45">
      <c r="A72" t="s">
        <v>131</v>
      </c>
      <c r="B72">
        <v>116.5477513</v>
      </c>
      <c r="C72">
        <v>89.685483469999994</v>
      </c>
      <c r="D72">
        <v>147.19196640000001</v>
      </c>
      <c r="E72">
        <v>122.433921</v>
      </c>
      <c r="F72">
        <v>0</v>
      </c>
      <c r="G72">
        <v>0</v>
      </c>
      <c r="H72">
        <v>0</v>
      </c>
    </row>
    <row r="73" spans="1:8" x14ac:dyDescent="0.45">
      <c r="A73" t="s">
        <v>132</v>
      </c>
      <c r="B73">
        <v>116.724802</v>
      </c>
      <c r="C73">
        <v>91.734347450000001</v>
      </c>
      <c r="D73">
        <v>121.4524603</v>
      </c>
      <c r="E73">
        <v>144.9409694</v>
      </c>
      <c r="F73">
        <v>0</v>
      </c>
      <c r="G73">
        <v>0</v>
      </c>
      <c r="H73">
        <v>0</v>
      </c>
    </row>
    <row r="74" spans="1:8" x14ac:dyDescent="0.45">
      <c r="A74" t="s">
        <v>133</v>
      </c>
      <c r="B74">
        <v>116.73090980000001</v>
      </c>
      <c r="C74">
        <v>88.787781989999999</v>
      </c>
      <c r="D74">
        <v>137.3176881</v>
      </c>
      <c r="E74">
        <v>133.2967975</v>
      </c>
      <c r="F74">
        <v>0</v>
      </c>
      <c r="G74">
        <v>0</v>
      </c>
      <c r="H74">
        <v>0</v>
      </c>
    </row>
    <row r="75" spans="1:8" x14ac:dyDescent="0.45">
      <c r="A75" t="s">
        <v>59</v>
      </c>
      <c r="B75">
        <v>117.3857592</v>
      </c>
      <c r="C75">
        <v>95.541111400000005</v>
      </c>
      <c r="D75">
        <v>112.8314324</v>
      </c>
      <c r="E75">
        <v>149.05415930000001</v>
      </c>
    </row>
    <row r="76" spans="1:8" x14ac:dyDescent="0.45">
      <c r="A76" t="s">
        <v>60</v>
      </c>
      <c r="B76">
        <v>118.337242</v>
      </c>
      <c r="C76">
        <v>113.6297007</v>
      </c>
      <c r="D76">
        <v>111.1817353</v>
      </c>
      <c r="E76">
        <v>134.81290279999999</v>
      </c>
      <c r="F76">
        <v>0</v>
      </c>
      <c r="G76">
        <v>0</v>
      </c>
      <c r="H76">
        <v>0</v>
      </c>
    </row>
    <row r="77" spans="1:8" x14ac:dyDescent="0.45">
      <c r="A77" t="s">
        <v>61</v>
      </c>
      <c r="B77">
        <v>117.98971969999999</v>
      </c>
      <c r="C77">
        <v>113.32402159999999</v>
      </c>
      <c r="D77">
        <v>125.0278587</v>
      </c>
      <c r="E77">
        <v>120.5974934</v>
      </c>
      <c r="F77">
        <v>0</v>
      </c>
      <c r="G77">
        <v>0</v>
      </c>
      <c r="H77">
        <v>0</v>
      </c>
    </row>
    <row r="78" spans="1:8" x14ac:dyDescent="0.45">
      <c r="A78" t="s">
        <v>62</v>
      </c>
      <c r="B78">
        <v>114.9945057</v>
      </c>
      <c r="C78">
        <v>104.45655859999999</v>
      </c>
      <c r="D78">
        <v>126.37454750000001</v>
      </c>
      <c r="E78">
        <v>129.1678895</v>
      </c>
      <c r="F78">
        <v>0</v>
      </c>
      <c r="G78">
        <v>0</v>
      </c>
      <c r="H78">
        <v>0</v>
      </c>
    </row>
    <row r="79" spans="1:8" x14ac:dyDescent="0.45">
      <c r="A79" t="s">
        <v>63</v>
      </c>
      <c r="B79">
        <v>116.4310936</v>
      </c>
      <c r="C79">
        <v>100.411658</v>
      </c>
      <c r="D79">
        <v>136.1596898</v>
      </c>
      <c r="E79">
        <v>123.4168207</v>
      </c>
      <c r="F79">
        <v>0</v>
      </c>
      <c r="G79">
        <v>0</v>
      </c>
      <c r="H79">
        <v>0</v>
      </c>
    </row>
    <row r="80" spans="1:8" x14ac:dyDescent="0.45">
      <c r="A80" t="s">
        <v>64</v>
      </c>
      <c r="B80">
        <v>114.7025277</v>
      </c>
      <c r="C80">
        <v>105.6510251</v>
      </c>
      <c r="D80">
        <v>140.88457550000001</v>
      </c>
      <c r="E80">
        <v>112.3364565</v>
      </c>
      <c r="F80">
        <v>0</v>
      </c>
      <c r="G80">
        <v>0</v>
      </c>
      <c r="H80">
        <v>0</v>
      </c>
    </row>
    <row r="81" spans="1:8" x14ac:dyDescent="0.45">
      <c r="A81" t="s">
        <v>65</v>
      </c>
      <c r="B81">
        <v>116.7115506</v>
      </c>
      <c r="C81">
        <v>108.99644000000001</v>
      </c>
      <c r="D81">
        <v>126.0338038</v>
      </c>
      <c r="E81">
        <v>123.83367730000001</v>
      </c>
      <c r="F81">
        <v>0</v>
      </c>
      <c r="G81">
        <v>0</v>
      </c>
      <c r="H81">
        <v>0</v>
      </c>
    </row>
    <row r="82" spans="1:8" x14ac:dyDescent="0.45">
      <c r="A82" t="s">
        <v>66</v>
      </c>
      <c r="B82">
        <v>115.6750421</v>
      </c>
      <c r="C82">
        <v>100.68572589999999</v>
      </c>
      <c r="D82">
        <v>122.3075886</v>
      </c>
      <c r="E82">
        <v>136.80868219999999</v>
      </c>
      <c r="F82">
        <v>0</v>
      </c>
      <c r="G82">
        <v>0</v>
      </c>
      <c r="H82">
        <v>0</v>
      </c>
    </row>
    <row r="83" spans="1:8" x14ac:dyDescent="0.45">
      <c r="A83" t="s">
        <v>67</v>
      </c>
      <c r="B83">
        <v>116.8801325</v>
      </c>
      <c r="C83">
        <v>100.4285051</v>
      </c>
      <c r="D83">
        <v>135.64258100000001</v>
      </c>
      <c r="E83">
        <v>121.3126651</v>
      </c>
      <c r="F83">
        <v>0</v>
      </c>
      <c r="G83">
        <v>0</v>
      </c>
      <c r="H83">
        <v>0</v>
      </c>
    </row>
    <row r="84" spans="1:8" x14ac:dyDescent="0.45">
      <c r="A84" t="s">
        <v>134</v>
      </c>
      <c r="B84">
        <v>118.077389</v>
      </c>
      <c r="C84">
        <v>71.467418069999994</v>
      </c>
      <c r="D84">
        <v>144.08759699999999</v>
      </c>
      <c r="E84">
        <v>95.551842750000006</v>
      </c>
      <c r="F84">
        <v>77.069443680000006</v>
      </c>
      <c r="G84">
        <v>157.4946956</v>
      </c>
      <c r="H84">
        <v>119.61979890000001</v>
      </c>
    </row>
    <row r="85" spans="1:8" x14ac:dyDescent="0.45">
      <c r="A85" t="s">
        <v>135</v>
      </c>
      <c r="B85">
        <v>117.3994539</v>
      </c>
      <c r="C85">
        <v>0</v>
      </c>
      <c r="D85">
        <v>161.29237140000001</v>
      </c>
      <c r="E85">
        <v>0</v>
      </c>
      <c r="F85">
        <v>0</v>
      </c>
      <c r="G85">
        <v>0</v>
      </c>
      <c r="H85">
        <v>0</v>
      </c>
    </row>
    <row r="86" spans="1:8" x14ac:dyDescent="0.45">
      <c r="A86" t="s">
        <v>136</v>
      </c>
      <c r="B86">
        <v>119.309139</v>
      </c>
      <c r="C86">
        <v>99.468662370000004</v>
      </c>
      <c r="D86">
        <v>141.58851319999999</v>
      </c>
      <c r="E86">
        <v>116.206496</v>
      </c>
      <c r="F86">
        <v>0</v>
      </c>
      <c r="G86">
        <v>0</v>
      </c>
      <c r="H86">
        <v>0</v>
      </c>
    </row>
    <row r="87" spans="1:8" x14ac:dyDescent="0.45">
      <c r="A87" t="s">
        <v>137</v>
      </c>
      <c r="B87">
        <v>116.49630550000001</v>
      </c>
      <c r="C87">
        <v>103.78301209999999</v>
      </c>
      <c r="D87">
        <v>117.0158136</v>
      </c>
      <c r="E87">
        <v>138.2564021</v>
      </c>
      <c r="F87">
        <v>0</v>
      </c>
      <c r="G87">
        <v>0</v>
      </c>
      <c r="H87">
        <v>0</v>
      </c>
    </row>
    <row r="88" spans="1:8" x14ac:dyDescent="0.45">
      <c r="A88" t="s">
        <v>138</v>
      </c>
      <c r="B88">
        <v>117.73478040000001</v>
      </c>
      <c r="C88">
        <v>104.7517476</v>
      </c>
      <c r="D88">
        <v>108.8516776</v>
      </c>
      <c r="E88">
        <v>138.89411770000001</v>
      </c>
      <c r="F88">
        <v>0</v>
      </c>
      <c r="G88">
        <v>0</v>
      </c>
      <c r="H88">
        <v>0</v>
      </c>
    </row>
    <row r="89" spans="1:8" x14ac:dyDescent="0.45">
      <c r="A89" t="s">
        <v>68</v>
      </c>
      <c r="B89">
        <v>128.78161180000001</v>
      </c>
      <c r="C89">
        <v>112.71741230000001</v>
      </c>
      <c r="D89">
        <v>136.67041560000001</v>
      </c>
      <c r="E89">
        <v>98.564550130000001</v>
      </c>
    </row>
    <row r="90" spans="1:8" x14ac:dyDescent="0.45">
      <c r="A90" t="s">
        <v>69</v>
      </c>
      <c r="B90">
        <v>115.64454720000001</v>
      </c>
      <c r="C90">
        <v>79.811236109999996</v>
      </c>
      <c r="D90">
        <v>142.5338849</v>
      </c>
      <c r="E90">
        <v>137.42136919999999</v>
      </c>
      <c r="F90">
        <v>0</v>
      </c>
      <c r="G90">
        <v>0</v>
      </c>
      <c r="H90">
        <v>0</v>
      </c>
    </row>
    <row r="91" spans="1:8" x14ac:dyDescent="0.45">
      <c r="A91" t="s">
        <v>70</v>
      </c>
      <c r="B91">
        <v>129.5547646</v>
      </c>
      <c r="C91">
        <v>87.579713380000001</v>
      </c>
      <c r="D91">
        <v>162.63265580000001</v>
      </c>
      <c r="E91">
        <v>107.3358162</v>
      </c>
      <c r="F91">
        <v>0</v>
      </c>
      <c r="G91">
        <v>0</v>
      </c>
      <c r="H91">
        <v>0</v>
      </c>
    </row>
    <row r="92" spans="1:8" x14ac:dyDescent="0.45">
      <c r="A92" t="s">
        <v>71</v>
      </c>
      <c r="B92">
        <v>115.62260209999999</v>
      </c>
      <c r="C92">
        <v>83.654989049999998</v>
      </c>
      <c r="D92">
        <v>145.93357230000001</v>
      </c>
      <c r="E92">
        <v>130.30401900000001</v>
      </c>
      <c r="F92">
        <v>0</v>
      </c>
      <c r="G92">
        <v>0</v>
      </c>
      <c r="H92">
        <v>0</v>
      </c>
    </row>
    <row r="93" spans="1:8" x14ac:dyDescent="0.45">
      <c r="A93" t="s">
        <v>72</v>
      </c>
      <c r="B93">
        <v>115.9921307</v>
      </c>
      <c r="C93">
        <v>83.519548420000007</v>
      </c>
      <c r="D93">
        <v>134.2149622</v>
      </c>
      <c r="E93">
        <v>142.22196640000001</v>
      </c>
      <c r="F93">
        <v>0</v>
      </c>
      <c r="G93">
        <v>0</v>
      </c>
      <c r="H93">
        <v>0</v>
      </c>
    </row>
    <row r="94" spans="1:8" x14ac:dyDescent="0.45">
      <c r="A94" t="s">
        <v>73</v>
      </c>
      <c r="B94">
        <v>116.5260638</v>
      </c>
      <c r="C94">
        <v>84.7246351</v>
      </c>
      <c r="D94">
        <v>131.34146630000001</v>
      </c>
      <c r="E94">
        <v>143.23970370000001</v>
      </c>
      <c r="F94">
        <v>0</v>
      </c>
      <c r="G94">
        <v>0</v>
      </c>
      <c r="H94">
        <v>0</v>
      </c>
    </row>
    <row r="95" spans="1:8" x14ac:dyDescent="0.45">
      <c r="A95" t="s">
        <v>74</v>
      </c>
      <c r="B95">
        <v>116.27313839999999</v>
      </c>
      <c r="C95">
        <v>84.460283709999999</v>
      </c>
      <c r="D95">
        <v>130.9559892</v>
      </c>
      <c r="E95">
        <v>144.50904969999999</v>
      </c>
      <c r="F95">
        <v>0</v>
      </c>
      <c r="G95">
        <v>0</v>
      </c>
      <c r="H95">
        <v>0</v>
      </c>
    </row>
    <row r="96" spans="1:8" x14ac:dyDescent="0.45">
      <c r="A96" t="s">
        <v>75</v>
      </c>
      <c r="B96">
        <v>117.2999927</v>
      </c>
      <c r="C96">
        <v>84.348283100000003</v>
      </c>
      <c r="D96">
        <v>133.53523809999999</v>
      </c>
      <c r="E96">
        <v>139.37298609999999</v>
      </c>
      <c r="F96">
        <v>0</v>
      </c>
      <c r="G96">
        <v>0</v>
      </c>
      <c r="H96">
        <v>0</v>
      </c>
    </row>
    <row r="97" spans="1:8" x14ac:dyDescent="0.45">
      <c r="A97" t="s">
        <v>76</v>
      </c>
      <c r="B97">
        <v>116.52079329999999</v>
      </c>
      <c r="C97">
        <v>84.090844270000005</v>
      </c>
      <c r="D97">
        <v>147.30211499999999</v>
      </c>
      <c r="E97">
        <v>127.08427260000001</v>
      </c>
      <c r="F97">
        <v>0</v>
      </c>
      <c r="G97">
        <v>0</v>
      </c>
      <c r="H97">
        <v>0</v>
      </c>
    </row>
    <row r="98" spans="1:8" x14ac:dyDescent="0.45">
      <c r="A98" t="s">
        <v>77</v>
      </c>
      <c r="B98">
        <v>115.90619220000001</v>
      </c>
      <c r="C98">
        <v>84.611467869999998</v>
      </c>
      <c r="D98">
        <v>133.53992880000001</v>
      </c>
      <c r="E98">
        <v>141.77016</v>
      </c>
      <c r="F98">
        <v>0</v>
      </c>
      <c r="G98">
        <v>0</v>
      </c>
      <c r="H98">
        <v>0</v>
      </c>
    </row>
    <row r="99" spans="1:8" x14ac:dyDescent="0.45">
      <c r="A99" t="s">
        <v>78</v>
      </c>
      <c r="B99">
        <v>121.2719644</v>
      </c>
      <c r="C99">
        <v>95.401815450000001</v>
      </c>
      <c r="D99">
        <v>156.86695779999999</v>
      </c>
      <c r="E99">
        <v>107.1920624</v>
      </c>
      <c r="F99">
        <v>0</v>
      </c>
      <c r="G99">
        <v>0</v>
      </c>
      <c r="H99">
        <v>0</v>
      </c>
    </row>
    <row r="100" spans="1:8" x14ac:dyDescent="0.45">
      <c r="A100" t="s">
        <v>79</v>
      </c>
      <c r="B100">
        <v>118.6215567</v>
      </c>
      <c r="C100">
        <v>89.525864839999997</v>
      </c>
      <c r="D100">
        <v>124.5732766</v>
      </c>
      <c r="E100">
        <v>145.26536239999999</v>
      </c>
    </row>
    <row r="101" spans="1:8" x14ac:dyDescent="0.45">
      <c r="A101" t="s">
        <v>80</v>
      </c>
      <c r="B101">
        <v>124.02988259999999</v>
      </c>
      <c r="C101">
        <v>93.885374819999996</v>
      </c>
      <c r="D101">
        <v>101.7889271</v>
      </c>
      <c r="E101">
        <v>157.61271070000001</v>
      </c>
    </row>
    <row r="102" spans="1:8" x14ac:dyDescent="0.45">
      <c r="A102" t="s">
        <v>81</v>
      </c>
      <c r="B102">
        <v>118.0047579</v>
      </c>
      <c r="C102">
        <v>95.384020590000006</v>
      </c>
      <c r="D102">
        <v>117.3492947</v>
      </c>
      <c r="E102">
        <v>118.0672196</v>
      </c>
    </row>
    <row r="103" spans="1:8" x14ac:dyDescent="0.45">
      <c r="A103" t="s">
        <v>82</v>
      </c>
      <c r="B103">
        <v>119.74538920000001</v>
      </c>
      <c r="C103">
        <v>91.829746529999994</v>
      </c>
      <c r="D103">
        <v>110.52889759999999</v>
      </c>
      <c r="E103">
        <v>157.50219730000001</v>
      </c>
    </row>
    <row r="104" spans="1:8" x14ac:dyDescent="0.45">
      <c r="A104" t="s">
        <v>83</v>
      </c>
      <c r="B104">
        <v>119.48541059999999</v>
      </c>
      <c r="C104">
        <v>93.854560219999996</v>
      </c>
      <c r="D104">
        <v>115.17836869999999</v>
      </c>
      <c r="E104">
        <v>150.94473310000001</v>
      </c>
    </row>
    <row r="105" spans="1:8" x14ac:dyDescent="0.45">
      <c r="A105" t="s">
        <v>84</v>
      </c>
      <c r="B105">
        <v>116.0616777</v>
      </c>
      <c r="C105">
        <v>111.0270579</v>
      </c>
      <c r="D105">
        <v>129.3638421</v>
      </c>
      <c r="E105">
        <v>118.6535715</v>
      </c>
      <c r="F105">
        <v>0</v>
      </c>
      <c r="G105">
        <v>0</v>
      </c>
      <c r="H105">
        <v>0</v>
      </c>
    </row>
    <row r="106" spans="1:8" x14ac:dyDescent="0.45">
      <c r="A106" t="s">
        <v>139</v>
      </c>
      <c r="B106">
        <v>116.0861902</v>
      </c>
      <c r="C106">
        <v>83.683074610000006</v>
      </c>
      <c r="D106">
        <v>150.15055240000001</v>
      </c>
      <c r="E106">
        <v>125.8905867</v>
      </c>
      <c r="F106">
        <v>0</v>
      </c>
      <c r="G106">
        <v>0</v>
      </c>
      <c r="H106">
        <v>0</v>
      </c>
    </row>
    <row r="107" spans="1:8" x14ac:dyDescent="0.45">
      <c r="A107" t="s">
        <v>140</v>
      </c>
      <c r="B107">
        <v>115.3213021</v>
      </c>
      <c r="C107">
        <v>90.441336980000003</v>
      </c>
      <c r="D107">
        <v>135.87563489999999</v>
      </c>
      <c r="E107">
        <v>133.22609499999999</v>
      </c>
      <c r="F107">
        <v>0</v>
      </c>
      <c r="G107">
        <v>0</v>
      </c>
      <c r="H107">
        <v>0</v>
      </c>
    </row>
    <row r="108" spans="1:8" x14ac:dyDescent="0.45">
      <c r="A108" t="s">
        <v>85</v>
      </c>
      <c r="B108">
        <v>114.83924690000001</v>
      </c>
      <c r="C108">
        <v>101.9461158</v>
      </c>
      <c r="D108">
        <v>120.03232029999999</v>
      </c>
      <c r="E108">
        <v>135.98142970000001</v>
      </c>
      <c r="F108">
        <v>0</v>
      </c>
      <c r="G108">
        <v>0</v>
      </c>
      <c r="H108">
        <v>0</v>
      </c>
    </row>
    <row r="109" spans="1:8" x14ac:dyDescent="0.45">
      <c r="A109" t="s">
        <v>86</v>
      </c>
      <c r="B109">
        <v>116.5916142</v>
      </c>
      <c r="C109">
        <v>106.48178350000001</v>
      </c>
      <c r="D109">
        <v>115.1770267</v>
      </c>
      <c r="E109">
        <v>137.87582549999999</v>
      </c>
      <c r="F109">
        <v>0</v>
      </c>
      <c r="G109">
        <v>0</v>
      </c>
      <c r="H109">
        <v>0</v>
      </c>
    </row>
    <row r="110" spans="1:8" x14ac:dyDescent="0.45">
      <c r="A110" t="s">
        <v>87</v>
      </c>
      <c r="B110">
        <v>116.71749749999999</v>
      </c>
      <c r="C110">
        <v>115.46171390000001</v>
      </c>
      <c r="D110">
        <v>114.63269409999999</v>
      </c>
      <c r="E110">
        <v>129.4337543</v>
      </c>
      <c r="F110">
        <v>0</v>
      </c>
      <c r="G110">
        <v>0</v>
      </c>
      <c r="H110">
        <v>0</v>
      </c>
    </row>
    <row r="111" spans="1:8" x14ac:dyDescent="0.45">
      <c r="A111" t="s">
        <v>88</v>
      </c>
      <c r="B111">
        <v>117.00122930000001</v>
      </c>
      <c r="C111">
        <v>97.147863799999996</v>
      </c>
      <c r="D111">
        <v>142.06060260000001</v>
      </c>
      <c r="E111">
        <v>120.79034129999999</v>
      </c>
      <c r="F111">
        <v>0</v>
      </c>
      <c r="G111">
        <v>0</v>
      </c>
      <c r="H111">
        <v>0</v>
      </c>
    </row>
    <row r="112" spans="1:8" x14ac:dyDescent="0.45">
      <c r="A112" t="s">
        <v>89</v>
      </c>
      <c r="B112">
        <v>116.7528346</v>
      </c>
      <c r="C112">
        <v>109.6236767</v>
      </c>
      <c r="D112">
        <v>109.96886069999999</v>
      </c>
      <c r="E112">
        <v>139.06117760000001</v>
      </c>
      <c r="F112">
        <v>0</v>
      </c>
      <c r="G112">
        <v>0</v>
      </c>
      <c r="H112">
        <v>0</v>
      </c>
    </row>
    <row r="113" spans="1:8" x14ac:dyDescent="0.45">
      <c r="A113" t="s">
        <v>90</v>
      </c>
      <c r="B113">
        <v>120.0409125</v>
      </c>
      <c r="C113">
        <v>88.952783920000002</v>
      </c>
      <c r="D113">
        <v>153.9050038</v>
      </c>
      <c r="E113">
        <v>111.7451444</v>
      </c>
      <c r="F113">
        <v>0</v>
      </c>
      <c r="G113">
        <v>0</v>
      </c>
      <c r="H113">
        <v>0</v>
      </c>
    </row>
    <row r="114" spans="1:8" x14ac:dyDescent="0.45">
      <c r="A114" t="s">
        <v>91</v>
      </c>
      <c r="B114">
        <v>118.627489</v>
      </c>
      <c r="C114">
        <v>84.96101754</v>
      </c>
      <c r="D114">
        <v>125.8983829</v>
      </c>
      <c r="E114">
        <v>143.9075929</v>
      </c>
      <c r="F114">
        <v>0</v>
      </c>
      <c r="G114">
        <v>0</v>
      </c>
      <c r="H114">
        <v>0</v>
      </c>
    </row>
    <row r="115" spans="1:8" x14ac:dyDescent="0.45">
      <c r="A115" t="s">
        <v>92</v>
      </c>
      <c r="B115">
        <v>116.76676519999999</v>
      </c>
      <c r="C115">
        <v>84.753510329999997</v>
      </c>
      <c r="D115">
        <v>128.94315539999999</v>
      </c>
      <c r="E115">
        <v>145.63021230000001</v>
      </c>
      <c r="F115">
        <v>0</v>
      </c>
      <c r="G115">
        <v>0</v>
      </c>
      <c r="H115">
        <v>0</v>
      </c>
    </row>
    <row r="116" spans="1:8" x14ac:dyDescent="0.45">
      <c r="A116" t="s">
        <v>93</v>
      </c>
      <c r="B116">
        <v>116.81171929999999</v>
      </c>
      <c r="C116">
        <v>85.39669001</v>
      </c>
      <c r="D116">
        <v>144.74006270000001</v>
      </c>
      <c r="E116">
        <v>129.4943715</v>
      </c>
      <c r="F116">
        <v>0</v>
      </c>
      <c r="G116">
        <v>0</v>
      </c>
      <c r="H116">
        <v>0</v>
      </c>
    </row>
    <row r="117" spans="1:8" x14ac:dyDescent="0.45">
      <c r="A117" t="s">
        <v>94</v>
      </c>
      <c r="B117">
        <v>116.8899905</v>
      </c>
      <c r="C117">
        <v>91.085218549999993</v>
      </c>
      <c r="D117">
        <v>134.7651554</v>
      </c>
      <c r="E117">
        <v>133.98963470000001</v>
      </c>
      <c r="F117">
        <v>0</v>
      </c>
      <c r="G117">
        <v>0</v>
      </c>
      <c r="H117">
        <v>0</v>
      </c>
    </row>
    <row r="118" spans="1:8" x14ac:dyDescent="0.45">
      <c r="A118" t="s">
        <v>95</v>
      </c>
      <c r="B118">
        <v>119.78465749999999</v>
      </c>
      <c r="C118">
        <v>84.944099910000006</v>
      </c>
      <c r="D118">
        <v>153.33740900000001</v>
      </c>
      <c r="E118">
        <v>120.0013965</v>
      </c>
      <c r="F118">
        <v>0</v>
      </c>
      <c r="G118">
        <v>0</v>
      </c>
      <c r="H118">
        <v>0</v>
      </c>
    </row>
    <row r="119" spans="1:8" x14ac:dyDescent="0.45">
      <c r="A119" t="s">
        <v>96</v>
      </c>
      <c r="B119">
        <v>121.10557900000001</v>
      </c>
      <c r="C119">
        <v>87.896341969999995</v>
      </c>
      <c r="D119">
        <v>150.81747609999999</v>
      </c>
      <c r="E119">
        <v>118.77536790000001</v>
      </c>
      <c r="F119">
        <v>0</v>
      </c>
      <c r="G119">
        <v>0</v>
      </c>
      <c r="H119">
        <v>0</v>
      </c>
    </row>
    <row r="120" spans="1:8" x14ac:dyDescent="0.45">
      <c r="A120" t="s">
        <v>97</v>
      </c>
      <c r="B120">
        <v>118.412504</v>
      </c>
      <c r="C120">
        <v>84.851769950000005</v>
      </c>
      <c r="D120">
        <v>146.22319379999999</v>
      </c>
      <c r="E120">
        <v>127.556984</v>
      </c>
      <c r="F120">
        <v>0</v>
      </c>
      <c r="G120">
        <v>0</v>
      </c>
      <c r="H120">
        <v>0</v>
      </c>
    </row>
    <row r="121" spans="1:8" x14ac:dyDescent="0.45">
      <c r="A121" t="s">
        <v>98</v>
      </c>
      <c r="B121">
        <v>117.4149352</v>
      </c>
      <c r="C121">
        <v>83.270625719999998</v>
      </c>
      <c r="D121">
        <v>152.4910706</v>
      </c>
      <c r="E121">
        <v>117.8235451</v>
      </c>
      <c r="F121">
        <v>0</v>
      </c>
      <c r="G121">
        <v>0</v>
      </c>
      <c r="H121">
        <v>0</v>
      </c>
    </row>
    <row r="122" spans="1:8" x14ac:dyDescent="0.45">
      <c r="A122" t="s">
        <v>99</v>
      </c>
      <c r="B122">
        <v>115.5108372</v>
      </c>
      <c r="C122">
        <v>82.237559739999995</v>
      </c>
      <c r="D122">
        <v>135.7074681</v>
      </c>
      <c r="E122">
        <v>137.87397480000001</v>
      </c>
    </row>
    <row r="123" spans="1:8" x14ac:dyDescent="0.45">
      <c r="A123" t="s">
        <v>100</v>
      </c>
      <c r="B123">
        <v>118.44769359999999</v>
      </c>
      <c r="C123">
        <v>95.057980689999994</v>
      </c>
      <c r="D123">
        <v>156.6148436</v>
      </c>
      <c r="E123">
        <v>107.05419620000001</v>
      </c>
      <c r="F123">
        <v>0</v>
      </c>
      <c r="G123">
        <v>0</v>
      </c>
      <c r="H123">
        <v>0</v>
      </c>
    </row>
    <row r="124" spans="1:8" x14ac:dyDescent="0.45">
      <c r="A124" t="s">
        <v>101</v>
      </c>
      <c r="B124">
        <v>117.9747629</v>
      </c>
      <c r="C124">
        <v>86.351051200000001</v>
      </c>
      <c r="D124">
        <v>168.765242</v>
      </c>
      <c r="E124">
        <v>104.87901650000001</v>
      </c>
      <c r="F124">
        <v>0</v>
      </c>
      <c r="G124">
        <v>0</v>
      </c>
      <c r="H124">
        <v>0</v>
      </c>
    </row>
    <row r="125" spans="1:8" x14ac:dyDescent="0.45">
      <c r="A125" t="s">
        <v>102</v>
      </c>
      <c r="B125">
        <v>117.9646616</v>
      </c>
      <c r="C125">
        <v>92.310979829999994</v>
      </c>
      <c r="D125">
        <v>131.23311519999999</v>
      </c>
      <c r="E125">
        <v>132.45410190000001</v>
      </c>
      <c r="F125">
        <v>0</v>
      </c>
      <c r="G125">
        <v>0</v>
      </c>
      <c r="H125">
        <v>0</v>
      </c>
    </row>
    <row r="126" spans="1:8" x14ac:dyDescent="0.45">
      <c r="A126" t="s">
        <v>103</v>
      </c>
      <c r="B126">
        <v>115.38627289999999</v>
      </c>
      <c r="C126">
        <v>92.134606250000004</v>
      </c>
      <c r="D126">
        <v>129.5559433</v>
      </c>
      <c r="E126">
        <v>136.83625129999999</v>
      </c>
      <c r="F126">
        <v>0</v>
      </c>
      <c r="G126">
        <v>0</v>
      </c>
      <c r="H126">
        <v>0</v>
      </c>
    </row>
    <row r="127" spans="1:8" x14ac:dyDescent="0.45">
      <c r="A127" t="s">
        <v>104</v>
      </c>
      <c r="B127">
        <v>117.5949595</v>
      </c>
      <c r="C127">
        <v>92.54412963</v>
      </c>
      <c r="D127">
        <v>134.03653510000001</v>
      </c>
      <c r="E127">
        <v>129.8489136</v>
      </c>
      <c r="F127">
        <v>0</v>
      </c>
      <c r="G127">
        <v>0</v>
      </c>
      <c r="H127">
        <v>0</v>
      </c>
    </row>
    <row r="128" spans="1:8" x14ac:dyDescent="0.45">
      <c r="A128" t="s">
        <v>105</v>
      </c>
      <c r="B128">
        <v>115.3862298</v>
      </c>
      <c r="C128">
        <v>92.470655780000001</v>
      </c>
      <c r="D128">
        <v>122.3841977</v>
      </c>
      <c r="E128">
        <v>145.0501064</v>
      </c>
      <c r="F128">
        <v>0</v>
      </c>
      <c r="G128">
        <v>0</v>
      </c>
      <c r="H128">
        <v>0</v>
      </c>
    </row>
    <row r="129" spans="1:8" x14ac:dyDescent="0.45">
      <c r="A129" t="s">
        <v>106</v>
      </c>
      <c r="B129">
        <v>116.16148889999999</v>
      </c>
      <c r="C129">
        <v>97.126676160000002</v>
      </c>
      <c r="D129">
        <v>119.00644079999999</v>
      </c>
      <c r="E129">
        <v>139.71605700000001</v>
      </c>
      <c r="F129">
        <v>0</v>
      </c>
      <c r="G129">
        <v>0</v>
      </c>
      <c r="H129">
        <v>0</v>
      </c>
    </row>
    <row r="130" spans="1:8" x14ac:dyDescent="0.45">
      <c r="A130" t="s">
        <v>141</v>
      </c>
      <c r="B130">
        <v>116.86625479999999</v>
      </c>
      <c r="C130">
        <v>81.751812380000004</v>
      </c>
      <c r="D130">
        <v>132.8842252</v>
      </c>
      <c r="E130">
        <v>145.10007519999999</v>
      </c>
      <c r="F130">
        <v>0</v>
      </c>
      <c r="G130">
        <v>0</v>
      </c>
      <c r="H130">
        <v>0</v>
      </c>
    </row>
    <row r="131" spans="1:8" x14ac:dyDescent="0.45">
      <c r="A131" t="s">
        <v>142</v>
      </c>
      <c r="B131">
        <v>116.2699203</v>
      </c>
      <c r="C131">
        <v>90.877196650000002</v>
      </c>
      <c r="D131">
        <v>121.6954817</v>
      </c>
      <c r="E131">
        <v>147.3346722</v>
      </c>
      <c r="F131">
        <v>0</v>
      </c>
      <c r="G131">
        <v>0</v>
      </c>
      <c r="H131">
        <v>0</v>
      </c>
    </row>
    <row r="132" spans="1:8" x14ac:dyDescent="0.45">
      <c r="A132" t="s">
        <v>107</v>
      </c>
      <c r="B132">
        <v>116.591278</v>
      </c>
      <c r="C132">
        <v>105.1212221</v>
      </c>
      <c r="D132">
        <v>134.99774099999999</v>
      </c>
      <c r="E132">
        <v>119.419533</v>
      </c>
      <c r="F132">
        <v>0</v>
      </c>
      <c r="G132">
        <v>0</v>
      </c>
      <c r="H132">
        <v>0</v>
      </c>
    </row>
    <row r="133" spans="1:8" x14ac:dyDescent="0.45">
      <c r="A133" t="s">
        <v>108</v>
      </c>
      <c r="B133">
        <v>116.5071526</v>
      </c>
      <c r="C133">
        <v>111.7767767</v>
      </c>
      <c r="D133">
        <v>126.76783949999999</v>
      </c>
      <c r="E133">
        <v>121.22724030000001</v>
      </c>
      <c r="F133">
        <v>0</v>
      </c>
      <c r="G133">
        <v>0</v>
      </c>
      <c r="H133">
        <v>0</v>
      </c>
    </row>
    <row r="134" spans="1:8" x14ac:dyDescent="0.45">
      <c r="A134" t="s">
        <v>109</v>
      </c>
      <c r="B134">
        <v>116.83680459999999</v>
      </c>
      <c r="C134">
        <v>109.28908850000001</v>
      </c>
      <c r="D134">
        <v>120.2355304</v>
      </c>
      <c r="E134">
        <v>130.3771873</v>
      </c>
      <c r="F134">
        <v>0</v>
      </c>
      <c r="G134">
        <v>0</v>
      </c>
      <c r="H134">
        <v>0</v>
      </c>
    </row>
    <row r="135" spans="1:8" x14ac:dyDescent="0.45">
      <c r="A135" t="s">
        <v>110</v>
      </c>
      <c r="B135">
        <v>116.3499241</v>
      </c>
      <c r="C135">
        <v>104.1100813</v>
      </c>
      <c r="D135">
        <v>130.2448967</v>
      </c>
      <c r="E135">
        <v>123.9510762</v>
      </c>
      <c r="F135">
        <v>0</v>
      </c>
      <c r="G135">
        <v>0</v>
      </c>
      <c r="H135">
        <v>0</v>
      </c>
    </row>
    <row r="136" spans="1:8" x14ac:dyDescent="0.45">
      <c r="A136" t="s">
        <v>111</v>
      </c>
      <c r="B136">
        <v>115.4784104</v>
      </c>
      <c r="C136">
        <v>80.20683124</v>
      </c>
      <c r="D136">
        <v>134.2226762</v>
      </c>
      <c r="E136">
        <v>145.0859226</v>
      </c>
      <c r="F136">
        <v>0</v>
      </c>
      <c r="G136">
        <v>0</v>
      </c>
      <c r="H136">
        <v>0</v>
      </c>
    </row>
    <row r="137" spans="1:8" x14ac:dyDescent="0.45">
      <c r="A137" t="s">
        <v>112</v>
      </c>
      <c r="B137">
        <v>115.35504299999999</v>
      </c>
      <c r="C137">
        <v>80.086143219999997</v>
      </c>
      <c r="D137">
        <v>142.26802240000001</v>
      </c>
      <c r="E137">
        <v>137.3919894</v>
      </c>
      <c r="F137">
        <v>0</v>
      </c>
      <c r="G137">
        <v>0</v>
      </c>
      <c r="H13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E96E2-A260-4C36-8737-7E68C4986EEA}">
  <dimension ref="A1:H137"/>
  <sheetViews>
    <sheetView workbookViewId="0">
      <selection activeCell="N9" sqref="N9"/>
    </sheetView>
  </sheetViews>
  <sheetFormatPr defaultRowHeight="14.25" x14ac:dyDescent="0.45"/>
  <sheetData>
    <row r="1" spans="1:8" x14ac:dyDescent="0.45">
      <c r="A1" t="s">
        <v>6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</row>
    <row r="2" spans="1:8" x14ac:dyDescent="0.45">
      <c r="A2" t="s">
        <v>113</v>
      </c>
      <c r="B2">
        <v>117.682802</v>
      </c>
      <c r="C2">
        <v>90.775949600000004</v>
      </c>
      <c r="D2">
        <v>138.02483470000001</v>
      </c>
      <c r="E2">
        <v>130.9631062</v>
      </c>
      <c r="F2">
        <v>0</v>
      </c>
      <c r="G2">
        <v>0</v>
      </c>
      <c r="H2">
        <v>0</v>
      </c>
    </row>
    <row r="3" spans="1:8" x14ac:dyDescent="0.45">
      <c r="A3" t="s">
        <v>114</v>
      </c>
      <c r="B3">
        <v>118.541769</v>
      </c>
      <c r="C3">
        <v>89.244592269999998</v>
      </c>
      <c r="D3">
        <v>121.69411940000001</v>
      </c>
      <c r="E3">
        <v>148.49691799999999</v>
      </c>
      <c r="F3">
        <v>0</v>
      </c>
      <c r="G3">
        <v>0</v>
      </c>
      <c r="H3">
        <v>0</v>
      </c>
    </row>
    <row r="4" spans="1:8" x14ac:dyDescent="0.45">
      <c r="A4" t="s">
        <v>115</v>
      </c>
      <c r="B4">
        <v>117.9238088</v>
      </c>
      <c r="C4">
        <v>90.469790020000005</v>
      </c>
      <c r="D4">
        <v>137.91116199999999</v>
      </c>
      <c r="E4">
        <v>131.3808344</v>
      </c>
      <c r="F4">
        <v>0</v>
      </c>
      <c r="G4">
        <v>0</v>
      </c>
      <c r="H4">
        <v>0</v>
      </c>
    </row>
    <row r="5" spans="1:8" x14ac:dyDescent="0.45">
      <c r="A5" t="s">
        <v>116</v>
      </c>
      <c r="B5">
        <v>117.6774085</v>
      </c>
      <c r="C5">
        <v>78.253115840000007</v>
      </c>
      <c r="D5">
        <v>138.7887891</v>
      </c>
      <c r="E5">
        <v>135.8337066</v>
      </c>
      <c r="F5">
        <v>65.197223179999995</v>
      </c>
      <c r="G5">
        <v>144.88367149999999</v>
      </c>
      <c r="H5">
        <v>84.157596299999994</v>
      </c>
    </row>
    <row r="6" spans="1:8" x14ac:dyDescent="0.45">
      <c r="A6" t="s">
        <v>117</v>
      </c>
      <c r="B6">
        <v>118.91393789999999</v>
      </c>
      <c r="C6">
        <v>89.048078459999999</v>
      </c>
      <c r="D6">
        <v>142.64327520000001</v>
      </c>
      <c r="E6">
        <v>125.43313929999999</v>
      </c>
      <c r="F6">
        <v>0</v>
      </c>
      <c r="G6">
        <v>0</v>
      </c>
      <c r="H6">
        <v>0</v>
      </c>
    </row>
    <row r="7" spans="1:8" x14ac:dyDescent="0.45">
      <c r="A7" t="s">
        <v>118</v>
      </c>
      <c r="B7">
        <v>117.76520050000001</v>
      </c>
      <c r="C7">
        <v>65.134303399999993</v>
      </c>
      <c r="D7">
        <v>142.00612029999999</v>
      </c>
      <c r="E7">
        <v>91.801185469999993</v>
      </c>
      <c r="F7">
        <v>78.360711210000005</v>
      </c>
      <c r="G7">
        <v>156.52235189999999</v>
      </c>
      <c r="H7">
        <v>125.1150943</v>
      </c>
    </row>
    <row r="8" spans="1:8" x14ac:dyDescent="0.45">
      <c r="A8" t="s">
        <v>7</v>
      </c>
      <c r="B8">
        <v>117.9524857</v>
      </c>
      <c r="C8">
        <v>114.65891569999999</v>
      </c>
      <c r="D8">
        <v>134.68236210000001</v>
      </c>
      <c r="E8">
        <v>109.8453043</v>
      </c>
      <c r="F8">
        <v>0</v>
      </c>
      <c r="G8">
        <v>0</v>
      </c>
      <c r="H8">
        <v>0</v>
      </c>
    </row>
    <row r="9" spans="1:8" x14ac:dyDescent="0.45">
      <c r="A9" t="s">
        <v>8</v>
      </c>
      <c r="B9">
        <v>118.85530780000001</v>
      </c>
      <c r="C9">
        <v>113.09976</v>
      </c>
      <c r="D9">
        <v>120.92230170000001</v>
      </c>
      <c r="E9">
        <v>123.9495543</v>
      </c>
      <c r="F9">
        <v>0</v>
      </c>
      <c r="G9">
        <v>0</v>
      </c>
      <c r="H9">
        <v>0</v>
      </c>
    </row>
    <row r="10" spans="1:8" x14ac:dyDescent="0.45">
      <c r="A10" t="s">
        <v>9</v>
      </c>
      <c r="B10">
        <v>118.0307656</v>
      </c>
      <c r="C10">
        <v>105.58440950000001</v>
      </c>
      <c r="D10">
        <v>137.80114459999999</v>
      </c>
      <c r="E10">
        <v>116.3555771</v>
      </c>
    </row>
    <row r="11" spans="1:8" x14ac:dyDescent="0.45">
      <c r="A11" t="s">
        <v>10</v>
      </c>
      <c r="B11">
        <v>118.80741020000001</v>
      </c>
      <c r="C11">
        <v>100.6490429</v>
      </c>
      <c r="D11">
        <v>133.1907774</v>
      </c>
      <c r="E11">
        <v>126.058797</v>
      </c>
    </row>
    <row r="12" spans="1:8" x14ac:dyDescent="0.45">
      <c r="A12" t="s">
        <v>11</v>
      </c>
      <c r="B12">
        <v>118.1420226</v>
      </c>
      <c r="C12">
        <v>101.1050104</v>
      </c>
      <c r="D12">
        <v>134.46694299999999</v>
      </c>
      <c r="E12">
        <v>122.36527460000001</v>
      </c>
    </row>
    <row r="13" spans="1:8" x14ac:dyDescent="0.45">
      <c r="A13" t="s">
        <v>12</v>
      </c>
      <c r="B13">
        <v>117.3876774</v>
      </c>
      <c r="C13">
        <v>107.90839870000001</v>
      </c>
      <c r="D13">
        <v>119.0642761</v>
      </c>
      <c r="E13">
        <v>131.42288379999999</v>
      </c>
    </row>
    <row r="14" spans="1:8" x14ac:dyDescent="0.45">
      <c r="A14" t="s">
        <v>13</v>
      </c>
      <c r="B14">
        <v>118.0294718</v>
      </c>
      <c r="C14">
        <v>106.2838847</v>
      </c>
      <c r="D14">
        <v>116.2882264</v>
      </c>
      <c r="E14">
        <v>137.40713210000001</v>
      </c>
    </row>
    <row r="15" spans="1:8" x14ac:dyDescent="0.45">
      <c r="A15" t="s">
        <v>119</v>
      </c>
      <c r="B15">
        <v>118.4514971</v>
      </c>
      <c r="C15">
        <v>89.264170669999999</v>
      </c>
      <c r="D15">
        <v>136.49374570000001</v>
      </c>
      <c r="E15">
        <v>130.99655730000001</v>
      </c>
      <c r="F15">
        <v>0</v>
      </c>
      <c r="G15">
        <v>0</v>
      </c>
      <c r="H15">
        <v>0</v>
      </c>
    </row>
    <row r="16" spans="1:8" x14ac:dyDescent="0.45">
      <c r="A16" t="s">
        <v>14</v>
      </c>
      <c r="B16">
        <v>118.1522217</v>
      </c>
      <c r="C16">
        <v>102.2050007</v>
      </c>
      <c r="D16">
        <v>135.3084705</v>
      </c>
      <c r="E16">
        <v>120.18157119999999</v>
      </c>
      <c r="F16">
        <v>0</v>
      </c>
      <c r="G16">
        <v>0</v>
      </c>
      <c r="H16">
        <v>0</v>
      </c>
    </row>
    <row r="17" spans="1:8" x14ac:dyDescent="0.45">
      <c r="A17" t="s">
        <v>120</v>
      </c>
      <c r="B17">
        <v>119.7440744</v>
      </c>
      <c r="C17">
        <v>76.860238910000007</v>
      </c>
      <c r="D17">
        <v>141.6514851</v>
      </c>
      <c r="E17">
        <v>131.76967769999999</v>
      </c>
      <c r="F17">
        <v>64.850011339999995</v>
      </c>
      <c r="G17">
        <v>145.31009969999999</v>
      </c>
      <c r="H17">
        <v>83.943222730000002</v>
      </c>
    </row>
    <row r="18" spans="1:8" x14ac:dyDescent="0.45">
      <c r="A18" t="s">
        <v>121</v>
      </c>
      <c r="B18">
        <v>117.9143325</v>
      </c>
      <c r="C18">
        <v>91.496638079999997</v>
      </c>
      <c r="D18">
        <v>124.81510950000001</v>
      </c>
      <c r="E18">
        <v>143.25175669999999</v>
      </c>
      <c r="F18">
        <v>0</v>
      </c>
      <c r="G18">
        <v>0</v>
      </c>
      <c r="H18">
        <v>0</v>
      </c>
    </row>
    <row r="19" spans="1:8" x14ac:dyDescent="0.45">
      <c r="A19" t="s">
        <v>122</v>
      </c>
      <c r="B19">
        <v>119.0952444</v>
      </c>
      <c r="C19">
        <v>0</v>
      </c>
      <c r="D19">
        <v>151.57108170000001</v>
      </c>
      <c r="E19">
        <v>0</v>
      </c>
      <c r="F19">
        <v>0</v>
      </c>
      <c r="G19">
        <v>0</v>
      </c>
      <c r="H19">
        <v>0</v>
      </c>
    </row>
    <row r="20" spans="1:8" x14ac:dyDescent="0.45">
      <c r="A20" t="s">
        <v>123</v>
      </c>
      <c r="B20">
        <v>118.5155666</v>
      </c>
      <c r="C20">
        <v>101.24506100000001</v>
      </c>
      <c r="D20">
        <v>124.99985100000001</v>
      </c>
      <c r="E20">
        <v>133.36613130000001</v>
      </c>
      <c r="F20">
        <v>0</v>
      </c>
      <c r="G20">
        <v>0</v>
      </c>
      <c r="H20">
        <v>0</v>
      </c>
    </row>
    <row r="21" spans="1:8" x14ac:dyDescent="0.45">
      <c r="A21" t="s">
        <v>124</v>
      </c>
      <c r="B21">
        <v>117.31281389999999</v>
      </c>
      <c r="C21">
        <v>105.11332520000001</v>
      </c>
      <c r="D21">
        <v>126.0239682</v>
      </c>
      <c r="E21">
        <v>128.43023719999999</v>
      </c>
      <c r="F21">
        <v>0</v>
      </c>
      <c r="G21">
        <v>0</v>
      </c>
      <c r="H21">
        <v>0</v>
      </c>
    </row>
    <row r="22" spans="1:8" x14ac:dyDescent="0.45">
      <c r="A22" t="s">
        <v>125</v>
      </c>
      <c r="B22">
        <v>118.71147929999999</v>
      </c>
      <c r="C22">
        <v>100.705556</v>
      </c>
      <c r="D22">
        <v>125.50068880000001</v>
      </c>
      <c r="E22">
        <v>127.17213</v>
      </c>
      <c r="F22">
        <v>0</v>
      </c>
      <c r="G22">
        <v>0</v>
      </c>
      <c r="H22">
        <v>0</v>
      </c>
    </row>
    <row r="23" spans="1:8" x14ac:dyDescent="0.45">
      <c r="A23" t="s">
        <v>15</v>
      </c>
      <c r="B23">
        <v>116.08043739999999</v>
      </c>
      <c r="C23">
        <v>107.407538</v>
      </c>
      <c r="D23">
        <v>113.1466174</v>
      </c>
      <c r="E23">
        <v>135.83413780000001</v>
      </c>
      <c r="F23">
        <v>0</v>
      </c>
      <c r="G23">
        <v>0</v>
      </c>
      <c r="H23">
        <v>0</v>
      </c>
    </row>
    <row r="24" spans="1:8" x14ac:dyDescent="0.45">
      <c r="A24" t="s">
        <v>16</v>
      </c>
      <c r="B24">
        <v>117.6393355</v>
      </c>
      <c r="C24">
        <v>79.803147780000003</v>
      </c>
      <c r="D24">
        <v>125.2717952</v>
      </c>
      <c r="E24">
        <v>154.89078040000001</v>
      </c>
    </row>
    <row r="25" spans="1:8" x14ac:dyDescent="0.45">
      <c r="A25" t="s">
        <v>17</v>
      </c>
      <c r="B25">
        <v>117.66976870000001</v>
      </c>
      <c r="C25">
        <v>81.291257560000005</v>
      </c>
      <c r="D25">
        <v>153.40856729999999</v>
      </c>
      <c r="E25">
        <v>125.295455</v>
      </c>
    </row>
    <row r="26" spans="1:8" x14ac:dyDescent="0.45">
      <c r="A26" t="s">
        <v>18</v>
      </c>
      <c r="B26">
        <v>117.6259183</v>
      </c>
      <c r="C26">
        <v>81.594549400000005</v>
      </c>
      <c r="D26">
        <v>156.44376249999999</v>
      </c>
      <c r="E26">
        <v>121.96157530000001</v>
      </c>
    </row>
    <row r="27" spans="1:8" x14ac:dyDescent="0.45">
      <c r="A27" t="s">
        <v>19</v>
      </c>
      <c r="B27">
        <v>117.1961364</v>
      </c>
      <c r="C27">
        <v>81.460338680000007</v>
      </c>
      <c r="D27">
        <v>151.9346596</v>
      </c>
      <c r="E27">
        <v>126.562999</v>
      </c>
      <c r="F27">
        <v>0</v>
      </c>
      <c r="G27">
        <v>0</v>
      </c>
      <c r="H27">
        <v>0</v>
      </c>
    </row>
    <row r="28" spans="1:8" x14ac:dyDescent="0.45">
      <c r="A28" t="s">
        <v>20</v>
      </c>
      <c r="B28">
        <v>117.57884079999999</v>
      </c>
      <c r="C28">
        <v>83.001458929999998</v>
      </c>
      <c r="D28">
        <v>136.11987450000001</v>
      </c>
      <c r="E28">
        <v>140.2879805</v>
      </c>
      <c r="F28">
        <v>0</v>
      </c>
      <c r="G28">
        <v>0</v>
      </c>
      <c r="H28">
        <v>0</v>
      </c>
    </row>
    <row r="29" spans="1:8" x14ac:dyDescent="0.45">
      <c r="A29" t="s">
        <v>21</v>
      </c>
      <c r="B29">
        <v>117.6378775</v>
      </c>
      <c r="C29">
        <v>82.341795390000001</v>
      </c>
      <c r="D29">
        <v>109.6614016</v>
      </c>
      <c r="E29">
        <v>167.00772269999999</v>
      </c>
      <c r="F29">
        <v>0</v>
      </c>
      <c r="G29">
        <v>0</v>
      </c>
      <c r="H29">
        <v>0</v>
      </c>
    </row>
    <row r="30" spans="1:8" x14ac:dyDescent="0.45">
      <c r="A30" t="s">
        <v>22</v>
      </c>
      <c r="B30">
        <v>117.94548930000001</v>
      </c>
      <c r="C30">
        <v>82.780403089999993</v>
      </c>
      <c r="D30">
        <v>138.00867109999999</v>
      </c>
      <c r="E30">
        <v>138.65702039999999</v>
      </c>
      <c r="F30">
        <v>0</v>
      </c>
      <c r="G30">
        <v>0</v>
      </c>
      <c r="H30">
        <v>0</v>
      </c>
    </row>
    <row r="31" spans="1:8" x14ac:dyDescent="0.45">
      <c r="A31" t="s">
        <v>23</v>
      </c>
      <c r="B31">
        <v>120.8588051</v>
      </c>
      <c r="C31">
        <v>82.447185660000002</v>
      </c>
      <c r="D31">
        <v>158.3128782</v>
      </c>
      <c r="E31">
        <v>112.4689686</v>
      </c>
      <c r="F31">
        <v>0</v>
      </c>
      <c r="G31">
        <v>0</v>
      </c>
      <c r="H31">
        <v>0</v>
      </c>
    </row>
    <row r="32" spans="1:8" x14ac:dyDescent="0.45">
      <c r="A32" t="s">
        <v>24</v>
      </c>
      <c r="B32">
        <v>118.24185129999999</v>
      </c>
      <c r="C32">
        <v>82.705386619999999</v>
      </c>
      <c r="D32">
        <v>145.66505979999999</v>
      </c>
      <c r="E32">
        <v>127.1186393</v>
      </c>
      <c r="F32">
        <v>0</v>
      </c>
      <c r="G32">
        <v>0</v>
      </c>
      <c r="H32">
        <v>0</v>
      </c>
    </row>
    <row r="33" spans="1:8" x14ac:dyDescent="0.45">
      <c r="A33" t="s">
        <v>25</v>
      </c>
      <c r="B33">
        <v>118.0781771</v>
      </c>
      <c r="C33">
        <v>89.375655379999998</v>
      </c>
      <c r="D33">
        <v>167.19945609999999</v>
      </c>
      <c r="E33">
        <v>101.9646128</v>
      </c>
      <c r="F33">
        <v>0</v>
      </c>
      <c r="G33">
        <v>0</v>
      </c>
      <c r="H33">
        <v>0</v>
      </c>
    </row>
    <row r="34" spans="1:8" x14ac:dyDescent="0.45">
      <c r="A34" t="s">
        <v>26</v>
      </c>
      <c r="B34">
        <v>119.1537747</v>
      </c>
      <c r="C34">
        <v>84.109583079999993</v>
      </c>
      <c r="D34">
        <v>107.9336512</v>
      </c>
      <c r="E34">
        <v>121.21067720000001</v>
      </c>
      <c r="F34">
        <v>0</v>
      </c>
      <c r="G34">
        <v>0</v>
      </c>
      <c r="H34">
        <v>0</v>
      </c>
    </row>
    <row r="35" spans="1:8" x14ac:dyDescent="0.45">
      <c r="A35" t="s">
        <v>27</v>
      </c>
      <c r="B35">
        <v>118.18874340000001</v>
      </c>
      <c r="C35">
        <v>93.956632540000001</v>
      </c>
      <c r="D35">
        <v>128.55683379999999</v>
      </c>
      <c r="E35">
        <v>136.45226270000001</v>
      </c>
      <c r="F35">
        <v>0</v>
      </c>
      <c r="G35">
        <v>0</v>
      </c>
      <c r="H35">
        <v>0</v>
      </c>
    </row>
    <row r="36" spans="1:8" x14ac:dyDescent="0.45">
      <c r="A36" t="s">
        <v>28</v>
      </c>
      <c r="B36">
        <v>116.2250559</v>
      </c>
      <c r="C36">
        <v>85.435365610000005</v>
      </c>
      <c r="D36">
        <v>141.3308802</v>
      </c>
      <c r="E36">
        <v>132.7707302</v>
      </c>
      <c r="F36">
        <v>0</v>
      </c>
      <c r="G36">
        <v>0</v>
      </c>
      <c r="H36">
        <v>0</v>
      </c>
    </row>
    <row r="37" spans="1:8" x14ac:dyDescent="0.45">
      <c r="A37" t="s">
        <v>126</v>
      </c>
      <c r="B37">
        <v>120.5010138</v>
      </c>
      <c r="C37">
        <v>85.966519309999995</v>
      </c>
      <c r="D37">
        <v>163.64695950000001</v>
      </c>
      <c r="E37">
        <v>104.81207670000001</v>
      </c>
    </row>
    <row r="38" spans="1:8" x14ac:dyDescent="0.45">
      <c r="A38" t="s">
        <v>29</v>
      </c>
      <c r="B38">
        <v>118.1403656</v>
      </c>
      <c r="C38">
        <v>91.534884349999999</v>
      </c>
      <c r="D38">
        <v>128.34160309999999</v>
      </c>
      <c r="E38">
        <v>140.06529900000001</v>
      </c>
      <c r="F38">
        <v>0</v>
      </c>
      <c r="G38">
        <v>0</v>
      </c>
      <c r="H38">
        <v>0</v>
      </c>
    </row>
    <row r="39" spans="1:8" x14ac:dyDescent="0.45">
      <c r="A39" t="s">
        <v>30</v>
      </c>
      <c r="B39">
        <v>119.6263725</v>
      </c>
      <c r="C39">
        <v>94.192598360000005</v>
      </c>
      <c r="D39">
        <v>133.85350489999999</v>
      </c>
      <c r="E39">
        <v>128.36849359999999</v>
      </c>
      <c r="F39">
        <v>0</v>
      </c>
      <c r="G39">
        <v>0</v>
      </c>
      <c r="H39">
        <v>0</v>
      </c>
    </row>
    <row r="40" spans="1:8" x14ac:dyDescent="0.45">
      <c r="A40" t="s">
        <v>31</v>
      </c>
      <c r="B40">
        <v>117.76168989999999</v>
      </c>
      <c r="C40">
        <v>113.59068619999999</v>
      </c>
      <c r="D40">
        <v>127.2096404</v>
      </c>
      <c r="E40">
        <v>119.1957412</v>
      </c>
      <c r="F40">
        <v>0</v>
      </c>
      <c r="G40">
        <v>0</v>
      </c>
      <c r="H40">
        <v>0</v>
      </c>
    </row>
    <row r="41" spans="1:8" x14ac:dyDescent="0.45">
      <c r="A41" t="s">
        <v>127</v>
      </c>
      <c r="B41">
        <v>118.0415979</v>
      </c>
      <c r="C41">
        <v>82.546912309999996</v>
      </c>
      <c r="D41">
        <v>153.29372459999999</v>
      </c>
      <c r="E41">
        <v>124.055477</v>
      </c>
      <c r="F41">
        <v>0</v>
      </c>
      <c r="G41">
        <v>0</v>
      </c>
      <c r="H41">
        <v>0</v>
      </c>
    </row>
    <row r="42" spans="1:8" x14ac:dyDescent="0.45">
      <c r="A42" t="s">
        <v>128</v>
      </c>
      <c r="B42">
        <v>117.40854539999999</v>
      </c>
      <c r="C42">
        <v>90.323584159999996</v>
      </c>
      <c r="D42">
        <v>129.15414999999999</v>
      </c>
      <c r="E42">
        <v>140.2254126</v>
      </c>
      <c r="F42">
        <v>0</v>
      </c>
      <c r="G42">
        <v>0</v>
      </c>
      <c r="H42">
        <v>0</v>
      </c>
    </row>
    <row r="43" spans="1:8" x14ac:dyDescent="0.45">
      <c r="A43" t="s">
        <v>32</v>
      </c>
      <c r="B43">
        <v>118.0641548</v>
      </c>
      <c r="C43">
        <v>108.02647159999999</v>
      </c>
      <c r="D43">
        <v>120.0802611</v>
      </c>
      <c r="E43">
        <v>130.08393169999999</v>
      </c>
      <c r="F43">
        <v>0</v>
      </c>
      <c r="G43">
        <v>0</v>
      </c>
      <c r="H43">
        <v>0</v>
      </c>
    </row>
    <row r="44" spans="1:8" x14ac:dyDescent="0.45">
      <c r="A44" t="s">
        <v>33</v>
      </c>
      <c r="B44">
        <v>117.4017369</v>
      </c>
      <c r="C44">
        <v>112.1929552</v>
      </c>
      <c r="D44">
        <v>115.17508599999999</v>
      </c>
      <c r="E44">
        <v>132.52409209999999</v>
      </c>
      <c r="F44">
        <v>0</v>
      </c>
      <c r="G44">
        <v>0</v>
      </c>
      <c r="H44">
        <v>0</v>
      </c>
    </row>
    <row r="45" spans="1:8" x14ac:dyDescent="0.45">
      <c r="A45" t="s">
        <v>34</v>
      </c>
      <c r="B45">
        <v>116.9812653</v>
      </c>
      <c r="C45">
        <v>109.5315051</v>
      </c>
      <c r="D45">
        <v>115.91535810000001</v>
      </c>
      <c r="E45">
        <v>134.28495749999999</v>
      </c>
      <c r="F45">
        <v>0</v>
      </c>
      <c r="G45">
        <v>0</v>
      </c>
      <c r="H45">
        <v>0</v>
      </c>
    </row>
    <row r="46" spans="1:8" x14ac:dyDescent="0.45">
      <c r="A46" t="s">
        <v>35</v>
      </c>
      <c r="B46">
        <v>117.529922</v>
      </c>
      <c r="C46">
        <v>106.5368989</v>
      </c>
      <c r="D46">
        <v>113.19866949999999</v>
      </c>
      <c r="E46">
        <v>140.2484504</v>
      </c>
      <c r="F46">
        <v>0</v>
      </c>
      <c r="G46">
        <v>0</v>
      </c>
      <c r="H46">
        <v>0</v>
      </c>
    </row>
    <row r="47" spans="1:8" x14ac:dyDescent="0.45">
      <c r="A47" t="s">
        <v>36</v>
      </c>
      <c r="B47">
        <v>118.3646542</v>
      </c>
      <c r="C47">
        <v>84.315894049999997</v>
      </c>
      <c r="D47">
        <v>113.9491232</v>
      </c>
      <c r="E47">
        <v>159.64336130000001</v>
      </c>
      <c r="F47">
        <v>0</v>
      </c>
      <c r="G47">
        <v>0</v>
      </c>
      <c r="H47">
        <v>0</v>
      </c>
    </row>
    <row r="48" spans="1:8" x14ac:dyDescent="0.45">
      <c r="A48" t="s">
        <v>37</v>
      </c>
      <c r="B48">
        <v>120.1669679</v>
      </c>
      <c r="C48">
        <v>85.030792300000002</v>
      </c>
      <c r="D48">
        <v>132.88440220000001</v>
      </c>
      <c r="E48">
        <v>141.8810574</v>
      </c>
      <c r="F48">
        <v>0</v>
      </c>
      <c r="G48">
        <v>0</v>
      </c>
      <c r="H48">
        <v>0</v>
      </c>
    </row>
    <row r="49" spans="1:8" x14ac:dyDescent="0.45">
      <c r="A49" t="s">
        <v>38</v>
      </c>
      <c r="B49">
        <v>117.1232371</v>
      </c>
      <c r="C49">
        <v>83.882705430000001</v>
      </c>
      <c r="D49">
        <v>132.81226599999999</v>
      </c>
      <c r="E49">
        <v>143.16980380000001</v>
      </c>
      <c r="F49">
        <v>0</v>
      </c>
      <c r="G49">
        <v>0</v>
      </c>
      <c r="H49">
        <v>0</v>
      </c>
    </row>
    <row r="50" spans="1:8" x14ac:dyDescent="0.45">
      <c r="A50" t="s">
        <v>39</v>
      </c>
      <c r="B50">
        <v>117.40173900000001</v>
      </c>
      <c r="C50">
        <v>84.253102999999996</v>
      </c>
      <c r="D50">
        <v>134.2930854</v>
      </c>
      <c r="E50">
        <v>141.41591550000001</v>
      </c>
      <c r="F50">
        <v>0</v>
      </c>
      <c r="G50">
        <v>0</v>
      </c>
      <c r="H50">
        <v>0</v>
      </c>
    </row>
    <row r="51" spans="1:8" x14ac:dyDescent="0.45">
      <c r="A51" t="s">
        <v>40</v>
      </c>
      <c r="B51">
        <v>118.8006431</v>
      </c>
      <c r="C51">
        <v>91.749671739999997</v>
      </c>
      <c r="D51">
        <v>134.4658259</v>
      </c>
      <c r="E51">
        <v>130.31081270000001</v>
      </c>
      <c r="F51">
        <v>0</v>
      </c>
      <c r="G51">
        <v>0</v>
      </c>
      <c r="H51">
        <v>0</v>
      </c>
    </row>
    <row r="52" spans="1:8" x14ac:dyDescent="0.45">
      <c r="A52" t="s">
        <v>41</v>
      </c>
      <c r="B52">
        <v>117.542317</v>
      </c>
      <c r="C52">
        <v>84.242707159999995</v>
      </c>
      <c r="D52">
        <v>149.17985110000001</v>
      </c>
      <c r="E52">
        <v>124.426672</v>
      </c>
      <c r="F52">
        <v>0</v>
      </c>
      <c r="G52">
        <v>0</v>
      </c>
      <c r="H52">
        <v>0</v>
      </c>
    </row>
    <row r="53" spans="1:8" x14ac:dyDescent="0.45">
      <c r="A53" t="s">
        <v>42</v>
      </c>
      <c r="B53">
        <v>118.0937077</v>
      </c>
      <c r="C53">
        <v>85.188671909999997</v>
      </c>
      <c r="D53">
        <v>135.97963050000001</v>
      </c>
      <c r="E53">
        <v>138.8287569</v>
      </c>
      <c r="F53">
        <v>0</v>
      </c>
      <c r="G53">
        <v>0</v>
      </c>
      <c r="H53">
        <v>0</v>
      </c>
    </row>
    <row r="54" spans="1:8" x14ac:dyDescent="0.45">
      <c r="A54" t="s">
        <v>43</v>
      </c>
      <c r="B54">
        <v>117.9338958</v>
      </c>
      <c r="C54">
        <v>83.536115890000005</v>
      </c>
      <c r="D54">
        <v>129.1053282</v>
      </c>
      <c r="E54">
        <v>146.72692480000001</v>
      </c>
      <c r="F54">
        <v>0</v>
      </c>
      <c r="G54">
        <v>0</v>
      </c>
      <c r="H54">
        <v>0</v>
      </c>
    </row>
    <row r="55" spans="1:8" x14ac:dyDescent="0.45">
      <c r="A55" t="s">
        <v>44</v>
      </c>
      <c r="B55">
        <v>118.9896296</v>
      </c>
      <c r="C55">
        <v>80.922410499999998</v>
      </c>
      <c r="D55">
        <v>132.50394650000001</v>
      </c>
      <c r="E55">
        <v>146.4200592</v>
      </c>
    </row>
    <row r="56" spans="1:8" x14ac:dyDescent="0.45">
      <c r="A56" t="s">
        <v>45</v>
      </c>
      <c r="B56">
        <v>117.9871819</v>
      </c>
      <c r="C56">
        <v>80.779277390000004</v>
      </c>
      <c r="D56">
        <v>159.66201419999999</v>
      </c>
      <c r="E56">
        <v>112.35399</v>
      </c>
      <c r="F56">
        <v>0</v>
      </c>
      <c r="G56">
        <v>0</v>
      </c>
      <c r="H56">
        <v>0</v>
      </c>
    </row>
    <row r="57" spans="1:8" x14ac:dyDescent="0.45">
      <c r="A57" t="s">
        <v>46</v>
      </c>
      <c r="B57">
        <v>118.8793328</v>
      </c>
      <c r="C57">
        <v>94.278400070000004</v>
      </c>
      <c r="D57">
        <v>94.667070649999999</v>
      </c>
      <c r="E57">
        <v>162.60375569999999</v>
      </c>
      <c r="F57">
        <v>0</v>
      </c>
      <c r="G57">
        <v>0</v>
      </c>
      <c r="H57">
        <v>0</v>
      </c>
    </row>
    <row r="58" spans="1:8" x14ac:dyDescent="0.45">
      <c r="A58" t="s">
        <v>47</v>
      </c>
      <c r="B58">
        <v>118.61405600000001</v>
      </c>
      <c r="C58">
        <v>92.275003069999997</v>
      </c>
      <c r="D58">
        <v>135.0354561</v>
      </c>
      <c r="E58">
        <v>132.63115759999999</v>
      </c>
      <c r="F58">
        <v>0</v>
      </c>
      <c r="G58">
        <v>0</v>
      </c>
      <c r="H58">
        <v>0</v>
      </c>
    </row>
    <row r="59" spans="1:8" x14ac:dyDescent="0.45">
      <c r="A59" t="s">
        <v>48</v>
      </c>
      <c r="B59">
        <v>117.14522119999999</v>
      </c>
      <c r="C59">
        <v>79.442241569999993</v>
      </c>
      <c r="D59">
        <v>127.6885339</v>
      </c>
      <c r="E59">
        <v>152.83479460000001</v>
      </c>
      <c r="F59">
        <v>0</v>
      </c>
      <c r="G59">
        <v>0</v>
      </c>
      <c r="H59">
        <v>0</v>
      </c>
    </row>
    <row r="60" spans="1:8" x14ac:dyDescent="0.45">
      <c r="A60" t="s">
        <v>49</v>
      </c>
      <c r="B60">
        <v>117.9659542</v>
      </c>
      <c r="C60">
        <v>104.93915920000001</v>
      </c>
      <c r="D60">
        <v>122.6077355</v>
      </c>
      <c r="E60">
        <v>131.1832742</v>
      </c>
      <c r="F60">
        <v>0</v>
      </c>
      <c r="G60">
        <v>0</v>
      </c>
      <c r="H60">
        <v>0</v>
      </c>
    </row>
    <row r="61" spans="1:8" x14ac:dyDescent="0.45">
      <c r="A61" t="s">
        <v>50</v>
      </c>
      <c r="B61">
        <v>117.3076167</v>
      </c>
      <c r="C61">
        <v>48.045113980000004</v>
      </c>
      <c r="D61">
        <v>137.08376390000001</v>
      </c>
      <c r="E61">
        <v>168.8095592</v>
      </c>
      <c r="F61">
        <v>0</v>
      </c>
      <c r="G61">
        <v>0</v>
      </c>
      <c r="H61">
        <v>0</v>
      </c>
    </row>
    <row r="62" spans="1:8" x14ac:dyDescent="0.45">
      <c r="A62" t="s">
        <v>51</v>
      </c>
      <c r="B62">
        <v>117.8387346</v>
      </c>
      <c r="C62">
        <v>95.222282539999995</v>
      </c>
      <c r="D62">
        <v>144.63748290000001</v>
      </c>
      <c r="E62">
        <v>119.3996013</v>
      </c>
      <c r="F62">
        <v>0</v>
      </c>
      <c r="G62">
        <v>0</v>
      </c>
      <c r="H62">
        <v>0</v>
      </c>
    </row>
    <row r="63" spans="1:8" x14ac:dyDescent="0.45">
      <c r="A63" t="s">
        <v>52</v>
      </c>
      <c r="B63">
        <v>117.3262029</v>
      </c>
      <c r="C63">
        <v>97.654811910000006</v>
      </c>
      <c r="D63">
        <v>146.45290739999999</v>
      </c>
      <c r="E63">
        <v>115.71439100000001</v>
      </c>
      <c r="F63">
        <v>0</v>
      </c>
      <c r="G63">
        <v>0</v>
      </c>
      <c r="H63">
        <v>0</v>
      </c>
    </row>
    <row r="64" spans="1:8" x14ac:dyDescent="0.45">
      <c r="A64" t="s">
        <v>53</v>
      </c>
      <c r="B64">
        <v>118.92298890000001</v>
      </c>
      <c r="C64">
        <v>94.889175390000005</v>
      </c>
      <c r="D64">
        <v>111.05977900000001</v>
      </c>
      <c r="E64">
        <v>153.74070119999999</v>
      </c>
      <c r="F64">
        <v>0</v>
      </c>
      <c r="G64">
        <v>0</v>
      </c>
      <c r="H64">
        <v>0</v>
      </c>
    </row>
    <row r="65" spans="1:8" x14ac:dyDescent="0.45">
      <c r="A65" t="s">
        <v>129</v>
      </c>
      <c r="B65">
        <v>117.8844302</v>
      </c>
      <c r="C65">
        <v>79.517549750000001</v>
      </c>
      <c r="D65">
        <v>141.18140750000001</v>
      </c>
      <c r="E65">
        <v>139.29530270000001</v>
      </c>
    </row>
    <row r="66" spans="1:8" x14ac:dyDescent="0.45">
      <c r="A66" t="s">
        <v>130</v>
      </c>
      <c r="B66">
        <v>116.6351756</v>
      </c>
      <c r="C66">
        <v>91.506549160000006</v>
      </c>
      <c r="D66">
        <v>138.28289129999999</v>
      </c>
      <c r="E66">
        <v>130.06974719999999</v>
      </c>
      <c r="F66">
        <v>0</v>
      </c>
      <c r="G66">
        <v>0</v>
      </c>
      <c r="H66">
        <v>0</v>
      </c>
    </row>
    <row r="67" spans="1:8" x14ac:dyDescent="0.45">
      <c r="A67" t="s">
        <v>54</v>
      </c>
      <c r="B67">
        <v>117.4197178</v>
      </c>
      <c r="C67">
        <v>112.5775</v>
      </c>
      <c r="D67">
        <v>132.199376</v>
      </c>
      <c r="E67">
        <v>115.17675370000001</v>
      </c>
      <c r="F67">
        <v>0</v>
      </c>
      <c r="G67">
        <v>0</v>
      </c>
      <c r="H67">
        <v>0</v>
      </c>
    </row>
    <row r="68" spans="1:8" x14ac:dyDescent="0.45">
      <c r="A68" t="s">
        <v>55</v>
      </c>
      <c r="B68">
        <v>118.53253599999999</v>
      </c>
      <c r="C68">
        <v>103.4140498</v>
      </c>
      <c r="D68">
        <v>136.07625049999999</v>
      </c>
      <c r="E68">
        <v>118.7820734</v>
      </c>
      <c r="F68">
        <v>0</v>
      </c>
      <c r="G68">
        <v>0</v>
      </c>
      <c r="H68">
        <v>0</v>
      </c>
    </row>
    <row r="69" spans="1:8" x14ac:dyDescent="0.45">
      <c r="A69" t="s">
        <v>56</v>
      </c>
      <c r="B69">
        <v>116.57862280000001</v>
      </c>
      <c r="C69">
        <v>103.1034277</v>
      </c>
      <c r="D69">
        <v>144.66384740000001</v>
      </c>
      <c r="E69">
        <v>111.9009046</v>
      </c>
      <c r="F69">
        <v>0</v>
      </c>
      <c r="G69">
        <v>0</v>
      </c>
      <c r="H69">
        <v>0</v>
      </c>
    </row>
    <row r="70" spans="1:8" x14ac:dyDescent="0.45">
      <c r="A70" t="s">
        <v>57</v>
      </c>
      <c r="B70">
        <v>117.4411762</v>
      </c>
      <c r="C70">
        <v>103.7116923</v>
      </c>
      <c r="D70">
        <v>132.92938359999999</v>
      </c>
      <c r="E70">
        <v>121.29702810000001</v>
      </c>
      <c r="F70">
        <v>0</v>
      </c>
      <c r="G70">
        <v>0</v>
      </c>
      <c r="H70">
        <v>0</v>
      </c>
    </row>
    <row r="71" spans="1:8" x14ac:dyDescent="0.45">
      <c r="A71" t="s">
        <v>58</v>
      </c>
      <c r="B71">
        <v>117.24809209999999</v>
      </c>
      <c r="C71">
        <v>79.441078039999994</v>
      </c>
      <c r="D71">
        <v>149.2756009</v>
      </c>
      <c r="E71">
        <v>131.2494423</v>
      </c>
      <c r="F71">
        <v>0</v>
      </c>
      <c r="G71">
        <v>0</v>
      </c>
      <c r="H71">
        <v>0</v>
      </c>
    </row>
    <row r="72" spans="1:8" x14ac:dyDescent="0.45">
      <c r="A72" t="s">
        <v>131</v>
      </c>
      <c r="B72">
        <v>118.53925769999999</v>
      </c>
      <c r="C72">
        <v>89.242081659999997</v>
      </c>
      <c r="D72">
        <v>148.47169249999999</v>
      </c>
      <c r="E72">
        <v>121.7296365</v>
      </c>
      <c r="F72">
        <v>0</v>
      </c>
      <c r="G72">
        <v>0</v>
      </c>
      <c r="H72">
        <v>0</v>
      </c>
    </row>
    <row r="73" spans="1:8" x14ac:dyDescent="0.45">
      <c r="A73" t="s">
        <v>132</v>
      </c>
      <c r="B73">
        <v>118.34498670000001</v>
      </c>
      <c r="C73">
        <v>90.784104619999994</v>
      </c>
      <c r="D73">
        <v>118.3302419</v>
      </c>
      <c r="E73">
        <v>148.35072160000001</v>
      </c>
      <c r="F73">
        <v>0</v>
      </c>
      <c r="G73">
        <v>0</v>
      </c>
      <c r="H73">
        <v>0</v>
      </c>
    </row>
    <row r="74" spans="1:8" x14ac:dyDescent="0.45">
      <c r="A74" t="s">
        <v>133</v>
      </c>
      <c r="B74">
        <v>118.2284088</v>
      </c>
      <c r="C74">
        <v>88.768770829999994</v>
      </c>
      <c r="D74">
        <v>127.5392095</v>
      </c>
      <c r="E74">
        <v>140.5988184</v>
      </c>
      <c r="F74">
        <v>0</v>
      </c>
      <c r="G74">
        <v>0</v>
      </c>
      <c r="H74">
        <v>0</v>
      </c>
    </row>
    <row r="75" spans="1:8" x14ac:dyDescent="0.45">
      <c r="A75" t="s">
        <v>59</v>
      </c>
      <c r="B75">
        <v>118.8049264</v>
      </c>
      <c r="C75">
        <v>101.6506181</v>
      </c>
      <c r="D75">
        <v>120.19113350000001</v>
      </c>
      <c r="E75">
        <v>136.33809780000001</v>
      </c>
    </row>
    <row r="76" spans="1:8" x14ac:dyDescent="0.45">
      <c r="A76" t="s">
        <v>60</v>
      </c>
      <c r="B76">
        <v>117.8513707</v>
      </c>
      <c r="C76">
        <v>113.7944</v>
      </c>
      <c r="D76">
        <v>111.95590079999999</v>
      </c>
      <c r="E76">
        <v>134.1776175</v>
      </c>
      <c r="F76">
        <v>0</v>
      </c>
      <c r="G76">
        <v>0</v>
      </c>
      <c r="H76">
        <v>0</v>
      </c>
    </row>
    <row r="77" spans="1:8" x14ac:dyDescent="0.45">
      <c r="A77" t="s">
        <v>61</v>
      </c>
      <c r="B77">
        <v>118.97174080000001</v>
      </c>
      <c r="C77">
        <v>114.5496223</v>
      </c>
      <c r="D77">
        <v>124.3139633</v>
      </c>
      <c r="E77">
        <v>119.4037182</v>
      </c>
      <c r="F77">
        <v>0</v>
      </c>
      <c r="G77">
        <v>0</v>
      </c>
      <c r="H77">
        <v>0</v>
      </c>
    </row>
    <row r="78" spans="1:8" x14ac:dyDescent="0.45">
      <c r="A78" t="s">
        <v>62</v>
      </c>
      <c r="B78">
        <v>118.9310424</v>
      </c>
      <c r="C78">
        <v>99.174409990000001</v>
      </c>
      <c r="D78">
        <v>120.4786149</v>
      </c>
      <c r="E78">
        <v>140.14522220000001</v>
      </c>
      <c r="F78">
        <v>0</v>
      </c>
      <c r="G78">
        <v>0</v>
      </c>
      <c r="H78">
        <v>0</v>
      </c>
    </row>
    <row r="79" spans="1:8" x14ac:dyDescent="0.45">
      <c r="A79" t="s">
        <v>63</v>
      </c>
      <c r="B79">
        <v>118.15358329999999</v>
      </c>
      <c r="C79">
        <v>101.2959599</v>
      </c>
      <c r="D79">
        <v>139.35526290000001</v>
      </c>
      <c r="E79">
        <v>119.3284128</v>
      </c>
      <c r="F79">
        <v>0</v>
      </c>
      <c r="G79">
        <v>0</v>
      </c>
      <c r="H79">
        <v>0</v>
      </c>
    </row>
    <row r="80" spans="1:8" x14ac:dyDescent="0.45">
      <c r="A80" t="s">
        <v>64</v>
      </c>
      <c r="B80">
        <v>116.08679189999999</v>
      </c>
      <c r="C80">
        <v>106.8637552</v>
      </c>
      <c r="D80">
        <v>137.05484849999999</v>
      </c>
      <c r="E80">
        <v>115.6373038</v>
      </c>
      <c r="F80">
        <v>0</v>
      </c>
      <c r="G80">
        <v>0</v>
      </c>
      <c r="H80">
        <v>0</v>
      </c>
    </row>
    <row r="81" spans="1:8" x14ac:dyDescent="0.45">
      <c r="A81" t="s">
        <v>65</v>
      </c>
      <c r="B81">
        <v>117.3950153</v>
      </c>
      <c r="C81">
        <v>107.9060738</v>
      </c>
      <c r="D81">
        <v>131.4272172</v>
      </c>
      <c r="E81">
        <v>119.0653161</v>
      </c>
      <c r="F81">
        <v>0</v>
      </c>
      <c r="G81">
        <v>0</v>
      </c>
      <c r="H81">
        <v>0</v>
      </c>
    </row>
    <row r="82" spans="1:8" x14ac:dyDescent="0.45">
      <c r="A82" t="s">
        <v>66</v>
      </c>
      <c r="B82">
        <v>116.7937336</v>
      </c>
      <c r="C82">
        <v>105.603694</v>
      </c>
      <c r="D82">
        <v>117.9254816</v>
      </c>
      <c r="E82">
        <v>136.062285</v>
      </c>
      <c r="F82">
        <v>0</v>
      </c>
      <c r="G82">
        <v>0</v>
      </c>
      <c r="H82">
        <v>0</v>
      </c>
    </row>
    <row r="83" spans="1:8" x14ac:dyDescent="0.45">
      <c r="A83" t="s">
        <v>67</v>
      </c>
      <c r="B83">
        <v>118.15156229999999</v>
      </c>
      <c r="C83">
        <v>102.22845890000001</v>
      </c>
      <c r="D83">
        <v>135.29658370000001</v>
      </c>
      <c r="E83">
        <v>120.178217</v>
      </c>
      <c r="F83">
        <v>0</v>
      </c>
      <c r="G83">
        <v>0</v>
      </c>
      <c r="H83">
        <v>0</v>
      </c>
    </row>
    <row r="84" spans="1:8" x14ac:dyDescent="0.45">
      <c r="A84" t="s">
        <v>134</v>
      </c>
      <c r="B84">
        <v>117.9410666</v>
      </c>
      <c r="C84">
        <v>67.396896749999996</v>
      </c>
      <c r="D84">
        <v>137.3557089</v>
      </c>
      <c r="E84">
        <v>93.656608169999998</v>
      </c>
      <c r="F84">
        <v>77.134996990000005</v>
      </c>
      <c r="G84">
        <v>150.75058050000001</v>
      </c>
      <c r="H84">
        <v>127.7061799</v>
      </c>
    </row>
    <row r="85" spans="1:8" x14ac:dyDescent="0.45">
      <c r="A85" t="s">
        <v>135</v>
      </c>
      <c r="B85">
        <v>118.1576989</v>
      </c>
      <c r="C85">
        <v>0</v>
      </c>
      <c r="D85">
        <v>176.2996028</v>
      </c>
      <c r="E85">
        <v>0</v>
      </c>
      <c r="F85">
        <v>0</v>
      </c>
      <c r="G85">
        <v>0</v>
      </c>
      <c r="H85">
        <v>0</v>
      </c>
    </row>
    <row r="86" spans="1:8" x14ac:dyDescent="0.45">
      <c r="A86" t="s">
        <v>136</v>
      </c>
      <c r="B86">
        <v>118.5097592</v>
      </c>
      <c r="C86">
        <v>101.2414145</v>
      </c>
      <c r="D86">
        <v>133.3964618</v>
      </c>
      <c r="E86">
        <v>124.9778756</v>
      </c>
      <c r="F86">
        <v>0</v>
      </c>
      <c r="G86">
        <v>0</v>
      </c>
      <c r="H86">
        <v>0</v>
      </c>
    </row>
    <row r="87" spans="1:8" x14ac:dyDescent="0.45">
      <c r="A87" t="s">
        <v>137</v>
      </c>
      <c r="B87">
        <v>117.3072208</v>
      </c>
      <c r="C87">
        <v>104.12412550000001</v>
      </c>
      <c r="D87">
        <v>116.8467543</v>
      </c>
      <c r="E87">
        <v>139.00912719999999</v>
      </c>
      <c r="F87">
        <v>0</v>
      </c>
      <c r="G87">
        <v>0</v>
      </c>
      <c r="H87">
        <v>0</v>
      </c>
    </row>
    <row r="88" spans="1:8" x14ac:dyDescent="0.45">
      <c r="A88" t="s">
        <v>138</v>
      </c>
      <c r="B88">
        <v>118.83560129999999</v>
      </c>
      <c r="C88">
        <v>100.6571955</v>
      </c>
      <c r="D88">
        <v>107.68652760000001</v>
      </c>
      <c r="E88">
        <v>146.35261639999999</v>
      </c>
      <c r="F88">
        <v>0</v>
      </c>
      <c r="G88">
        <v>0</v>
      </c>
      <c r="H88">
        <v>0</v>
      </c>
    </row>
    <row r="89" spans="1:8" x14ac:dyDescent="0.45">
      <c r="A89" t="s">
        <v>68</v>
      </c>
      <c r="B89">
        <v>117.8100786</v>
      </c>
      <c r="C89">
        <v>114.0636104</v>
      </c>
      <c r="D89">
        <v>107.53065599999999</v>
      </c>
      <c r="E89">
        <v>136.73879600000001</v>
      </c>
    </row>
    <row r="90" spans="1:8" x14ac:dyDescent="0.45">
      <c r="A90" t="s">
        <v>69</v>
      </c>
      <c r="B90">
        <v>117.72899390000001</v>
      </c>
      <c r="C90">
        <v>79.882712350000006</v>
      </c>
      <c r="D90">
        <v>155.2675783</v>
      </c>
      <c r="E90">
        <v>124.8476215</v>
      </c>
      <c r="F90">
        <v>0</v>
      </c>
      <c r="G90">
        <v>0</v>
      </c>
      <c r="H90">
        <v>0</v>
      </c>
    </row>
    <row r="91" spans="1:8" x14ac:dyDescent="0.45">
      <c r="A91" t="s">
        <v>70</v>
      </c>
      <c r="B91">
        <v>117.6797093</v>
      </c>
      <c r="C91">
        <v>81.426068439999995</v>
      </c>
      <c r="D91">
        <v>153.73811929999999</v>
      </c>
      <c r="E91">
        <v>124.83581169999999</v>
      </c>
      <c r="F91">
        <v>0</v>
      </c>
      <c r="G91">
        <v>0</v>
      </c>
      <c r="H91">
        <v>0</v>
      </c>
    </row>
    <row r="92" spans="1:8" x14ac:dyDescent="0.45">
      <c r="A92" t="s">
        <v>71</v>
      </c>
      <c r="B92">
        <v>117.6474362</v>
      </c>
      <c r="C92">
        <v>81.589673050000002</v>
      </c>
      <c r="D92">
        <v>156.46593060000001</v>
      </c>
      <c r="E92">
        <v>121.9437135</v>
      </c>
      <c r="F92">
        <v>0</v>
      </c>
      <c r="G92">
        <v>0</v>
      </c>
      <c r="H92">
        <v>0</v>
      </c>
    </row>
    <row r="93" spans="1:8" x14ac:dyDescent="0.45">
      <c r="A93" t="s">
        <v>72</v>
      </c>
      <c r="B93">
        <v>117.48587120000001</v>
      </c>
      <c r="C93">
        <v>81.554233580000002</v>
      </c>
      <c r="D93">
        <v>130.1671097</v>
      </c>
      <c r="E93">
        <v>147.9607092</v>
      </c>
      <c r="F93">
        <v>0</v>
      </c>
      <c r="G93">
        <v>0</v>
      </c>
      <c r="H93">
        <v>0</v>
      </c>
    </row>
    <row r="94" spans="1:8" x14ac:dyDescent="0.45">
      <c r="A94" t="s">
        <v>73</v>
      </c>
      <c r="B94">
        <v>117.7240797</v>
      </c>
      <c r="C94">
        <v>82.980038550000003</v>
      </c>
      <c r="D94">
        <v>132.2376884</v>
      </c>
      <c r="E94">
        <v>143.6943742</v>
      </c>
      <c r="F94">
        <v>0</v>
      </c>
      <c r="G94">
        <v>0</v>
      </c>
      <c r="H94">
        <v>0</v>
      </c>
    </row>
    <row r="95" spans="1:8" x14ac:dyDescent="0.45">
      <c r="A95" t="s">
        <v>74</v>
      </c>
      <c r="B95">
        <v>117.58145930000001</v>
      </c>
      <c r="C95">
        <v>82.889872789999998</v>
      </c>
      <c r="D95">
        <v>135.80124169999999</v>
      </c>
      <c r="E95">
        <v>140.63056019999999</v>
      </c>
      <c r="F95">
        <v>0</v>
      </c>
      <c r="G95">
        <v>0</v>
      </c>
      <c r="H95">
        <v>0</v>
      </c>
    </row>
    <row r="96" spans="1:8" x14ac:dyDescent="0.45">
      <c r="A96" t="s">
        <v>75</v>
      </c>
      <c r="B96">
        <v>119.10044360000001</v>
      </c>
      <c r="C96">
        <v>82.681644370000001</v>
      </c>
      <c r="D96">
        <v>131.9047363</v>
      </c>
      <c r="E96">
        <v>142.75427529999999</v>
      </c>
      <c r="F96">
        <v>0</v>
      </c>
      <c r="G96">
        <v>0</v>
      </c>
      <c r="H96">
        <v>0</v>
      </c>
    </row>
    <row r="97" spans="1:8" x14ac:dyDescent="0.45">
      <c r="A97" t="s">
        <v>76</v>
      </c>
      <c r="B97">
        <v>118.08166129999999</v>
      </c>
      <c r="C97">
        <v>82.804044939999997</v>
      </c>
      <c r="D97">
        <v>158.0168754</v>
      </c>
      <c r="E97">
        <v>119.17906670000001</v>
      </c>
      <c r="F97">
        <v>0</v>
      </c>
      <c r="G97">
        <v>0</v>
      </c>
      <c r="H97">
        <v>0</v>
      </c>
    </row>
    <row r="98" spans="1:8" x14ac:dyDescent="0.45">
      <c r="A98" t="s">
        <v>77</v>
      </c>
      <c r="B98">
        <v>117.8863844</v>
      </c>
      <c r="C98">
        <v>82.922402989999995</v>
      </c>
      <c r="D98">
        <v>140.99184149999999</v>
      </c>
      <c r="E98">
        <v>132.14704119999999</v>
      </c>
      <c r="F98">
        <v>0</v>
      </c>
      <c r="G98">
        <v>0</v>
      </c>
      <c r="H98">
        <v>0</v>
      </c>
    </row>
    <row r="99" spans="1:8" x14ac:dyDescent="0.45">
      <c r="A99" t="s">
        <v>78</v>
      </c>
      <c r="B99">
        <v>120.4725493</v>
      </c>
      <c r="C99">
        <v>93.518241739999993</v>
      </c>
      <c r="D99">
        <v>153.29514940000001</v>
      </c>
      <c r="E99">
        <v>113.1155163</v>
      </c>
      <c r="F99">
        <v>0</v>
      </c>
      <c r="G99">
        <v>0</v>
      </c>
      <c r="H99">
        <v>0</v>
      </c>
    </row>
    <row r="100" spans="1:8" x14ac:dyDescent="0.45">
      <c r="A100" t="s">
        <v>79</v>
      </c>
      <c r="B100">
        <v>118.3320193</v>
      </c>
      <c r="C100">
        <v>88.075236829999994</v>
      </c>
      <c r="D100">
        <v>121.9578987</v>
      </c>
      <c r="E100">
        <v>149.96676629999999</v>
      </c>
      <c r="F100">
        <v>0</v>
      </c>
      <c r="G100">
        <v>0</v>
      </c>
      <c r="H100">
        <v>0</v>
      </c>
    </row>
    <row r="101" spans="1:8" x14ac:dyDescent="0.45">
      <c r="A101" t="s">
        <v>80</v>
      </c>
      <c r="B101">
        <v>117.30736589999999</v>
      </c>
      <c r="C101">
        <v>87.879047810000003</v>
      </c>
      <c r="D101">
        <v>132.0621337</v>
      </c>
      <c r="E101">
        <v>138.98043809999999</v>
      </c>
      <c r="F101">
        <v>0</v>
      </c>
      <c r="G101">
        <v>0</v>
      </c>
      <c r="H101">
        <v>0</v>
      </c>
    </row>
    <row r="102" spans="1:8" x14ac:dyDescent="0.45">
      <c r="A102" t="s">
        <v>81</v>
      </c>
      <c r="B102">
        <v>118.92277350000001</v>
      </c>
      <c r="C102">
        <v>90.703646809999995</v>
      </c>
      <c r="D102">
        <v>116.7914127</v>
      </c>
      <c r="E102">
        <v>115.5285877</v>
      </c>
      <c r="F102">
        <v>0</v>
      </c>
      <c r="G102">
        <v>0</v>
      </c>
      <c r="H102">
        <v>0</v>
      </c>
    </row>
    <row r="103" spans="1:8" x14ac:dyDescent="0.45">
      <c r="A103" t="s">
        <v>82</v>
      </c>
      <c r="B103">
        <v>118.2881974</v>
      </c>
      <c r="C103">
        <v>100.8121278</v>
      </c>
      <c r="D103">
        <v>87.326117740000001</v>
      </c>
      <c r="E103">
        <v>165.52354059999999</v>
      </c>
      <c r="F103">
        <v>0</v>
      </c>
      <c r="G103">
        <v>0</v>
      </c>
      <c r="H103">
        <v>0</v>
      </c>
    </row>
    <row r="104" spans="1:8" x14ac:dyDescent="0.45">
      <c r="A104" t="s">
        <v>83</v>
      </c>
      <c r="B104">
        <v>116.7124962</v>
      </c>
      <c r="C104">
        <v>76.357872999999998</v>
      </c>
      <c r="D104">
        <v>115.10782380000001</v>
      </c>
      <c r="E104">
        <v>154.62097080000001</v>
      </c>
      <c r="F104">
        <v>0</v>
      </c>
      <c r="G104">
        <v>0</v>
      </c>
      <c r="H104">
        <v>0</v>
      </c>
    </row>
    <row r="105" spans="1:8" x14ac:dyDescent="0.45">
      <c r="A105" t="s">
        <v>84</v>
      </c>
      <c r="B105">
        <v>116.8458807</v>
      </c>
      <c r="C105">
        <v>113.7712631</v>
      </c>
      <c r="D105">
        <v>124.2964161</v>
      </c>
      <c r="E105">
        <v>121.9300853</v>
      </c>
      <c r="F105">
        <v>0</v>
      </c>
      <c r="G105">
        <v>0</v>
      </c>
      <c r="H105">
        <v>0</v>
      </c>
    </row>
    <row r="106" spans="1:8" x14ac:dyDescent="0.45">
      <c r="A106" t="s">
        <v>139</v>
      </c>
      <c r="B106">
        <v>118.0418394</v>
      </c>
      <c r="C106">
        <v>82.548079560000005</v>
      </c>
      <c r="D106">
        <v>153.320987</v>
      </c>
      <c r="E106">
        <v>124.0283688</v>
      </c>
      <c r="F106">
        <v>0</v>
      </c>
      <c r="G106">
        <v>0</v>
      </c>
      <c r="H106">
        <v>0</v>
      </c>
    </row>
    <row r="107" spans="1:8" x14ac:dyDescent="0.45">
      <c r="A107" t="s">
        <v>140</v>
      </c>
      <c r="B107">
        <v>117.3122671</v>
      </c>
      <c r="C107">
        <v>90.24726124</v>
      </c>
      <c r="D107">
        <v>140.08047740000001</v>
      </c>
      <c r="E107">
        <v>129.3746883</v>
      </c>
      <c r="F107">
        <v>0</v>
      </c>
      <c r="G107">
        <v>0</v>
      </c>
      <c r="H107">
        <v>0</v>
      </c>
    </row>
    <row r="108" spans="1:8" x14ac:dyDescent="0.45">
      <c r="A108" t="s">
        <v>85</v>
      </c>
      <c r="B108">
        <v>115.01340020000001</v>
      </c>
      <c r="C108">
        <v>100.9572079</v>
      </c>
      <c r="D108">
        <v>125.36968109999999</v>
      </c>
      <c r="E108">
        <v>131.4994092</v>
      </c>
      <c r="F108">
        <v>0</v>
      </c>
      <c r="G108">
        <v>0</v>
      </c>
      <c r="H108">
        <v>0</v>
      </c>
    </row>
    <row r="109" spans="1:8" x14ac:dyDescent="0.45">
      <c r="A109" t="s">
        <v>86</v>
      </c>
      <c r="B109">
        <v>117.44210169999999</v>
      </c>
      <c r="C109">
        <v>105.2386753</v>
      </c>
      <c r="D109">
        <v>119.7542826</v>
      </c>
      <c r="E109">
        <v>134.87133309999999</v>
      </c>
      <c r="F109">
        <v>0</v>
      </c>
      <c r="G109">
        <v>0</v>
      </c>
      <c r="H109">
        <v>0</v>
      </c>
    </row>
    <row r="110" spans="1:8" x14ac:dyDescent="0.45">
      <c r="A110" t="s">
        <v>87</v>
      </c>
      <c r="B110">
        <v>118.4225816</v>
      </c>
      <c r="C110">
        <v>112.5082154</v>
      </c>
      <c r="D110">
        <v>138.40904449999999</v>
      </c>
      <c r="E110">
        <v>108.50490720000001</v>
      </c>
      <c r="F110">
        <v>0</v>
      </c>
      <c r="G110">
        <v>0</v>
      </c>
      <c r="H110">
        <v>0</v>
      </c>
    </row>
    <row r="111" spans="1:8" x14ac:dyDescent="0.45">
      <c r="A111" t="s">
        <v>88</v>
      </c>
      <c r="B111">
        <v>118.8179978</v>
      </c>
      <c r="C111">
        <v>99.688404739999996</v>
      </c>
      <c r="D111">
        <v>137.2105071</v>
      </c>
      <c r="E111">
        <v>121.69699009999999</v>
      </c>
      <c r="F111">
        <v>0</v>
      </c>
      <c r="G111">
        <v>0</v>
      </c>
      <c r="H111">
        <v>0</v>
      </c>
    </row>
    <row r="112" spans="1:8" x14ac:dyDescent="0.45">
      <c r="A112" t="s">
        <v>89</v>
      </c>
      <c r="B112">
        <v>117.7977599</v>
      </c>
      <c r="C112">
        <v>114.3129303</v>
      </c>
      <c r="D112">
        <v>104.8377302</v>
      </c>
      <c r="E112">
        <v>139.80883639999999</v>
      </c>
      <c r="F112">
        <v>0</v>
      </c>
      <c r="G112">
        <v>0</v>
      </c>
      <c r="H112">
        <v>0</v>
      </c>
    </row>
    <row r="113" spans="1:8" x14ac:dyDescent="0.45">
      <c r="A113" t="s">
        <v>90</v>
      </c>
      <c r="B113">
        <v>119.16460720000001</v>
      </c>
      <c r="C113">
        <v>87.176174189999998</v>
      </c>
      <c r="D113">
        <v>145.95119560000001</v>
      </c>
      <c r="E113">
        <v>120.7098756</v>
      </c>
      <c r="F113">
        <v>0</v>
      </c>
      <c r="G113">
        <v>0</v>
      </c>
      <c r="H113">
        <v>0</v>
      </c>
    </row>
    <row r="114" spans="1:8" x14ac:dyDescent="0.45">
      <c r="A114" t="s">
        <v>91</v>
      </c>
      <c r="B114">
        <v>118.2839493</v>
      </c>
      <c r="C114">
        <v>83.417228969999996</v>
      </c>
      <c r="D114">
        <v>119.0862504</v>
      </c>
      <c r="E114">
        <v>156.7786328</v>
      </c>
      <c r="F114">
        <v>0</v>
      </c>
      <c r="G114">
        <v>0</v>
      </c>
      <c r="H114">
        <v>0</v>
      </c>
    </row>
    <row r="115" spans="1:8" x14ac:dyDescent="0.45">
      <c r="A115" t="s">
        <v>92</v>
      </c>
      <c r="B115">
        <v>118.0912726</v>
      </c>
      <c r="C115">
        <v>85.298437699999994</v>
      </c>
      <c r="D115">
        <v>124.6177173</v>
      </c>
      <c r="E115">
        <v>150.0304639</v>
      </c>
      <c r="F115">
        <v>0</v>
      </c>
      <c r="G115">
        <v>0</v>
      </c>
      <c r="H115">
        <v>0</v>
      </c>
    </row>
    <row r="116" spans="1:8" x14ac:dyDescent="0.45">
      <c r="A116" t="s">
        <v>93</v>
      </c>
      <c r="B116">
        <v>117.9876407</v>
      </c>
      <c r="C116">
        <v>85.836145849999994</v>
      </c>
      <c r="D116">
        <v>147.2682811</v>
      </c>
      <c r="E116">
        <v>126.84978409999999</v>
      </c>
      <c r="F116">
        <v>0</v>
      </c>
      <c r="G116">
        <v>0</v>
      </c>
      <c r="H116">
        <v>0</v>
      </c>
    </row>
    <row r="117" spans="1:8" x14ac:dyDescent="0.45">
      <c r="A117" t="s">
        <v>94</v>
      </c>
      <c r="B117">
        <v>117.39025650000001</v>
      </c>
      <c r="C117">
        <v>90.563608779999996</v>
      </c>
      <c r="D117">
        <v>132.84956159999999</v>
      </c>
      <c r="E117">
        <v>136.5072529</v>
      </c>
      <c r="F117">
        <v>0</v>
      </c>
      <c r="G117">
        <v>0</v>
      </c>
      <c r="H117">
        <v>0</v>
      </c>
    </row>
    <row r="118" spans="1:8" x14ac:dyDescent="0.45">
      <c r="A118" t="s">
        <v>95</v>
      </c>
      <c r="B118">
        <v>118.1180469</v>
      </c>
      <c r="C118">
        <v>85.533040189999994</v>
      </c>
      <c r="D118">
        <v>144.2960191</v>
      </c>
      <c r="E118">
        <v>130.10383680000001</v>
      </c>
      <c r="F118">
        <v>0</v>
      </c>
      <c r="G118">
        <v>0</v>
      </c>
      <c r="H118">
        <v>0</v>
      </c>
    </row>
    <row r="119" spans="1:8" x14ac:dyDescent="0.45">
      <c r="A119" t="s">
        <v>96</v>
      </c>
      <c r="B119">
        <v>118.29966469999999</v>
      </c>
      <c r="C119">
        <v>85.520716329999999</v>
      </c>
      <c r="D119">
        <v>142.64667209999999</v>
      </c>
      <c r="E119">
        <v>131.83159670000001</v>
      </c>
      <c r="F119">
        <v>0</v>
      </c>
      <c r="G119">
        <v>0</v>
      </c>
      <c r="H119">
        <v>0</v>
      </c>
    </row>
    <row r="120" spans="1:8" x14ac:dyDescent="0.45">
      <c r="A120" t="s">
        <v>97</v>
      </c>
      <c r="B120">
        <v>118.5795193</v>
      </c>
      <c r="C120">
        <v>84.312209949999996</v>
      </c>
      <c r="D120">
        <v>132.5405432</v>
      </c>
      <c r="E120">
        <v>143.0466887</v>
      </c>
      <c r="F120">
        <v>0</v>
      </c>
      <c r="G120">
        <v>0</v>
      </c>
      <c r="H120">
        <v>0</v>
      </c>
    </row>
    <row r="121" spans="1:8" x14ac:dyDescent="0.45">
      <c r="A121" t="s">
        <v>98</v>
      </c>
      <c r="B121">
        <v>118.3996212</v>
      </c>
      <c r="C121">
        <v>80.380349910000007</v>
      </c>
      <c r="D121">
        <v>158.2136275</v>
      </c>
      <c r="E121">
        <v>114.5270931</v>
      </c>
      <c r="F121">
        <v>0</v>
      </c>
      <c r="G121">
        <v>0</v>
      </c>
      <c r="H121">
        <v>0</v>
      </c>
    </row>
    <row r="122" spans="1:8" x14ac:dyDescent="0.45">
      <c r="A122" t="s">
        <v>99</v>
      </c>
      <c r="B122">
        <v>117.5946582</v>
      </c>
      <c r="C122">
        <v>80.436566630000002</v>
      </c>
      <c r="D122">
        <v>145.344448</v>
      </c>
      <c r="E122">
        <v>132.9050039</v>
      </c>
    </row>
    <row r="123" spans="1:8" x14ac:dyDescent="0.45">
      <c r="A123" t="s">
        <v>100</v>
      </c>
      <c r="B123">
        <v>118.78453039999999</v>
      </c>
      <c r="C123">
        <v>91.273492649999994</v>
      </c>
      <c r="D123">
        <v>165.6366563</v>
      </c>
      <c r="E123">
        <v>102.1628602</v>
      </c>
      <c r="F123">
        <v>0</v>
      </c>
      <c r="G123">
        <v>0</v>
      </c>
      <c r="H123">
        <v>0</v>
      </c>
    </row>
    <row r="124" spans="1:8" x14ac:dyDescent="0.45">
      <c r="A124" t="s">
        <v>101</v>
      </c>
      <c r="B124">
        <v>117.97252949999999</v>
      </c>
      <c r="C124">
        <v>89.982645300000001</v>
      </c>
      <c r="D124">
        <v>160.93320209999999</v>
      </c>
      <c r="E124">
        <v>109.0732363</v>
      </c>
      <c r="F124">
        <v>0</v>
      </c>
      <c r="G124">
        <v>0</v>
      </c>
      <c r="H124">
        <v>0</v>
      </c>
    </row>
    <row r="125" spans="1:8" x14ac:dyDescent="0.45">
      <c r="A125" t="s">
        <v>102</v>
      </c>
      <c r="B125">
        <v>117.4589297</v>
      </c>
      <c r="C125">
        <v>102.5519267</v>
      </c>
      <c r="D125">
        <v>133.08821689999999</v>
      </c>
      <c r="E125">
        <v>124.2777045</v>
      </c>
      <c r="F125">
        <v>0</v>
      </c>
      <c r="G125">
        <v>0</v>
      </c>
      <c r="H125">
        <v>0</v>
      </c>
    </row>
    <row r="126" spans="1:8" x14ac:dyDescent="0.45">
      <c r="A126" t="s">
        <v>103</v>
      </c>
      <c r="B126">
        <v>117.39669050000001</v>
      </c>
      <c r="C126">
        <v>87.092638590000007</v>
      </c>
      <c r="D126">
        <v>136.33756360000001</v>
      </c>
      <c r="E126">
        <v>136.56539989999999</v>
      </c>
      <c r="F126">
        <v>0</v>
      </c>
      <c r="G126">
        <v>0</v>
      </c>
      <c r="H126">
        <v>0</v>
      </c>
    </row>
    <row r="127" spans="1:8" x14ac:dyDescent="0.45">
      <c r="A127" t="s">
        <v>104</v>
      </c>
      <c r="B127">
        <v>118.68053310000001</v>
      </c>
      <c r="C127">
        <v>93.512893450000007</v>
      </c>
      <c r="D127">
        <v>132.7320211</v>
      </c>
      <c r="E127">
        <v>129.05473119999999</v>
      </c>
      <c r="F127">
        <v>0</v>
      </c>
      <c r="G127">
        <v>0</v>
      </c>
      <c r="H127">
        <v>0</v>
      </c>
    </row>
    <row r="128" spans="1:8" x14ac:dyDescent="0.45">
      <c r="A128" t="s">
        <v>105</v>
      </c>
      <c r="B128">
        <v>117.29080639999999</v>
      </c>
      <c r="C128">
        <v>93.644945930000006</v>
      </c>
      <c r="D128">
        <v>121.192554</v>
      </c>
      <c r="E128">
        <v>144.85967640000001</v>
      </c>
      <c r="F128">
        <v>0</v>
      </c>
      <c r="G128">
        <v>0</v>
      </c>
      <c r="H128">
        <v>0</v>
      </c>
    </row>
    <row r="129" spans="1:8" x14ac:dyDescent="0.45">
      <c r="A129" t="s">
        <v>106</v>
      </c>
      <c r="B129">
        <v>117.7090237</v>
      </c>
      <c r="C129">
        <v>94.126095090000007</v>
      </c>
      <c r="D129">
        <v>134.77813119999999</v>
      </c>
      <c r="E129">
        <v>128.70909080000001</v>
      </c>
      <c r="F129">
        <v>0</v>
      </c>
      <c r="G129">
        <v>0</v>
      </c>
      <c r="H129">
        <v>0</v>
      </c>
    </row>
    <row r="130" spans="1:8" x14ac:dyDescent="0.45">
      <c r="A130" t="s">
        <v>141</v>
      </c>
      <c r="B130">
        <v>118.71872209999999</v>
      </c>
      <c r="C130">
        <v>79.496838530000005</v>
      </c>
      <c r="D130">
        <v>137.3925122</v>
      </c>
      <c r="E130">
        <v>142.83074199999999</v>
      </c>
    </row>
    <row r="131" spans="1:8" x14ac:dyDescent="0.45">
      <c r="A131" t="s">
        <v>142</v>
      </c>
      <c r="B131">
        <v>117.4480951</v>
      </c>
      <c r="C131">
        <v>90.562909500000004</v>
      </c>
      <c r="D131">
        <v>124.52090990000001</v>
      </c>
      <c r="E131">
        <v>144.91615429999999</v>
      </c>
      <c r="F131">
        <v>0</v>
      </c>
      <c r="G131">
        <v>0</v>
      </c>
      <c r="H131">
        <v>0</v>
      </c>
    </row>
    <row r="132" spans="1:8" x14ac:dyDescent="0.45">
      <c r="A132" t="s">
        <v>107</v>
      </c>
      <c r="B132">
        <v>117.7586543</v>
      </c>
      <c r="C132">
        <v>102.052778</v>
      </c>
      <c r="D132">
        <v>145.6019268</v>
      </c>
      <c r="E132">
        <v>112.2078636</v>
      </c>
      <c r="F132">
        <v>0</v>
      </c>
      <c r="G132">
        <v>0</v>
      </c>
      <c r="H132">
        <v>0</v>
      </c>
    </row>
    <row r="133" spans="1:8" x14ac:dyDescent="0.45">
      <c r="A133" t="s">
        <v>108</v>
      </c>
      <c r="B133">
        <v>117.2335908</v>
      </c>
      <c r="C133">
        <v>111.9631819</v>
      </c>
      <c r="D133">
        <v>119.7837215</v>
      </c>
      <c r="E133">
        <v>127.8471156</v>
      </c>
      <c r="F133">
        <v>0</v>
      </c>
      <c r="G133">
        <v>0</v>
      </c>
      <c r="H133">
        <v>0</v>
      </c>
    </row>
    <row r="134" spans="1:8" x14ac:dyDescent="0.45">
      <c r="A134" t="s">
        <v>109</v>
      </c>
      <c r="B134">
        <v>117.54376259999999</v>
      </c>
      <c r="C134">
        <v>111.7761265</v>
      </c>
      <c r="D134">
        <v>116.09905120000001</v>
      </c>
      <c r="E134">
        <v>132.12185840000001</v>
      </c>
      <c r="F134">
        <v>0</v>
      </c>
      <c r="G134">
        <v>0</v>
      </c>
      <c r="H134">
        <v>0</v>
      </c>
    </row>
    <row r="135" spans="1:8" x14ac:dyDescent="0.45">
      <c r="A135" t="s">
        <v>110</v>
      </c>
      <c r="B135">
        <v>116.85534180000001</v>
      </c>
      <c r="C135">
        <v>102.981804</v>
      </c>
      <c r="D135">
        <v>133.5100745</v>
      </c>
      <c r="E135">
        <v>122.95011580000001</v>
      </c>
      <c r="F135">
        <v>0</v>
      </c>
      <c r="G135">
        <v>0</v>
      </c>
      <c r="H135">
        <v>0</v>
      </c>
    </row>
    <row r="136" spans="1:8" x14ac:dyDescent="0.45">
      <c r="A136" t="s">
        <v>111</v>
      </c>
      <c r="B136">
        <v>117.54952369999999</v>
      </c>
      <c r="C136">
        <v>79.460185780000003</v>
      </c>
      <c r="D136">
        <v>126.06595540000001</v>
      </c>
      <c r="E136">
        <v>154.4146619</v>
      </c>
      <c r="F136">
        <v>0</v>
      </c>
      <c r="G136">
        <v>0</v>
      </c>
      <c r="H136">
        <v>0</v>
      </c>
    </row>
    <row r="137" spans="1:8" x14ac:dyDescent="0.45">
      <c r="A137" t="s">
        <v>112</v>
      </c>
      <c r="B137">
        <v>117.0308453</v>
      </c>
      <c r="C137">
        <v>79.122058899999999</v>
      </c>
      <c r="D137">
        <v>140.55200199999999</v>
      </c>
      <c r="E137">
        <v>140.30798160000001</v>
      </c>
      <c r="F137">
        <v>0</v>
      </c>
      <c r="G137">
        <v>0</v>
      </c>
      <c r="H13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2B519-D5A7-4CC7-A880-48DD02FEC9DF}">
  <dimension ref="A1:AS140"/>
  <sheetViews>
    <sheetView workbookViewId="0">
      <selection activeCell="B1" sqref="B1"/>
    </sheetView>
  </sheetViews>
  <sheetFormatPr defaultRowHeight="14.25" x14ac:dyDescent="0.45"/>
  <cols>
    <col min="13" max="13" width="11.46484375" customWidth="1"/>
    <col min="14" max="14" width="11.1328125" customWidth="1"/>
  </cols>
  <sheetData>
    <row r="1" spans="1:45" s="2" customFormat="1" x14ac:dyDescent="0.45">
      <c r="A1" s="2" t="s">
        <v>6</v>
      </c>
      <c r="B1" s="2" t="s">
        <v>150</v>
      </c>
      <c r="C1" s="2" t="s">
        <v>151</v>
      </c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  <c r="I1" s="2" t="s">
        <v>5</v>
      </c>
    </row>
    <row r="2" spans="1:45" x14ac:dyDescent="0.45">
      <c r="A2" t="s">
        <v>113</v>
      </c>
      <c r="B2">
        <v>116.7731071</v>
      </c>
      <c r="C2">
        <v>117.682802</v>
      </c>
      <c r="D2">
        <f t="shared" ref="D2:D33" si="0">(C2-B2)</f>
        <v>0.90969489999999098</v>
      </c>
      <c r="E2">
        <f>ABS(D2)</f>
        <v>0.90969489999999098</v>
      </c>
      <c r="F2">
        <f>E2^2</f>
        <v>0.82754481108599354</v>
      </c>
      <c r="G2">
        <f>CORREL(B2:B137,C2:C137)</f>
        <v>0.34704796648901431</v>
      </c>
      <c r="H2">
        <f>G2^2</f>
        <v>0.12044229104416</v>
      </c>
      <c r="I2">
        <v>116.7731071</v>
      </c>
    </row>
    <row r="3" spans="1:45" x14ac:dyDescent="0.45">
      <c r="A3" t="s">
        <v>114</v>
      </c>
      <c r="B3">
        <v>116.4442801</v>
      </c>
      <c r="C3">
        <v>118.541769</v>
      </c>
      <c r="D3">
        <f t="shared" si="0"/>
        <v>2.0974889000000019</v>
      </c>
      <c r="E3">
        <f t="shared" ref="E3:E62" si="1">ABS(D3)</f>
        <v>2.0974889000000019</v>
      </c>
      <c r="F3">
        <f t="shared" ref="F3:F62" si="2">E3^2</f>
        <v>4.399459685623218</v>
      </c>
      <c r="I3">
        <v>116.4442801</v>
      </c>
    </row>
    <row r="4" spans="1:45" x14ac:dyDescent="0.45">
      <c r="A4" t="s">
        <v>115</v>
      </c>
      <c r="B4">
        <v>116.6953041</v>
      </c>
      <c r="C4">
        <v>117.9238088</v>
      </c>
      <c r="D4">
        <f t="shared" si="0"/>
        <v>1.228504700000002</v>
      </c>
      <c r="E4">
        <f t="shared" si="1"/>
        <v>1.228504700000002</v>
      </c>
      <c r="F4">
        <f t="shared" si="2"/>
        <v>1.5092237979220948</v>
      </c>
      <c r="I4">
        <v>116.6953041</v>
      </c>
    </row>
    <row r="5" spans="1:45" x14ac:dyDescent="0.45">
      <c r="A5" t="s">
        <v>116</v>
      </c>
      <c r="B5">
        <v>118.0497763</v>
      </c>
      <c r="C5">
        <v>117.6774085</v>
      </c>
      <c r="D5">
        <f t="shared" si="0"/>
        <v>-0.37236780000000635</v>
      </c>
      <c r="E5">
        <f t="shared" si="1"/>
        <v>0.37236780000000635</v>
      </c>
      <c r="F5">
        <f t="shared" si="2"/>
        <v>0.13865777847684474</v>
      </c>
      <c r="I5">
        <v>118.0497763</v>
      </c>
    </row>
    <row r="6" spans="1:45" x14ac:dyDescent="0.45">
      <c r="A6" t="s">
        <v>117</v>
      </c>
      <c r="B6">
        <v>117.9294915</v>
      </c>
      <c r="C6">
        <v>118.91393789999999</v>
      </c>
      <c r="D6">
        <f t="shared" si="0"/>
        <v>0.98444639999999595</v>
      </c>
      <c r="E6">
        <f t="shared" si="1"/>
        <v>0.98444639999999595</v>
      </c>
      <c r="F6">
        <f t="shared" si="2"/>
        <v>0.96913471447295207</v>
      </c>
      <c r="I6">
        <v>117.9294915</v>
      </c>
    </row>
    <row r="7" spans="1:45" x14ac:dyDescent="0.45">
      <c r="A7" t="s">
        <v>118</v>
      </c>
      <c r="B7">
        <v>117.554564</v>
      </c>
      <c r="C7">
        <v>117.76520050000001</v>
      </c>
      <c r="D7">
        <f t="shared" si="0"/>
        <v>0.21063650000000678</v>
      </c>
      <c r="E7">
        <f t="shared" si="1"/>
        <v>0.21063650000000678</v>
      </c>
      <c r="F7">
        <f t="shared" si="2"/>
        <v>4.4367735132252853E-2</v>
      </c>
      <c r="I7">
        <v>117.554564</v>
      </c>
    </row>
    <row r="8" spans="1:45" x14ac:dyDescent="0.45">
      <c r="A8" t="s">
        <v>7</v>
      </c>
      <c r="B8">
        <v>117.3498712</v>
      </c>
      <c r="C8">
        <v>117.9524857</v>
      </c>
      <c r="D8">
        <f t="shared" si="0"/>
        <v>0.60261450000000139</v>
      </c>
      <c r="E8">
        <f t="shared" si="1"/>
        <v>0.60261450000000139</v>
      </c>
      <c r="F8">
        <f t="shared" si="2"/>
        <v>0.36314423561025166</v>
      </c>
      <c r="I8">
        <v>117.3498712</v>
      </c>
    </row>
    <row r="9" spans="1:45" x14ac:dyDescent="0.45">
      <c r="A9" t="s">
        <v>8</v>
      </c>
      <c r="B9">
        <v>118.81107230000001</v>
      </c>
      <c r="C9">
        <v>118.85530780000001</v>
      </c>
      <c r="D9">
        <f t="shared" si="0"/>
        <v>4.4235499999999206E-2</v>
      </c>
      <c r="E9">
        <f t="shared" si="1"/>
        <v>4.4235499999999206E-2</v>
      </c>
      <c r="F9">
        <f t="shared" si="2"/>
        <v>1.9567794602499298E-3</v>
      </c>
      <c r="I9">
        <v>118.81107230000001</v>
      </c>
    </row>
    <row r="10" spans="1:45" x14ac:dyDescent="0.45">
      <c r="A10" t="s">
        <v>9</v>
      </c>
      <c r="B10">
        <v>116.26892960000001</v>
      </c>
      <c r="C10">
        <v>118.0307656</v>
      </c>
      <c r="D10">
        <f t="shared" si="0"/>
        <v>1.7618359999999882</v>
      </c>
      <c r="E10">
        <f t="shared" si="1"/>
        <v>1.7618359999999882</v>
      </c>
      <c r="F10">
        <f t="shared" si="2"/>
        <v>3.1040660908959583</v>
      </c>
      <c r="I10">
        <v>116.26892960000001</v>
      </c>
    </row>
    <row r="11" spans="1:45" x14ac:dyDescent="0.45">
      <c r="A11" t="s">
        <v>10</v>
      </c>
      <c r="B11">
        <v>116.83102270000001</v>
      </c>
      <c r="C11">
        <v>118.80741020000001</v>
      </c>
      <c r="D11">
        <f t="shared" si="0"/>
        <v>1.9763875000000013</v>
      </c>
      <c r="E11">
        <f t="shared" si="1"/>
        <v>1.9763875000000013</v>
      </c>
      <c r="F11">
        <f t="shared" si="2"/>
        <v>3.9061075501562552</v>
      </c>
      <c r="I11">
        <v>116.83102270000001</v>
      </c>
    </row>
    <row r="12" spans="1:45" x14ac:dyDescent="0.45">
      <c r="A12" t="s">
        <v>11</v>
      </c>
      <c r="B12">
        <v>116.73299489999999</v>
      </c>
      <c r="C12">
        <v>118.1420226</v>
      </c>
      <c r="D12">
        <f t="shared" si="0"/>
        <v>1.40902770000001</v>
      </c>
      <c r="E12">
        <f t="shared" si="1"/>
        <v>1.40902770000001</v>
      </c>
      <c r="F12">
        <f t="shared" si="2"/>
        <v>1.985359059367318</v>
      </c>
      <c r="I12">
        <v>116.73299489999999</v>
      </c>
    </row>
    <row r="13" spans="1:45" x14ac:dyDescent="0.45">
      <c r="A13" t="s">
        <v>12</v>
      </c>
      <c r="B13">
        <v>131.31039730000001</v>
      </c>
      <c r="C13">
        <v>117.3876774</v>
      </c>
      <c r="D13">
        <f t="shared" si="0"/>
        <v>-13.922719900000004</v>
      </c>
      <c r="E13">
        <f t="shared" si="1"/>
        <v>13.922719900000004</v>
      </c>
      <c r="F13">
        <f t="shared" si="2"/>
        <v>193.84212941385613</v>
      </c>
      <c r="I13">
        <v>131.31039730000001</v>
      </c>
    </row>
    <row r="14" spans="1:45" x14ac:dyDescent="0.45">
      <c r="A14" t="s">
        <v>13</v>
      </c>
      <c r="B14">
        <v>116.7945934</v>
      </c>
      <c r="C14">
        <v>118.0294718</v>
      </c>
      <c r="D14">
        <f t="shared" si="0"/>
        <v>1.2348783999999995</v>
      </c>
      <c r="E14">
        <f t="shared" si="1"/>
        <v>1.2348783999999995</v>
      </c>
      <c r="F14">
        <f t="shared" si="2"/>
        <v>1.5249246627865587</v>
      </c>
      <c r="I14">
        <v>116.7945934</v>
      </c>
    </row>
    <row r="15" spans="1:45" x14ac:dyDescent="0.45">
      <c r="A15" t="s">
        <v>119</v>
      </c>
      <c r="B15">
        <v>116.92733680000001</v>
      </c>
      <c r="C15">
        <v>118.4514971</v>
      </c>
      <c r="D15">
        <f t="shared" si="0"/>
        <v>1.5241602999999913</v>
      </c>
      <c r="E15">
        <f t="shared" si="1"/>
        <v>1.5241602999999913</v>
      </c>
      <c r="F15">
        <f t="shared" si="2"/>
        <v>2.3230646200960634</v>
      </c>
      <c r="I15">
        <v>116.92733680000001</v>
      </c>
      <c r="AS15" s="1"/>
    </row>
    <row r="16" spans="1:45" x14ac:dyDescent="0.45">
      <c r="A16" t="s">
        <v>14</v>
      </c>
      <c r="B16">
        <v>116.9029177</v>
      </c>
      <c r="C16">
        <v>118.1522217</v>
      </c>
      <c r="D16">
        <f t="shared" si="0"/>
        <v>1.2493039999999951</v>
      </c>
      <c r="E16">
        <f t="shared" si="1"/>
        <v>1.2493039999999951</v>
      </c>
      <c r="F16">
        <f t="shared" si="2"/>
        <v>1.5607604844159877</v>
      </c>
      <c r="I16">
        <v>116.9029177</v>
      </c>
      <c r="AS16" s="1"/>
    </row>
    <row r="17" spans="1:45" x14ac:dyDescent="0.45">
      <c r="A17" t="s">
        <v>120</v>
      </c>
      <c r="B17">
        <v>126.8680725</v>
      </c>
      <c r="C17">
        <v>119.7440744</v>
      </c>
      <c r="D17">
        <f t="shared" si="0"/>
        <v>-7.1239980999999943</v>
      </c>
      <c r="E17">
        <f t="shared" si="1"/>
        <v>7.1239980999999943</v>
      </c>
      <c r="F17">
        <f t="shared" si="2"/>
        <v>50.75134892880353</v>
      </c>
      <c r="I17">
        <v>126.8680725</v>
      </c>
      <c r="AS17" s="1"/>
    </row>
    <row r="18" spans="1:45" x14ac:dyDescent="0.45">
      <c r="A18" t="s">
        <v>121</v>
      </c>
      <c r="B18">
        <v>116.5623767</v>
      </c>
      <c r="C18">
        <v>117.9143325</v>
      </c>
      <c r="D18">
        <f t="shared" si="0"/>
        <v>1.3519557999999989</v>
      </c>
      <c r="E18">
        <f t="shared" si="1"/>
        <v>1.3519557999999989</v>
      </c>
      <c r="F18">
        <f t="shared" si="2"/>
        <v>1.8277844851536371</v>
      </c>
      <c r="I18">
        <v>116.5623767</v>
      </c>
      <c r="AS18" s="1"/>
    </row>
    <row r="19" spans="1:45" x14ac:dyDescent="0.45">
      <c r="A19" t="s">
        <v>122</v>
      </c>
      <c r="B19">
        <v>117.9015332</v>
      </c>
      <c r="C19">
        <v>119.0952444</v>
      </c>
      <c r="D19">
        <f t="shared" si="0"/>
        <v>1.1937111999999956</v>
      </c>
      <c r="E19">
        <f t="shared" si="1"/>
        <v>1.1937111999999956</v>
      </c>
      <c r="F19">
        <f t="shared" si="2"/>
        <v>1.4249464290054297</v>
      </c>
      <c r="I19">
        <v>117.9015332</v>
      </c>
      <c r="AS19" s="1"/>
    </row>
    <row r="20" spans="1:45" x14ac:dyDescent="0.45">
      <c r="A20" t="s">
        <v>123</v>
      </c>
      <c r="B20">
        <v>118.68592289999999</v>
      </c>
      <c r="C20">
        <v>118.5155666</v>
      </c>
      <c r="D20">
        <f t="shared" si="0"/>
        <v>-0.17035629999999458</v>
      </c>
      <c r="E20">
        <f t="shared" si="1"/>
        <v>0.17035629999999458</v>
      </c>
      <c r="F20">
        <f t="shared" si="2"/>
        <v>2.902126894968815E-2</v>
      </c>
      <c r="I20">
        <v>118.68592289999999</v>
      </c>
      <c r="AS20" s="1"/>
    </row>
    <row r="21" spans="1:45" x14ac:dyDescent="0.45">
      <c r="A21" t="s">
        <v>124</v>
      </c>
      <c r="B21">
        <v>117.20349760000001</v>
      </c>
      <c r="C21">
        <v>117.31281389999999</v>
      </c>
      <c r="D21">
        <f t="shared" si="0"/>
        <v>0.10931629999998904</v>
      </c>
      <c r="E21">
        <f t="shared" si="1"/>
        <v>0.10931629999998904</v>
      </c>
      <c r="F21">
        <f t="shared" si="2"/>
        <v>1.1950053445687604E-2</v>
      </c>
      <c r="I21">
        <v>117.20349760000001</v>
      </c>
    </row>
    <row r="22" spans="1:45" x14ac:dyDescent="0.45">
      <c r="A22" t="s">
        <v>125</v>
      </c>
      <c r="B22">
        <v>116.5727991</v>
      </c>
      <c r="C22">
        <v>118.71147929999999</v>
      </c>
      <c r="D22">
        <f t="shared" si="0"/>
        <v>2.138680199999996</v>
      </c>
      <c r="E22">
        <f t="shared" si="1"/>
        <v>2.138680199999996</v>
      </c>
      <c r="F22">
        <f t="shared" si="2"/>
        <v>4.5739529978720235</v>
      </c>
      <c r="I22">
        <v>116.5727991</v>
      </c>
    </row>
    <row r="23" spans="1:45" x14ac:dyDescent="0.45">
      <c r="A23" t="s">
        <v>15</v>
      </c>
      <c r="B23">
        <v>114.62505779999999</v>
      </c>
      <c r="C23">
        <v>116.08043739999999</v>
      </c>
      <c r="D23">
        <f t="shared" si="0"/>
        <v>1.4553796000000006</v>
      </c>
      <c r="E23">
        <f t="shared" si="1"/>
        <v>1.4553796000000006</v>
      </c>
      <c r="F23">
        <f t="shared" si="2"/>
        <v>2.1181297800961616</v>
      </c>
      <c r="I23">
        <v>114.62505779999999</v>
      </c>
    </row>
    <row r="24" spans="1:45" x14ac:dyDescent="0.45">
      <c r="A24" t="s">
        <v>16</v>
      </c>
      <c r="B24">
        <v>115.6987353</v>
      </c>
      <c r="C24">
        <v>117.6393355</v>
      </c>
      <c r="D24">
        <f t="shared" si="0"/>
        <v>1.9406002000000058</v>
      </c>
      <c r="E24">
        <f t="shared" si="1"/>
        <v>1.9406002000000058</v>
      </c>
      <c r="F24">
        <f t="shared" si="2"/>
        <v>3.7659291362400622</v>
      </c>
      <c r="I24">
        <v>115.6987353</v>
      </c>
    </row>
    <row r="25" spans="1:45" x14ac:dyDescent="0.45">
      <c r="A25" t="s">
        <v>17</v>
      </c>
      <c r="B25">
        <v>115.6850625</v>
      </c>
      <c r="C25">
        <v>117.66976870000001</v>
      </c>
      <c r="D25">
        <f t="shared" si="0"/>
        <v>1.9847062000000051</v>
      </c>
      <c r="E25">
        <f t="shared" si="1"/>
        <v>1.9847062000000051</v>
      </c>
      <c r="F25">
        <f t="shared" si="2"/>
        <v>3.9390587003184603</v>
      </c>
      <c r="I25">
        <v>115.6850625</v>
      </c>
    </row>
    <row r="26" spans="1:45" x14ac:dyDescent="0.45">
      <c r="A26" t="s">
        <v>18</v>
      </c>
      <c r="B26">
        <v>127.4962195</v>
      </c>
      <c r="C26">
        <v>117.6259183</v>
      </c>
      <c r="D26">
        <f t="shared" si="0"/>
        <v>-9.8703012000000001</v>
      </c>
      <c r="E26">
        <f t="shared" si="1"/>
        <v>9.8703012000000001</v>
      </c>
      <c r="F26">
        <f t="shared" si="2"/>
        <v>97.422845778721438</v>
      </c>
      <c r="I26">
        <v>127.4962195</v>
      </c>
    </row>
    <row r="27" spans="1:45" x14ac:dyDescent="0.45">
      <c r="A27" t="s">
        <v>19</v>
      </c>
      <c r="B27">
        <v>115.8390974</v>
      </c>
      <c r="C27">
        <v>117.1961364</v>
      </c>
      <c r="D27">
        <f t="shared" si="0"/>
        <v>1.3570390000000003</v>
      </c>
      <c r="E27">
        <f t="shared" si="1"/>
        <v>1.3570390000000003</v>
      </c>
      <c r="F27">
        <f t="shared" si="2"/>
        <v>1.8415548475210008</v>
      </c>
      <c r="I27">
        <v>115.8390974</v>
      </c>
    </row>
    <row r="28" spans="1:45" x14ac:dyDescent="0.45">
      <c r="A28" t="s">
        <v>20</v>
      </c>
      <c r="B28">
        <v>116.5496658</v>
      </c>
      <c r="C28">
        <v>117.57884079999999</v>
      </c>
      <c r="D28">
        <f t="shared" si="0"/>
        <v>1.0291749999999951</v>
      </c>
      <c r="E28">
        <f t="shared" si="1"/>
        <v>1.0291749999999951</v>
      </c>
      <c r="F28">
        <f t="shared" si="2"/>
        <v>1.0592011806249899</v>
      </c>
      <c r="I28">
        <v>116.5496658</v>
      </c>
    </row>
    <row r="29" spans="1:45" x14ac:dyDescent="0.45">
      <c r="A29" t="s">
        <v>21</v>
      </c>
      <c r="B29">
        <v>115.77441</v>
      </c>
      <c r="C29">
        <v>117.6378775</v>
      </c>
      <c r="D29">
        <f t="shared" si="0"/>
        <v>1.8634674999999987</v>
      </c>
      <c r="E29">
        <f t="shared" si="1"/>
        <v>1.8634674999999987</v>
      </c>
      <c r="F29">
        <f t="shared" si="2"/>
        <v>3.4725111235562451</v>
      </c>
      <c r="I29">
        <v>115.77441</v>
      </c>
    </row>
    <row r="30" spans="1:45" x14ac:dyDescent="0.45">
      <c r="A30" t="s">
        <v>22</v>
      </c>
      <c r="B30">
        <v>116.382017</v>
      </c>
      <c r="C30">
        <v>117.94548930000001</v>
      </c>
      <c r="D30">
        <f t="shared" si="0"/>
        <v>1.5634723000000008</v>
      </c>
      <c r="E30">
        <f t="shared" si="1"/>
        <v>1.5634723000000008</v>
      </c>
      <c r="F30">
        <f t="shared" si="2"/>
        <v>2.4444456328672923</v>
      </c>
      <c r="I30">
        <v>116.382017</v>
      </c>
    </row>
    <row r="31" spans="1:45" x14ac:dyDescent="0.45">
      <c r="A31" t="s">
        <v>23</v>
      </c>
      <c r="B31">
        <v>127.6767846</v>
      </c>
      <c r="C31">
        <v>120.8588051</v>
      </c>
      <c r="D31">
        <f t="shared" si="0"/>
        <v>-6.817979500000007</v>
      </c>
      <c r="E31">
        <f t="shared" si="1"/>
        <v>6.817979500000007</v>
      </c>
      <c r="F31">
        <f t="shared" si="2"/>
        <v>46.484844462420348</v>
      </c>
      <c r="I31">
        <v>127.6767846</v>
      </c>
    </row>
    <row r="32" spans="1:45" x14ac:dyDescent="0.45">
      <c r="A32" t="s">
        <v>24</v>
      </c>
      <c r="B32">
        <v>117.2586891</v>
      </c>
      <c r="C32">
        <v>118.24185129999999</v>
      </c>
      <c r="D32">
        <f t="shared" si="0"/>
        <v>0.98316219999999532</v>
      </c>
      <c r="E32">
        <f t="shared" si="1"/>
        <v>0.98316219999999532</v>
      </c>
      <c r="F32">
        <f t="shared" si="2"/>
        <v>0.96660791150883085</v>
      </c>
      <c r="I32">
        <v>117.2586891</v>
      </c>
    </row>
    <row r="33" spans="1:9" x14ac:dyDescent="0.45">
      <c r="A33" t="s">
        <v>25</v>
      </c>
      <c r="B33">
        <v>117.5996313</v>
      </c>
      <c r="C33">
        <v>118.0781771</v>
      </c>
      <c r="D33">
        <f t="shared" si="0"/>
        <v>0.47854580000000624</v>
      </c>
      <c r="E33">
        <f t="shared" si="1"/>
        <v>0.47854580000000624</v>
      </c>
      <c r="F33">
        <f t="shared" si="2"/>
        <v>0.22900608269764597</v>
      </c>
      <c r="I33">
        <v>117.5996313</v>
      </c>
    </row>
    <row r="34" spans="1:9" x14ac:dyDescent="0.45">
      <c r="A34" t="s">
        <v>26</v>
      </c>
      <c r="B34">
        <v>117.83830089999999</v>
      </c>
      <c r="C34">
        <v>119.1537747</v>
      </c>
      <c r="D34">
        <f t="shared" ref="D34:D65" si="3">(C34-B34)</f>
        <v>1.3154738000000066</v>
      </c>
      <c r="E34">
        <f t="shared" si="1"/>
        <v>1.3154738000000066</v>
      </c>
      <c r="F34">
        <f t="shared" si="2"/>
        <v>1.7304713184864573</v>
      </c>
      <c r="I34">
        <v>117.83830089999999</v>
      </c>
    </row>
    <row r="35" spans="1:9" x14ac:dyDescent="0.45">
      <c r="A35" t="s">
        <v>27</v>
      </c>
      <c r="B35">
        <v>116.7501961</v>
      </c>
      <c r="C35">
        <v>118.18874340000001</v>
      </c>
      <c r="D35">
        <f t="shared" si="3"/>
        <v>1.4385473000000104</v>
      </c>
      <c r="E35">
        <f t="shared" si="1"/>
        <v>1.4385473000000104</v>
      </c>
      <c r="F35">
        <f t="shared" si="2"/>
        <v>2.0694183343373198</v>
      </c>
      <c r="I35">
        <v>116.7501961</v>
      </c>
    </row>
    <row r="36" spans="1:9" x14ac:dyDescent="0.45">
      <c r="A36" t="s">
        <v>28</v>
      </c>
      <c r="B36">
        <v>117.41134169999999</v>
      </c>
      <c r="C36">
        <v>116.2250559</v>
      </c>
      <c r="D36">
        <f t="shared" si="3"/>
        <v>-1.1862857999999932</v>
      </c>
      <c r="E36">
        <f t="shared" si="1"/>
        <v>1.1862857999999932</v>
      </c>
      <c r="F36">
        <f t="shared" si="2"/>
        <v>1.4072739992816239</v>
      </c>
      <c r="I36">
        <v>117.41134169999999</v>
      </c>
    </row>
    <row r="37" spans="1:9" x14ac:dyDescent="0.45">
      <c r="A37" t="s">
        <v>126</v>
      </c>
      <c r="B37">
        <v>124.6949829</v>
      </c>
      <c r="C37">
        <v>120.5010138</v>
      </c>
      <c r="D37">
        <f t="shared" si="3"/>
        <v>-4.1939691000000039</v>
      </c>
      <c r="E37">
        <f t="shared" si="1"/>
        <v>4.1939691000000039</v>
      </c>
      <c r="F37">
        <f t="shared" si="2"/>
        <v>17.589376811754843</v>
      </c>
      <c r="I37">
        <v>124.6949829</v>
      </c>
    </row>
    <row r="38" spans="1:9" x14ac:dyDescent="0.45">
      <c r="A38" t="s">
        <v>29</v>
      </c>
      <c r="B38">
        <v>117.37183640000001</v>
      </c>
      <c r="C38">
        <v>118.1403656</v>
      </c>
      <c r="D38">
        <f t="shared" si="3"/>
        <v>0.76852919999998903</v>
      </c>
      <c r="E38">
        <f t="shared" si="1"/>
        <v>0.76852919999998903</v>
      </c>
      <c r="F38">
        <f t="shared" si="2"/>
        <v>0.59063713125262318</v>
      </c>
      <c r="I38">
        <v>117.37183640000001</v>
      </c>
    </row>
    <row r="39" spans="1:9" x14ac:dyDescent="0.45">
      <c r="A39" t="s">
        <v>30</v>
      </c>
      <c r="B39">
        <v>116.39676969999999</v>
      </c>
      <c r="C39">
        <v>119.6263725</v>
      </c>
      <c r="D39">
        <f t="shared" si="3"/>
        <v>3.2296028000000092</v>
      </c>
      <c r="E39">
        <f t="shared" si="1"/>
        <v>3.2296028000000092</v>
      </c>
      <c r="F39">
        <f t="shared" si="2"/>
        <v>10.430334245767899</v>
      </c>
      <c r="I39">
        <v>116.39676969999999</v>
      </c>
    </row>
    <row r="40" spans="1:9" x14ac:dyDescent="0.45">
      <c r="A40" t="s">
        <v>31</v>
      </c>
      <c r="B40">
        <v>117.3636004</v>
      </c>
      <c r="C40">
        <v>117.76168989999999</v>
      </c>
      <c r="D40">
        <f t="shared" si="3"/>
        <v>0.39808949999999754</v>
      </c>
      <c r="E40">
        <f t="shared" si="1"/>
        <v>0.39808949999999754</v>
      </c>
      <c r="F40">
        <f t="shared" si="2"/>
        <v>0.15847525001024804</v>
      </c>
      <c r="I40">
        <v>117.3636004</v>
      </c>
    </row>
    <row r="41" spans="1:9" x14ac:dyDescent="0.45">
      <c r="A41" t="s">
        <v>127</v>
      </c>
      <c r="B41">
        <v>116.14260280000001</v>
      </c>
      <c r="C41">
        <v>118.0415979</v>
      </c>
      <c r="D41">
        <f t="shared" si="3"/>
        <v>1.8989950999999934</v>
      </c>
      <c r="E41">
        <f t="shared" si="1"/>
        <v>1.8989950999999934</v>
      </c>
      <c r="F41">
        <f t="shared" si="2"/>
        <v>3.6061823898239851</v>
      </c>
      <c r="I41">
        <v>116.14260280000001</v>
      </c>
    </row>
    <row r="42" spans="1:9" x14ac:dyDescent="0.45">
      <c r="A42" t="s">
        <v>128</v>
      </c>
      <c r="B42">
        <v>115.37326830000001</v>
      </c>
      <c r="C42">
        <v>117.40854539999999</v>
      </c>
      <c r="D42">
        <f t="shared" si="3"/>
        <v>2.0352770999999876</v>
      </c>
      <c r="E42">
        <f t="shared" si="1"/>
        <v>2.0352770999999876</v>
      </c>
      <c r="F42">
        <f t="shared" si="2"/>
        <v>4.1423528737843593</v>
      </c>
      <c r="I42">
        <v>115.37326830000001</v>
      </c>
    </row>
    <row r="43" spans="1:9" x14ac:dyDescent="0.45">
      <c r="A43" t="s">
        <v>32</v>
      </c>
      <c r="B43">
        <v>116.6173763</v>
      </c>
      <c r="C43">
        <v>118.0641548</v>
      </c>
      <c r="D43">
        <f t="shared" si="3"/>
        <v>1.4467784999999935</v>
      </c>
      <c r="E43">
        <f t="shared" si="1"/>
        <v>1.4467784999999935</v>
      </c>
      <c r="F43">
        <f t="shared" si="2"/>
        <v>2.0931680280622311</v>
      </c>
      <c r="I43">
        <v>116.6173763</v>
      </c>
    </row>
    <row r="44" spans="1:9" x14ac:dyDescent="0.45">
      <c r="A44" t="s">
        <v>33</v>
      </c>
      <c r="B44">
        <v>116.9218317</v>
      </c>
      <c r="C44">
        <v>117.4017369</v>
      </c>
      <c r="D44">
        <f t="shared" si="3"/>
        <v>0.47990520000000458</v>
      </c>
      <c r="E44">
        <f t="shared" si="1"/>
        <v>0.47990520000000458</v>
      </c>
      <c r="F44">
        <f t="shared" si="2"/>
        <v>0.2303090009870444</v>
      </c>
      <c r="I44">
        <v>116.9218317</v>
      </c>
    </row>
    <row r="45" spans="1:9" x14ac:dyDescent="0.45">
      <c r="A45" t="s">
        <v>34</v>
      </c>
      <c r="B45">
        <v>113.8417153</v>
      </c>
      <c r="C45">
        <v>116.9812653</v>
      </c>
      <c r="D45">
        <f t="shared" si="3"/>
        <v>3.1395499999999998</v>
      </c>
      <c r="E45">
        <f t="shared" si="1"/>
        <v>3.1395499999999998</v>
      </c>
      <c r="F45">
        <f t="shared" si="2"/>
        <v>9.8567742024999987</v>
      </c>
      <c r="I45">
        <v>113.8417153</v>
      </c>
    </row>
    <row r="46" spans="1:9" x14ac:dyDescent="0.45">
      <c r="A46" t="s">
        <v>35</v>
      </c>
      <c r="B46">
        <v>117.5824217</v>
      </c>
      <c r="C46">
        <v>117.529922</v>
      </c>
      <c r="D46">
        <f t="shared" si="3"/>
        <v>-5.2499699999998484E-2</v>
      </c>
      <c r="E46">
        <f t="shared" si="1"/>
        <v>5.2499699999998484E-2</v>
      </c>
      <c r="F46">
        <f t="shared" si="2"/>
        <v>2.7562185000898406E-3</v>
      </c>
      <c r="I46">
        <v>117.5824217</v>
      </c>
    </row>
    <row r="47" spans="1:9" x14ac:dyDescent="0.45">
      <c r="A47" t="s">
        <v>36</v>
      </c>
      <c r="B47">
        <v>117.7519717</v>
      </c>
      <c r="C47">
        <v>118.3646542</v>
      </c>
      <c r="D47">
        <f t="shared" si="3"/>
        <v>0.61268250000000535</v>
      </c>
      <c r="E47">
        <f t="shared" si="1"/>
        <v>0.61268250000000535</v>
      </c>
      <c r="F47">
        <f t="shared" si="2"/>
        <v>0.37537984580625655</v>
      </c>
      <c r="I47">
        <v>117.7519717</v>
      </c>
    </row>
    <row r="48" spans="1:9" x14ac:dyDescent="0.45">
      <c r="A48" t="s">
        <v>37</v>
      </c>
      <c r="B48">
        <v>119.0737026</v>
      </c>
      <c r="C48">
        <v>120.1669679</v>
      </c>
      <c r="D48">
        <f t="shared" si="3"/>
        <v>1.0932652999999988</v>
      </c>
      <c r="E48">
        <f t="shared" si="1"/>
        <v>1.0932652999999988</v>
      </c>
      <c r="F48">
        <f t="shared" si="2"/>
        <v>1.1952290161840873</v>
      </c>
      <c r="I48">
        <v>119.0737026</v>
      </c>
    </row>
    <row r="49" spans="1:9" x14ac:dyDescent="0.45">
      <c r="A49" t="s">
        <v>38</v>
      </c>
      <c r="B49">
        <v>117.0203386</v>
      </c>
      <c r="C49">
        <v>117.1232371</v>
      </c>
      <c r="D49">
        <f t="shared" si="3"/>
        <v>0.1028984999999949</v>
      </c>
      <c r="E49">
        <f t="shared" si="1"/>
        <v>0.1028984999999949</v>
      </c>
      <c r="F49">
        <f t="shared" si="2"/>
        <v>1.0588101302248951E-2</v>
      </c>
      <c r="I49">
        <v>117.0203386</v>
      </c>
    </row>
    <row r="50" spans="1:9" x14ac:dyDescent="0.45">
      <c r="A50" t="s">
        <v>39</v>
      </c>
      <c r="B50">
        <v>117.55285670000001</v>
      </c>
      <c r="C50">
        <v>117.40173900000001</v>
      </c>
      <c r="D50">
        <f t="shared" si="3"/>
        <v>-0.15111770000000035</v>
      </c>
      <c r="E50">
        <f t="shared" si="1"/>
        <v>0.15111770000000035</v>
      </c>
      <c r="F50">
        <f t="shared" si="2"/>
        <v>2.2836559253290107E-2</v>
      </c>
      <c r="I50">
        <v>117.55285670000001</v>
      </c>
    </row>
    <row r="51" spans="1:9" x14ac:dyDescent="0.45">
      <c r="A51" t="s">
        <v>40</v>
      </c>
      <c r="B51">
        <v>119.0532348</v>
      </c>
      <c r="C51">
        <v>118.8006431</v>
      </c>
      <c r="D51">
        <f t="shared" si="3"/>
        <v>-0.25259169999999642</v>
      </c>
      <c r="E51">
        <f t="shared" si="1"/>
        <v>0.25259169999999642</v>
      </c>
      <c r="F51">
        <f t="shared" si="2"/>
        <v>6.3802566908888192E-2</v>
      </c>
      <c r="I51">
        <v>119.0532348</v>
      </c>
    </row>
    <row r="52" spans="1:9" x14ac:dyDescent="0.45">
      <c r="A52" t="s">
        <v>41</v>
      </c>
      <c r="B52">
        <v>117.86492079999999</v>
      </c>
      <c r="C52">
        <v>117.542317</v>
      </c>
      <c r="D52">
        <f t="shared" si="3"/>
        <v>-0.322603799999996</v>
      </c>
      <c r="E52">
        <f t="shared" si="1"/>
        <v>0.322603799999996</v>
      </c>
      <c r="F52">
        <f t="shared" si="2"/>
        <v>0.10407321177443742</v>
      </c>
      <c r="I52">
        <v>117.86492079999999</v>
      </c>
    </row>
    <row r="53" spans="1:9" x14ac:dyDescent="0.45">
      <c r="A53" t="s">
        <v>42</v>
      </c>
      <c r="B53">
        <v>117.2112039</v>
      </c>
      <c r="C53">
        <v>118.0937077</v>
      </c>
      <c r="D53">
        <f t="shared" si="3"/>
        <v>0.88250379999999495</v>
      </c>
      <c r="E53">
        <f t="shared" si="1"/>
        <v>0.88250379999999495</v>
      </c>
      <c r="F53">
        <f t="shared" si="2"/>
        <v>0.7788129570144311</v>
      </c>
      <c r="I53">
        <v>117.2112039</v>
      </c>
    </row>
    <row r="54" spans="1:9" x14ac:dyDescent="0.45">
      <c r="A54" t="s">
        <v>43</v>
      </c>
      <c r="B54">
        <v>117.0443004</v>
      </c>
      <c r="C54">
        <v>117.9338958</v>
      </c>
      <c r="D54">
        <f t="shared" si="3"/>
        <v>0.88959540000000459</v>
      </c>
      <c r="E54">
        <f t="shared" si="1"/>
        <v>0.88959540000000459</v>
      </c>
      <c r="F54">
        <f t="shared" si="2"/>
        <v>0.79137997570116814</v>
      </c>
      <c r="I54">
        <v>117.0443004</v>
      </c>
    </row>
    <row r="55" spans="1:9" x14ac:dyDescent="0.45">
      <c r="A55" t="s">
        <v>44</v>
      </c>
      <c r="B55">
        <v>116.7298395</v>
      </c>
      <c r="C55">
        <v>118.9896296</v>
      </c>
      <c r="D55">
        <f t="shared" si="3"/>
        <v>2.2597901000000036</v>
      </c>
      <c r="E55">
        <f t="shared" si="1"/>
        <v>2.2597901000000036</v>
      </c>
      <c r="F55">
        <f t="shared" si="2"/>
        <v>5.1066512960580264</v>
      </c>
      <c r="I55">
        <v>116.7298395</v>
      </c>
    </row>
    <row r="56" spans="1:9" x14ac:dyDescent="0.45">
      <c r="A56" t="s">
        <v>45</v>
      </c>
      <c r="B56">
        <v>117.2689577</v>
      </c>
      <c r="C56">
        <v>117.9871819</v>
      </c>
      <c r="D56">
        <f t="shared" si="3"/>
        <v>0.71822419999999454</v>
      </c>
      <c r="E56">
        <f t="shared" si="1"/>
        <v>0.71822419999999454</v>
      </c>
      <c r="F56">
        <f t="shared" si="2"/>
        <v>0.5158460014656322</v>
      </c>
      <c r="I56">
        <v>117.2689577</v>
      </c>
    </row>
    <row r="57" spans="1:9" x14ac:dyDescent="0.45">
      <c r="A57" t="s">
        <v>46</v>
      </c>
      <c r="B57">
        <v>117.99891460000001</v>
      </c>
      <c r="C57">
        <v>118.8793328</v>
      </c>
      <c r="D57">
        <f t="shared" si="3"/>
        <v>0.88041819999999404</v>
      </c>
      <c r="E57">
        <f t="shared" si="1"/>
        <v>0.88041819999999404</v>
      </c>
      <c r="F57">
        <f t="shared" si="2"/>
        <v>0.77513620689122953</v>
      </c>
      <c r="I57">
        <v>117.99891460000001</v>
      </c>
    </row>
    <row r="58" spans="1:9" x14ac:dyDescent="0.45">
      <c r="A58" t="s">
        <v>47</v>
      </c>
      <c r="B58">
        <v>118.3977615</v>
      </c>
      <c r="C58">
        <v>118.61405600000001</v>
      </c>
      <c r="D58">
        <f t="shared" si="3"/>
        <v>0.21629450000000361</v>
      </c>
      <c r="E58">
        <f t="shared" si="1"/>
        <v>0.21629450000000361</v>
      </c>
      <c r="F58">
        <f t="shared" si="2"/>
        <v>4.6783310730251562E-2</v>
      </c>
      <c r="I58">
        <v>118.3977615</v>
      </c>
    </row>
    <row r="59" spans="1:9" x14ac:dyDescent="0.45">
      <c r="A59" t="s">
        <v>48</v>
      </c>
      <c r="B59">
        <v>115.7075437</v>
      </c>
      <c r="C59">
        <v>117.14522119999999</v>
      </c>
      <c r="D59">
        <f t="shared" si="3"/>
        <v>1.4376774999999924</v>
      </c>
      <c r="E59">
        <f t="shared" si="1"/>
        <v>1.4376774999999924</v>
      </c>
      <c r="F59">
        <f t="shared" si="2"/>
        <v>2.0669165940062282</v>
      </c>
      <c r="I59">
        <v>115.7075437</v>
      </c>
    </row>
    <row r="60" spans="1:9" x14ac:dyDescent="0.45">
      <c r="A60" t="s">
        <v>49</v>
      </c>
      <c r="B60">
        <v>117.5808249</v>
      </c>
      <c r="C60">
        <v>117.9659542</v>
      </c>
      <c r="D60">
        <f t="shared" si="3"/>
        <v>0.38512930000000267</v>
      </c>
      <c r="E60">
        <f t="shared" si="1"/>
        <v>0.38512930000000267</v>
      </c>
      <c r="F60">
        <f t="shared" si="2"/>
        <v>0.14832457771849206</v>
      </c>
      <c r="I60">
        <v>117.5808249</v>
      </c>
    </row>
    <row r="61" spans="1:9" x14ac:dyDescent="0.45">
      <c r="A61" t="s">
        <v>50</v>
      </c>
      <c r="B61">
        <v>118.44145640000001</v>
      </c>
      <c r="C61">
        <v>117.3076167</v>
      </c>
      <c r="D61">
        <f t="shared" si="3"/>
        <v>-1.13383970000001</v>
      </c>
      <c r="E61">
        <f t="shared" si="1"/>
        <v>1.13383970000001</v>
      </c>
      <c r="F61">
        <f t="shared" si="2"/>
        <v>1.2855924652961126</v>
      </c>
      <c r="I61">
        <v>118.44145640000001</v>
      </c>
    </row>
    <row r="62" spans="1:9" x14ac:dyDescent="0.45">
      <c r="A62" t="s">
        <v>51</v>
      </c>
      <c r="B62">
        <v>116.3483744</v>
      </c>
      <c r="C62">
        <v>117.8387346</v>
      </c>
      <c r="D62">
        <f t="shared" si="3"/>
        <v>1.4903601999999978</v>
      </c>
      <c r="E62">
        <f t="shared" si="1"/>
        <v>1.4903601999999978</v>
      </c>
      <c r="F62">
        <f t="shared" si="2"/>
        <v>2.2211735257440335</v>
      </c>
      <c r="I62">
        <v>116.3483744</v>
      </c>
    </row>
    <row r="63" spans="1:9" x14ac:dyDescent="0.45">
      <c r="A63" t="s">
        <v>52</v>
      </c>
      <c r="B63">
        <v>117.04548939999999</v>
      </c>
      <c r="C63">
        <v>117.3262029</v>
      </c>
      <c r="D63">
        <f t="shared" si="3"/>
        <v>0.2807135000000045</v>
      </c>
      <c r="E63">
        <f t="shared" ref="E63:E126" si="4">ABS(D63)</f>
        <v>0.2807135000000045</v>
      </c>
      <c r="F63">
        <f t="shared" ref="F63:F126" si="5">E63^2</f>
        <v>7.8800069082252525E-2</v>
      </c>
      <c r="I63">
        <v>117.04548939999999</v>
      </c>
    </row>
    <row r="64" spans="1:9" x14ac:dyDescent="0.45">
      <c r="A64" t="s">
        <v>53</v>
      </c>
      <c r="B64">
        <v>117.28887469999999</v>
      </c>
      <c r="C64">
        <v>118.92298890000001</v>
      </c>
      <c r="D64">
        <f t="shared" si="3"/>
        <v>1.6341142000000133</v>
      </c>
      <c r="E64">
        <f t="shared" si="4"/>
        <v>1.6341142000000133</v>
      </c>
      <c r="F64">
        <f t="shared" si="5"/>
        <v>2.6703292186416836</v>
      </c>
      <c r="I64">
        <v>117.28887469999999</v>
      </c>
    </row>
    <row r="65" spans="1:9" x14ac:dyDescent="0.45">
      <c r="A65" t="s">
        <v>129</v>
      </c>
      <c r="B65">
        <v>116.91677489999999</v>
      </c>
      <c r="C65">
        <v>117.8844302</v>
      </c>
      <c r="D65">
        <f t="shared" si="3"/>
        <v>0.9676553000000041</v>
      </c>
      <c r="E65">
        <f t="shared" si="4"/>
        <v>0.9676553000000041</v>
      </c>
      <c r="F65">
        <f t="shared" si="5"/>
        <v>0.93635677961809793</v>
      </c>
      <c r="I65">
        <v>116.91677489999999</v>
      </c>
    </row>
    <row r="66" spans="1:9" x14ac:dyDescent="0.45">
      <c r="A66" t="s">
        <v>130</v>
      </c>
      <c r="B66">
        <v>115.85876020000001</v>
      </c>
      <c r="C66">
        <v>116.6351756</v>
      </c>
      <c r="D66">
        <f t="shared" ref="D66:D97" si="6">(C66-B66)</f>
        <v>0.77641539999999054</v>
      </c>
      <c r="E66">
        <f t="shared" si="4"/>
        <v>0.77641539999999054</v>
      </c>
      <c r="F66">
        <f t="shared" si="5"/>
        <v>0.60282087335714529</v>
      </c>
      <c r="I66">
        <v>115.85876020000001</v>
      </c>
    </row>
    <row r="67" spans="1:9" x14ac:dyDescent="0.45">
      <c r="A67" t="s">
        <v>54</v>
      </c>
      <c r="B67">
        <v>116.8770013</v>
      </c>
      <c r="C67">
        <v>117.4197178</v>
      </c>
      <c r="D67">
        <f t="shared" si="6"/>
        <v>0.54271649999999738</v>
      </c>
      <c r="E67">
        <f t="shared" si="4"/>
        <v>0.54271649999999738</v>
      </c>
      <c r="F67">
        <f t="shared" si="5"/>
        <v>0.29454119937224715</v>
      </c>
      <c r="I67">
        <v>116.8770013</v>
      </c>
    </row>
    <row r="68" spans="1:9" x14ac:dyDescent="0.45">
      <c r="A68" t="s">
        <v>55</v>
      </c>
      <c r="B68">
        <v>118.5501385</v>
      </c>
      <c r="C68">
        <v>118.53253599999999</v>
      </c>
      <c r="D68">
        <f t="shared" si="6"/>
        <v>-1.7602500000009513E-2</v>
      </c>
      <c r="E68">
        <f t="shared" si="4"/>
        <v>1.7602500000009513E-2</v>
      </c>
      <c r="F68">
        <f t="shared" si="5"/>
        <v>3.0984800625033493E-4</v>
      </c>
      <c r="I68">
        <v>118.5501385</v>
      </c>
    </row>
    <row r="69" spans="1:9" x14ac:dyDescent="0.45">
      <c r="A69" t="s">
        <v>56</v>
      </c>
      <c r="B69">
        <v>116.26394999999999</v>
      </c>
      <c r="C69">
        <v>116.57862280000001</v>
      </c>
      <c r="D69">
        <f t="shared" si="6"/>
        <v>0.31467280000001097</v>
      </c>
      <c r="E69">
        <f t="shared" si="4"/>
        <v>0.31467280000001097</v>
      </c>
      <c r="F69">
        <f t="shared" si="5"/>
        <v>9.9018971059846903E-2</v>
      </c>
      <c r="I69">
        <v>116.26394999999999</v>
      </c>
    </row>
    <row r="70" spans="1:9" x14ac:dyDescent="0.45">
      <c r="A70" t="s">
        <v>57</v>
      </c>
      <c r="B70">
        <v>117.02878010000001</v>
      </c>
      <c r="C70">
        <v>117.4411762</v>
      </c>
      <c r="D70">
        <f t="shared" si="6"/>
        <v>0.41239609999999516</v>
      </c>
      <c r="E70">
        <f t="shared" si="4"/>
        <v>0.41239609999999516</v>
      </c>
      <c r="F70">
        <f t="shared" si="5"/>
        <v>0.17007054329520602</v>
      </c>
      <c r="I70">
        <v>117.02878010000001</v>
      </c>
    </row>
    <row r="71" spans="1:9" x14ac:dyDescent="0.45">
      <c r="A71" t="s">
        <v>58</v>
      </c>
      <c r="B71">
        <v>115.73702249999999</v>
      </c>
      <c r="C71">
        <v>117.24809209999999</v>
      </c>
      <c r="D71">
        <f t="shared" si="6"/>
        <v>1.511069599999999</v>
      </c>
      <c r="E71">
        <f t="shared" si="4"/>
        <v>1.511069599999999</v>
      </c>
      <c r="F71">
        <f t="shared" si="5"/>
        <v>2.2833313360441569</v>
      </c>
      <c r="I71">
        <v>115.73702249999999</v>
      </c>
    </row>
    <row r="72" spans="1:9" x14ac:dyDescent="0.45">
      <c r="A72" t="s">
        <v>131</v>
      </c>
      <c r="B72">
        <v>116.5477513</v>
      </c>
      <c r="C72">
        <v>118.53925769999999</v>
      </c>
      <c r="D72">
        <f t="shared" si="6"/>
        <v>1.9915063999999916</v>
      </c>
      <c r="E72">
        <f t="shared" si="4"/>
        <v>1.9915063999999916</v>
      </c>
      <c r="F72">
        <f t="shared" si="5"/>
        <v>3.9660977412409264</v>
      </c>
      <c r="I72">
        <v>116.5477513</v>
      </c>
    </row>
    <row r="73" spans="1:9" x14ac:dyDescent="0.45">
      <c r="A73" t="s">
        <v>132</v>
      </c>
      <c r="B73">
        <v>116.724802</v>
      </c>
      <c r="C73">
        <v>118.34498670000001</v>
      </c>
      <c r="D73">
        <f t="shared" si="6"/>
        <v>1.62018470000001</v>
      </c>
      <c r="E73">
        <f t="shared" si="4"/>
        <v>1.62018470000001</v>
      </c>
      <c r="F73">
        <f t="shared" si="5"/>
        <v>2.6249984621141227</v>
      </c>
      <c r="I73">
        <v>116.724802</v>
      </c>
    </row>
    <row r="74" spans="1:9" x14ac:dyDescent="0.45">
      <c r="A74" t="s">
        <v>133</v>
      </c>
      <c r="B74">
        <v>116.73090980000001</v>
      </c>
      <c r="C74">
        <v>118.2284088</v>
      </c>
      <c r="D74">
        <f t="shared" si="6"/>
        <v>1.4974989999999906</v>
      </c>
      <c r="E74">
        <f t="shared" si="4"/>
        <v>1.4974989999999906</v>
      </c>
      <c r="F74">
        <f t="shared" si="5"/>
        <v>2.242503255000972</v>
      </c>
      <c r="I74">
        <v>116.73090980000001</v>
      </c>
    </row>
    <row r="75" spans="1:9" x14ac:dyDescent="0.45">
      <c r="A75" t="s">
        <v>59</v>
      </c>
      <c r="B75">
        <v>117.3857592</v>
      </c>
      <c r="C75">
        <v>118.8049264</v>
      </c>
      <c r="D75">
        <f t="shared" si="6"/>
        <v>1.419167200000004</v>
      </c>
      <c r="E75">
        <f t="shared" si="4"/>
        <v>1.419167200000004</v>
      </c>
      <c r="F75">
        <f t="shared" si="5"/>
        <v>2.0140355415558511</v>
      </c>
      <c r="I75">
        <v>117.3857592</v>
      </c>
    </row>
    <row r="76" spans="1:9" x14ac:dyDescent="0.45">
      <c r="A76" t="s">
        <v>60</v>
      </c>
      <c r="B76">
        <v>118.337242</v>
      </c>
      <c r="C76">
        <v>117.8513707</v>
      </c>
      <c r="D76">
        <f t="shared" si="6"/>
        <v>-0.48587129999999945</v>
      </c>
      <c r="E76">
        <f t="shared" si="4"/>
        <v>0.48587129999999945</v>
      </c>
      <c r="F76">
        <f t="shared" si="5"/>
        <v>0.23607092016368947</v>
      </c>
      <c r="I76">
        <v>118.337242</v>
      </c>
    </row>
    <row r="77" spans="1:9" x14ac:dyDescent="0.45">
      <c r="A77" t="s">
        <v>61</v>
      </c>
      <c r="B77">
        <v>117.98971969999999</v>
      </c>
      <c r="C77">
        <v>118.97174080000001</v>
      </c>
      <c r="D77">
        <f t="shared" si="6"/>
        <v>0.98202110000001142</v>
      </c>
      <c r="E77">
        <f t="shared" si="4"/>
        <v>0.98202110000001142</v>
      </c>
      <c r="F77">
        <f t="shared" si="5"/>
        <v>0.96436544084523246</v>
      </c>
      <c r="I77">
        <v>117.98971969999999</v>
      </c>
    </row>
    <row r="78" spans="1:9" x14ac:dyDescent="0.45">
      <c r="A78" t="s">
        <v>62</v>
      </c>
      <c r="B78">
        <v>114.9945057</v>
      </c>
      <c r="C78">
        <v>118.9310424</v>
      </c>
      <c r="D78">
        <f t="shared" si="6"/>
        <v>3.9365366999999907</v>
      </c>
      <c r="E78">
        <f t="shared" si="4"/>
        <v>3.9365366999999907</v>
      </c>
      <c r="F78">
        <f t="shared" si="5"/>
        <v>15.496321190446817</v>
      </c>
      <c r="I78">
        <v>114.9945057</v>
      </c>
    </row>
    <row r="79" spans="1:9" x14ac:dyDescent="0.45">
      <c r="A79" t="s">
        <v>63</v>
      </c>
      <c r="B79">
        <v>116.4310936</v>
      </c>
      <c r="C79">
        <v>118.15358329999999</v>
      </c>
      <c r="D79">
        <f t="shared" si="6"/>
        <v>1.722489699999997</v>
      </c>
      <c r="E79">
        <f t="shared" si="4"/>
        <v>1.722489699999997</v>
      </c>
      <c r="F79">
        <f t="shared" si="5"/>
        <v>2.9669707666060798</v>
      </c>
      <c r="I79">
        <v>116.4310936</v>
      </c>
    </row>
    <row r="80" spans="1:9" x14ac:dyDescent="0.45">
      <c r="A80" t="s">
        <v>64</v>
      </c>
      <c r="B80">
        <v>114.7025277</v>
      </c>
      <c r="C80">
        <v>116.08679189999999</v>
      </c>
      <c r="D80">
        <f t="shared" si="6"/>
        <v>1.3842641999999898</v>
      </c>
      <c r="E80">
        <f t="shared" si="4"/>
        <v>1.3842641999999898</v>
      </c>
      <c r="F80">
        <f t="shared" si="5"/>
        <v>1.9161873754016119</v>
      </c>
      <c r="I80">
        <v>114.7025277</v>
      </c>
    </row>
    <row r="81" spans="1:9" x14ac:dyDescent="0.45">
      <c r="A81" t="s">
        <v>65</v>
      </c>
      <c r="B81">
        <v>116.7115506</v>
      </c>
      <c r="C81">
        <v>117.3950153</v>
      </c>
      <c r="D81">
        <f t="shared" si="6"/>
        <v>0.68346470000000181</v>
      </c>
      <c r="E81">
        <f t="shared" si="4"/>
        <v>0.68346470000000181</v>
      </c>
      <c r="F81">
        <f t="shared" si="5"/>
        <v>0.46712399614609246</v>
      </c>
      <c r="I81">
        <v>116.7115506</v>
      </c>
    </row>
    <row r="82" spans="1:9" x14ac:dyDescent="0.45">
      <c r="A82" t="s">
        <v>66</v>
      </c>
      <c r="B82">
        <v>115.6750421</v>
      </c>
      <c r="C82">
        <v>116.7937336</v>
      </c>
      <c r="D82">
        <f t="shared" si="6"/>
        <v>1.1186914999999971</v>
      </c>
      <c r="E82">
        <f t="shared" si="4"/>
        <v>1.1186914999999971</v>
      </c>
      <c r="F82">
        <f t="shared" si="5"/>
        <v>1.2514706721722435</v>
      </c>
      <c r="I82">
        <v>115.6750421</v>
      </c>
    </row>
    <row r="83" spans="1:9" x14ac:dyDescent="0.45">
      <c r="A83" t="s">
        <v>67</v>
      </c>
      <c r="B83">
        <v>116.8801325</v>
      </c>
      <c r="C83">
        <v>118.15156229999999</v>
      </c>
      <c r="D83">
        <f t="shared" si="6"/>
        <v>1.2714297999999928</v>
      </c>
      <c r="E83">
        <f t="shared" si="4"/>
        <v>1.2714297999999928</v>
      </c>
      <c r="F83">
        <f t="shared" si="5"/>
        <v>1.6165337363280219</v>
      </c>
      <c r="I83">
        <v>116.8801325</v>
      </c>
    </row>
    <row r="84" spans="1:9" x14ac:dyDescent="0.45">
      <c r="A84" t="s">
        <v>134</v>
      </c>
      <c r="B84">
        <v>118.077389</v>
      </c>
      <c r="C84">
        <v>117.9410666</v>
      </c>
      <c r="D84">
        <f t="shared" si="6"/>
        <v>-0.1363223999999974</v>
      </c>
      <c r="E84">
        <f t="shared" si="4"/>
        <v>0.1363223999999974</v>
      </c>
      <c r="F84">
        <f t="shared" si="5"/>
        <v>1.8583796741759293E-2</v>
      </c>
      <c r="I84">
        <v>118.077389</v>
      </c>
    </row>
    <row r="85" spans="1:9" x14ac:dyDescent="0.45">
      <c r="A85" t="s">
        <v>135</v>
      </c>
      <c r="B85">
        <v>117.3994539</v>
      </c>
      <c r="C85">
        <v>118.1576989</v>
      </c>
      <c r="D85">
        <f t="shared" si="6"/>
        <v>0.75824500000000228</v>
      </c>
      <c r="E85">
        <f t="shared" si="4"/>
        <v>0.75824500000000228</v>
      </c>
      <c r="F85">
        <f t="shared" si="5"/>
        <v>0.5749354800250035</v>
      </c>
      <c r="I85">
        <v>117.3994539</v>
      </c>
    </row>
    <row r="86" spans="1:9" x14ac:dyDescent="0.45">
      <c r="A86" t="s">
        <v>136</v>
      </c>
      <c r="B86">
        <v>119.309139</v>
      </c>
      <c r="C86">
        <v>118.5097592</v>
      </c>
      <c r="D86">
        <f t="shared" si="6"/>
        <v>-0.79937979999999698</v>
      </c>
      <c r="E86">
        <f t="shared" si="4"/>
        <v>0.79937979999999698</v>
      </c>
      <c r="F86">
        <f t="shared" si="5"/>
        <v>0.63900806464803517</v>
      </c>
      <c r="I86">
        <v>119.309139</v>
      </c>
    </row>
    <row r="87" spans="1:9" x14ac:dyDescent="0.45">
      <c r="A87" t="s">
        <v>137</v>
      </c>
      <c r="B87">
        <v>116.49630550000001</v>
      </c>
      <c r="C87">
        <v>117.3072208</v>
      </c>
      <c r="D87">
        <f t="shared" si="6"/>
        <v>0.81091529999999068</v>
      </c>
      <c r="E87">
        <f t="shared" si="4"/>
        <v>0.81091529999999068</v>
      </c>
      <c r="F87">
        <f t="shared" si="5"/>
        <v>0.65758362377407487</v>
      </c>
      <c r="I87">
        <v>116.49630550000001</v>
      </c>
    </row>
    <row r="88" spans="1:9" x14ac:dyDescent="0.45">
      <c r="A88" t="s">
        <v>138</v>
      </c>
      <c r="B88">
        <v>117.73478040000001</v>
      </c>
      <c r="C88">
        <v>118.83560129999999</v>
      </c>
      <c r="D88">
        <f t="shared" si="6"/>
        <v>1.100820899999988</v>
      </c>
      <c r="E88">
        <f t="shared" si="4"/>
        <v>1.100820899999988</v>
      </c>
      <c r="F88">
        <f t="shared" si="5"/>
        <v>1.2118066538767835</v>
      </c>
      <c r="I88">
        <v>117.73478040000001</v>
      </c>
    </row>
    <row r="89" spans="1:9" x14ac:dyDescent="0.45">
      <c r="A89" t="s">
        <v>68</v>
      </c>
      <c r="B89">
        <v>128.78161180000001</v>
      </c>
      <c r="C89">
        <v>117.8100786</v>
      </c>
      <c r="D89">
        <f t="shared" si="6"/>
        <v>-10.97153320000001</v>
      </c>
      <c r="E89">
        <f t="shared" si="4"/>
        <v>10.97153320000001</v>
      </c>
      <c r="F89">
        <f t="shared" si="5"/>
        <v>120.37454075870247</v>
      </c>
      <c r="I89">
        <v>128.78161180000001</v>
      </c>
    </row>
    <row r="90" spans="1:9" x14ac:dyDescent="0.45">
      <c r="A90" t="s">
        <v>69</v>
      </c>
      <c r="B90">
        <v>115.64454720000001</v>
      </c>
      <c r="C90">
        <v>117.72899390000001</v>
      </c>
      <c r="D90">
        <f t="shared" si="6"/>
        <v>2.0844467000000009</v>
      </c>
      <c r="E90">
        <f t="shared" si="4"/>
        <v>2.0844467000000009</v>
      </c>
      <c r="F90">
        <f t="shared" si="5"/>
        <v>4.3449180451408935</v>
      </c>
      <c r="I90">
        <v>115.64454720000001</v>
      </c>
    </row>
    <row r="91" spans="1:9" x14ac:dyDescent="0.45">
      <c r="A91" t="s">
        <v>70</v>
      </c>
      <c r="B91">
        <v>129.5547646</v>
      </c>
      <c r="C91">
        <v>117.6797093</v>
      </c>
      <c r="D91">
        <f t="shared" si="6"/>
        <v>-11.8750553</v>
      </c>
      <c r="E91">
        <f t="shared" si="4"/>
        <v>11.8750553</v>
      </c>
      <c r="F91">
        <f t="shared" si="5"/>
        <v>141.01693837805809</v>
      </c>
      <c r="I91">
        <v>129.5547646</v>
      </c>
    </row>
    <row r="92" spans="1:9" x14ac:dyDescent="0.45">
      <c r="A92" t="s">
        <v>71</v>
      </c>
      <c r="B92">
        <v>115.62260209999999</v>
      </c>
      <c r="C92">
        <v>117.6474362</v>
      </c>
      <c r="D92">
        <f t="shared" si="6"/>
        <v>2.0248341000000067</v>
      </c>
      <c r="E92">
        <f t="shared" si="4"/>
        <v>2.0248341000000067</v>
      </c>
      <c r="F92">
        <f t="shared" si="5"/>
        <v>4.0999531325228373</v>
      </c>
      <c r="I92">
        <v>115.62260209999999</v>
      </c>
    </row>
    <row r="93" spans="1:9" x14ac:dyDescent="0.45">
      <c r="A93" t="s">
        <v>72</v>
      </c>
      <c r="B93">
        <v>115.9921307</v>
      </c>
      <c r="C93">
        <v>117.48587120000001</v>
      </c>
      <c r="D93">
        <f t="shared" si="6"/>
        <v>1.4937405000000012</v>
      </c>
      <c r="E93">
        <f t="shared" si="4"/>
        <v>1.4937405000000012</v>
      </c>
      <c r="F93">
        <f t="shared" si="5"/>
        <v>2.2312606813402538</v>
      </c>
      <c r="I93">
        <v>115.9921307</v>
      </c>
    </row>
    <row r="94" spans="1:9" x14ac:dyDescent="0.45">
      <c r="A94" t="s">
        <v>73</v>
      </c>
      <c r="B94">
        <v>116.5260638</v>
      </c>
      <c r="C94">
        <v>117.7240797</v>
      </c>
      <c r="D94">
        <f t="shared" si="6"/>
        <v>1.1980159000000015</v>
      </c>
      <c r="E94">
        <f t="shared" si="4"/>
        <v>1.1980159000000015</v>
      </c>
      <c r="F94">
        <f t="shared" si="5"/>
        <v>1.4352420966528134</v>
      </c>
      <c r="I94">
        <v>116.5260638</v>
      </c>
    </row>
    <row r="95" spans="1:9" x14ac:dyDescent="0.45">
      <c r="A95" t="s">
        <v>74</v>
      </c>
      <c r="B95">
        <v>116.27313839999999</v>
      </c>
      <c r="C95">
        <v>117.58145930000001</v>
      </c>
      <c r="D95">
        <f t="shared" si="6"/>
        <v>1.3083209000000124</v>
      </c>
      <c r="E95">
        <f t="shared" si="4"/>
        <v>1.3083209000000124</v>
      </c>
      <c r="F95">
        <f t="shared" si="5"/>
        <v>1.7117035773768425</v>
      </c>
      <c r="I95">
        <v>116.27313839999999</v>
      </c>
    </row>
    <row r="96" spans="1:9" x14ac:dyDescent="0.45">
      <c r="A96" t="s">
        <v>75</v>
      </c>
      <c r="B96">
        <v>117.2999927</v>
      </c>
      <c r="C96">
        <v>119.10044360000001</v>
      </c>
      <c r="D96">
        <f t="shared" si="6"/>
        <v>1.8004509000000013</v>
      </c>
      <c r="E96">
        <f t="shared" si="4"/>
        <v>1.8004509000000013</v>
      </c>
      <c r="F96">
        <f t="shared" si="5"/>
        <v>3.2416234433108149</v>
      </c>
      <c r="I96">
        <v>117.2999927</v>
      </c>
    </row>
    <row r="97" spans="1:9" x14ac:dyDescent="0.45">
      <c r="A97" t="s">
        <v>76</v>
      </c>
      <c r="B97">
        <v>116.52079329999999</v>
      </c>
      <c r="C97">
        <v>118.08166129999999</v>
      </c>
      <c r="D97">
        <f t="shared" si="6"/>
        <v>1.5608679999999993</v>
      </c>
      <c r="E97">
        <f t="shared" si="4"/>
        <v>1.5608679999999993</v>
      </c>
      <c r="F97">
        <f t="shared" si="5"/>
        <v>2.4363089134239977</v>
      </c>
      <c r="I97">
        <v>116.52079329999999</v>
      </c>
    </row>
    <row r="98" spans="1:9" x14ac:dyDescent="0.45">
      <c r="A98" t="s">
        <v>77</v>
      </c>
      <c r="B98">
        <v>115.90619220000001</v>
      </c>
      <c r="C98">
        <v>117.8863844</v>
      </c>
      <c r="D98">
        <f t="shared" ref="D98:D129" si="7">(C98-B98)</f>
        <v>1.9801921999999905</v>
      </c>
      <c r="E98">
        <f t="shared" si="4"/>
        <v>1.9801921999999905</v>
      </c>
      <c r="F98">
        <f t="shared" si="5"/>
        <v>3.9211611489408025</v>
      </c>
      <c r="I98">
        <v>115.90619220000001</v>
      </c>
    </row>
    <row r="99" spans="1:9" x14ac:dyDescent="0.45">
      <c r="A99" t="s">
        <v>78</v>
      </c>
      <c r="B99">
        <v>121.2719644</v>
      </c>
      <c r="C99">
        <v>120.4725493</v>
      </c>
      <c r="D99">
        <f t="shared" si="7"/>
        <v>-0.79941510000000449</v>
      </c>
      <c r="E99">
        <f t="shared" si="4"/>
        <v>0.79941510000000449</v>
      </c>
      <c r="F99">
        <f t="shared" si="5"/>
        <v>0.63906450210801713</v>
      </c>
      <c r="I99">
        <v>121.2719644</v>
      </c>
    </row>
    <row r="100" spans="1:9" x14ac:dyDescent="0.45">
      <c r="A100" t="s">
        <v>79</v>
      </c>
      <c r="B100">
        <v>118.6215567</v>
      </c>
      <c r="C100">
        <v>118.3320193</v>
      </c>
      <c r="D100">
        <f t="shared" si="7"/>
        <v>-0.28953740000000039</v>
      </c>
      <c r="E100">
        <f t="shared" si="4"/>
        <v>0.28953740000000039</v>
      </c>
      <c r="F100">
        <f t="shared" si="5"/>
        <v>8.3831905998760226E-2</v>
      </c>
      <c r="I100">
        <v>118.6215567</v>
      </c>
    </row>
    <row r="101" spans="1:9" x14ac:dyDescent="0.45">
      <c r="A101" t="s">
        <v>80</v>
      </c>
      <c r="B101">
        <v>124.02988259999999</v>
      </c>
      <c r="C101">
        <v>117.30736589999999</v>
      </c>
      <c r="D101">
        <f t="shared" si="7"/>
        <v>-6.7225166999999999</v>
      </c>
      <c r="E101">
        <f t="shared" si="4"/>
        <v>6.7225166999999999</v>
      </c>
      <c r="F101">
        <f t="shared" si="5"/>
        <v>45.192230781778889</v>
      </c>
      <c r="I101">
        <v>124.02988259999999</v>
      </c>
    </row>
    <row r="102" spans="1:9" x14ac:dyDescent="0.45">
      <c r="A102" t="s">
        <v>81</v>
      </c>
      <c r="B102">
        <v>118.0047579</v>
      </c>
      <c r="C102">
        <v>118.92277350000001</v>
      </c>
      <c r="D102">
        <f t="shared" si="7"/>
        <v>0.91801560000000393</v>
      </c>
      <c r="E102">
        <f t="shared" si="4"/>
        <v>0.91801560000000393</v>
      </c>
      <c r="F102">
        <f t="shared" si="5"/>
        <v>0.84275264184336718</v>
      </c>
      <c r="I102">
        <v>118.0047579</v>
      </c>
    </row>
    <row r="103" spans="1:9" x14ac:dyDescent="0.45">
      <c r="A103" t="s">
        <v>82</v>
      </c>
      <c r="B103">
        <v>119.74538920000001</v>
      </c>
      <c r="C103">
        <v>118.2881974</v>
      </c>
      <c r="D103">
        <f t="shared" si="7"/>
        <v>-1.4571918000000039</v>
      </c>
      <c r="E103">
        <f t="shared" si="4"/>
        <v>1.4571918000000039</v>
      </c>
      <c r="F103">
        <f t="shared" si="5"/>
        <v>2.1234079419872516</v>
      </c>
      <c r="I103">
        <v>119.74538920000001</v>
      </c>
    </row>
    <row r="104" spans="1:9" x14ac:dyDescent="0.45">
      <c r="A104" t="s">
        <v>83</v>
      </c>
      <c r="B104">
        <v>119.48541059999999</v>
      </c>
      <c r="C104">
        <v>116.7124962</v>
      </c>
      <c r="D104">
        <f t="shared" si="7"/>
        <v>-2.7729143999999906</v>
      </c>
      <c r="E104">
        <f t="shared" si="4"/>
        <v>2.7729143999999906</v>
      </c>
      <c r="F104">
        <f t="shared" si="5"/>
        <v>7.6890542697273077</v>
      </c>
      <c r="I104">
        <v>119.48541059999999</v>
      </c>
    </row>
    <row r="105" spans="1:9" x14ac:dyDescent="0.45">
      <c r="A105" t="s">
        <v>84</v>
      </c>
      <c r="B105">
        <v>116.0616777</v>
      </c>
      <c r="C105">
        <v>116.8458807</v>
      </c>
      <c r="D105">
        <f t="shared" si="7"/>
        <v>0.78420299999999088</v>
      </c>
      <c r="E105">
        <f t="shared" si="4"/>
        <v>0.78420299999999088</v>
      </c>
      <c r="F105">
        <f t="shared" si="5"/>
        <v>0.61497434520898575</v>
      </c>
      <c r="I105">
        <v>116.0616777</v>
      </c>
    </row>
    <row r="106" spans="1:9" x14ac:dyDescent="0.45">
      <c r="A106" t="s">
        <v>139</v>
      </c>
      <c r="B106">
        <v>116.0861902</v>
      </c>
      <c r="C106">
        <v>118.0418394</v>
      </c>
      <c r="D106">
        <f t="shared" si="7"/>
        <v>1.9556491999999963</v>
      </c>
      <c r="E106">
        <f t="shared" si="4"/>
        <v>1.9556491999999963</v>
      </c>
      <c r="F106">
        <f t="shared" si="5"/>
        <v>3.8245637934606256</v>
      </c>
      <c r="I106">
        <v>116.0861902</v>
      </c>
    </row>
    <row r="107" spans="1:9" x14ac:dyDescent="0.45">
      <c r="A107" t="s">
        <v>140</v>
      </c>
      <c r="B107">
        <v>115.3213021</v>
      </c>
      <c r="C107">
        <v>117.3122671</v>
      </c>
      <c r="D107">
        <f t="shared" si="7"/>
        <v>1.9909650000000028</v>
      </c>
      <c r="E107">
        <f t="shared" si="4"/>
        <v>1.9909650000000028</v>
      </c>
      <c r="F107">
        <f t="shared" si="5"/>
        <v>3.9639416312250111</v>
      </c>
      <c r="I107">
        <v>115.3213021</v>
      </c>
    </row>
    <row r="108" spans="1:9" x14ac:dyDescent="0.45">
      <c r="A108" t="s">
        <v>85</v>
      </c>
      <c r="B108">
        <v>114.83924690000001</v>
      </c>
      <c r="C108">
        <v>115.01340020000001</v>
      </c>
      <c r="D108">
        <f t="shared" si="7"/>
        <v>0.1741533000000004</v>
      </c>
      <c r="E108">
        <f t="shared" si="4"/>
        <v>0.1741533000000004</v>
      </c>
      <c r="F108">
        <f t="shared" si="5"/>
        <v>3.0329371900890138E-2</v>
      </c>
      <c r="I108">
        <v>114.83924690000001</v>
      </c>
    </row>
    <row r="109" spans="1:9" x14ac:dyDescent="0.45">
      <c r="A109" t="s">
        <v>86</v>
      </c>
      <c r="B109">
        <v>116.5916142</v>
      </c>
      <c r="C109">
        <v>117.44210169999999</v>
      </c>
      <c r="D109">
        <f t="shared" si="7"/>
        <v>0.85048749999999984</v>
      </c>
      <c r="E109">
        <f t="shared" si="4"/>
        <v>0.85048749999999984</v>
      </c>
      <c r="F109">
        <f t="shared" si="5"/>
        <v>0.72332898765624976</v>
      </c>
      <c r="I109">
        <v>116.5916142</v>
      </c>
    </row>
    <row r="110" spans="1:9" x14ac:dyDescent="0.45">
      <c r="A110" t="s">
        <v>87</v>
      </c>
      <c r="B110">
        <v>116.71749749999999</v>
      </c>
      <c r="C110">
        <v>118.4225816</v>
      </c>
      <c r="D110">
        <f t="shared" si="7"/>
        <v>1.7050841000000077</v>
      </c>
      <c r="E110">
        <f t="shared" si="4"/>
        <v>1.7050841000000077</v>
      </c>
      <c r="F110">
        <f t="shared" si="5"/>
        <v>2.9073117880728363</v>
      </c>
      <c r="I110">
        <v>116.71749749999999</v>
      </c>
    </row>
    <row r="111" spans="1:9" x14ac:dyDescent="0.45">
      <c r="A111" t="s">
        <v>88</v>
      </c>
      <c r="B111">
        <v>117.00122930000001</v>
      </c>
      <c r="C111">
        <v>118.8179978</v>
      </c>
      <c r="D111">
        <f t="shared" si="7"/>
        <v>1.8167684999999949</v>
      </c>
      <c r="E111">
        <f t="shared" si="4"/>
        <v>1.8167684999999949</v>
      </c>
      <c r="F111">
        <f t="shared" si="5"/>
        <v>3.3006477825922316</v>
      </c>
      <c r="I111">
        <v>117.00122930000001</v>
      </c>
    </row>
    <row r="112" spans="1:9" x14ac:dyDescent="0.45">
      <c r="A112" t="s">
        <v>89</v>
      </c>
      <c r="B112">
        <v>116.7528346</v>
      </c>
      <c r="C112">
        <v>117.7977599</v>
      </c>
      <c r="D112">
        <f t="shared" si="7"/>
        <v>1.0449253000000027</v>
      </c>
      <c r="E112">
        <f t="shared" si="4"/>
        <v>1.0449253000000027</v>
      </c>
      <c r="F112">
        <f t="shared" si="5"/>
        <v>1.0918688825800957</v>
      </c>
      <c r="I112">
        <v>116.7528346</v>
      </c>
    </row>
    <row r="113" spans="1:9" x14ac:dyDescent="0.45">
      <c r="A113" t="s">
        <v>90</v>
      </c>
      <c r="B113">
        <v>120.0409125</v>
      </c>
      <c r="C113">
        <v>119.16460720000001</v>
      </c>
      <c r="D113">
        <f t="shared" si="7"/>
        <v>-0.87630529999999851</v>
      </c>
      <c r="E113">
        <f t="shared" si="4"/>
        <v>0.87630529999999851</v>
      </c>
      <c r="F113">
        <f t="shared" si="5"/>
        <v>0.76791097880808734</v>
      </c>
      <c r="I113">
        <v>120.0409125</v>
      </c>
    </row>
    <row r="114" spans="1:9" x14ac:dyDescent="0.45">
      <c r="A114" t="s">
        <v>91</v>
      </c>
      <c r="B114">
        <v>118.627489</v>
      </c>
      <c r="C114">
        <v>118.2839493</v>
      </c>
      <c r="D114">
        <f t="shared" si="7"/>
        <v>-0.34353969999999379</v>
      </c>
      <c r="E114">
        <f t="shared" si="4"/>
        <v>0.34353969999999379</v>
      </c>
      <c r="F114">
        <f t="shared" si="5"/>
        <v>0.11801952547608573</v>
      </c>
      <c r="I114">
        <v>118.627489</v>
      </c>
    </row>
    <row r="115" spans="1:9" x14ac:dyDescent="0.45">
      <c r="A115" t="s">
        <v>92</v>
      </c>
      <c r="B115">
        <v>116.76676519999999</v>
      </c>
      <c r="C115">
        <v>118.0912726</v>
      </c>
      <c r="D115">
        <f t="shared" si="7"/>
        <v>1.3245074000000017</v>
      </c>
      <c r="E115">
        <f t="shared" si="4"/>
        <v>1.3245074000000017</v>
      </c>
      <c r="F115">
        <f t="shared" si="5"/>
        <v>1.7543198526547643</v>
      </c>
      <c r="I115">
        <v>116.76676519999999</v>
      </c>
    </row>
    <row r="116" spans="1:9" x14ac:dyDescent="0.45">
      <c r="A116" t="s">
        <v>93</v>
      </c>
      <c r="B116">
        <v>116.81171929999999</v>
      </c>
      <c r="C116">
        <v>117.9876407</v>
      </c>
      <c r="D116">
        <f t="shared" si="7"/>
        <v>1.1759214000000071</v>
      </c>
      <c r="E116">
        <f t="shared" si="4"/>
        <v>1.1759214000000071</v>
      </c>
      <c r="F116">
        <f t="shared" si="5"/>
        <v>1.3827911389779768</v>
      </c>
      <c r="I116">
        <v>116.81171929999999</v>
      </c>
    </row>
    <row r="117" spans="1:9" x14ac:dyDescent="0.45">
      <c r="A117" t="s">
        <v>94</v>
      </c>
      <c r="B117">
        <v>116.8899905</v>
      </c>
      <c r="C117">
        <v>117.39025650000001</v>
      </c>
      <c r="D117">
        <f t="shared" si="7"/>
        <v>0.50026600000001054</v>
      </c>
      <c r="E117">
        <f t="shared" si="4"/>
        <v>0.50026600000001054</v>
      </c>
      <c r="F117">
        <f t="shared" si="5"/>
        <v>0.25026607075601054</v>
      </c>
      <c r="I117">
        <v>116.8899905</v>
      </c>
    </row>
    <row r="118" spans="1:9" x14ac:dyDescent="0.45">
      <c r="A118" t="s">
        <v>95</v>
      </c>
      <c r="B118">
        <v>119.78465749999999</v>
      </c>
      <c r="C118">
        <v>118.1180469</v>
      </c>
      <c r="D118">
        <f t="shared" si="7"/>
        <v>-1.6666105999999985</v>
      </c>
      <c r="E118">
        <f t="shared" si="4"/>
        <v>1.6666105999999985</v>
      </c>
      <c r="F118">
        <f t="shared" si="5"/>
        <v>2.7775908920323551</v>
      </c>
      <c r="I118">
        <v>119.78465749999999</v>
      </c>
    </row>
    <row r="119" spans="1:9" x14ac:dyDescent="0.45">
      <c r="A119" t="s">
        <v>96</v>
      </c>
      <c r="B119">
        <v>121.10557900000001</v>
      </c>
      <c r="C119">
        <v>118.29966469999999</v>
      </c>
      <c r="D119">
        <f t="shared" si="7"/>
        <v>-2.805914300000012</v>
      </c>
      <c r="E119">
        <f t="shared" si="4"/>
        <v>2.805914300000012</v>
      </c>
      <c r="F119">
        <f t="shared" si="5"/>
        <v>7.8731550589445574</v>
      </c>
      <c r="I119">
        <v>121.10557900000001</v>
      </c>
    </row>
    <row r="120" spans="1:9" x14ac:dyDescent="0.45">
      <c r="A120" t="s">
        <v>97</v>
      </c>
      <c r="B120">
        <v>118.412504</v>
      </c>
      <c r="C120">
        <v>118.5795193</v>
      </c>
      <c r="D120">
        <f t="shared" si="7"/>
        <v>0.16701530000000275</v>
      </c>
      <c r="E120">
        <f t="shared" si="4"/>
        <v>0.16701530000000275</v>
      </c>
      <c r="F120">
        <f t="shared" si="5"/>
        <v>2.7894110434090919E-2</v>
      </c>
      <c r="I120">
        <v>118.412504</v>
      </c>
    </row>
    <row r="121" spans="1:9" x14ac:dyDescent="0.45">
      <c r="A121" t="s">
        <v>98</v>
      </c>
      <c r="B121">
        <v>117.4149352</v>
      </c>
      <c r="C121">
        <v>118.3996212</v>
      </c>
      <c r="D121">
        <f t="shared" si="7"/>
        <v>0.9846859999999964</v>
      </c>
      <c r="E121">
        <f t="shared" si="4"/>
        <v>0.9846859999999964</v>
      </c>
      <c r="F121">
        <f t="shared" si="5"/>
        <v>0.96960651859599289</v>
      </c>
      <c r="I121">
        <v>117.4149352</v>
      </c>
    </row>
    <row r="122" spans="1:9" x14ac:dyDescent="0.45">
      <c r="A122" t="s">
        <v>99</v>
      </c>
      <c r="B122">
        <v>115.5108372</v>
      </c>
      <c r="C122">
        <v>117.5946582</v>
      </c>
      <c r="D122">
        <f t="shared" si="7"/>
        <v>2.0838210000000004</v>
      </c>
      <c r="E122">
        <f t="shared" si="4"/>
        <v>2.0838210000000004</v>
      </c>
      <c r="F122">
        <f t="shared" si="5"/>
        <v>4.3423099600410016</v>
      </c>
      <c r="I122">
        <v>115.5108372</v>
      </c>
    </row>
    <row r="123" spans="1:9" x14ac:dyDescent="0.45">
      <c r="A123" t="s">
        <v>100</v>
      </c>
      <c r="B123">
        <v>118.44769359999999</v>
      </c>
      <c r="C123">
        <v>118.78453039999999</v>
      </c>
      <c r="D123">
        <f t="shared" si="7"/>
        <v>0.33683680000000038</v>
      </c>
      <c r="E123">
        <f t="shared" si="4"/>
        <v>0.33683680000000038</v>
      </c>
      <c r="F123">
        <f t="shared" si="5"/>
        <v>0.11345902983424026</v>
      </c>
      <c r="I123">
        <v>118.44769359999999</v>
      </c>
    </row>
    <row r="124" spans="1:9" x14ac:dyDescent="0.45">
      <c r="A124" t="s">
        <v>101</v>
      </c>
      <c r="B124">
        <v>117.9747629</v>
      </c>
      <c r="C124">
        <v>117.97252949999999</v>
      </c>
      <c r="D124">
        <f t="shared" si="7"/>
        <v>-2.2334000000086007E-3</v>
      </c>
      <c r="E124">
        <f t="shared" si="4"/>
        <v>2.2334000000086007E-3</v>
      </c>
      <c r="F124">
        <f t="shared" si="5"/>
        <v>4.988075560038418E-6</v>
      </c>
      <c r="I124">
        <v>117.9747629</v>
      </c>
    </row>
    <row r="125" spans="1:9" x14ac:dyDescent="0.45">
      <c r="A125" t="s">
        <v>102</v>
      </c>
      <c r="B125">
        <v>117.9646616</v>
      </c>
      <c r="C125">
        <v>117.4589297</v>
      </c>
      <c r="D125">
        <f t="shared" si="7"/>
        <v>-0.50573190000000068</v>
      </c>
      <c r="E125">
        <f t="shared" si="4"/>
        <v>0.50573190000000068</v>
      </c>
      <c r="F125">
        <f t="shared" si="5"/>
        <v>0.25576475467761067</v>
      </c>
      <c r="I125">
        <v>117.9646616</v>
      </c>
    </row>
    <row r="126" spans="1:9" x14ac:dyDescent="0.45">
      <c r="A126" t="s">
        <v>103</v>
      </c>
      <c r="B126">
        <v>115.38627289999999</v>
      </c>
      <c r="C126">
        <v>117.39669050000001</v>
      </c>
      <c r="D126">
        <f t="shared" si="7"/>
        <v>2.0104176000000109</v>
      </c>
      <c r="E126">
        <f t="shared" si="4"/>
        <v>2.0104176000000109</v>
      </c>
      <c r="F126">
        <f t="shared" si="5"/>
        <v>4.0417789263898038</v>
      </c>
      <c r="I126">
        <v>115.38627289999999</v>
      </c>
    </row>
    <row r="127" spans="1:9" x14ac:dyDescent="0.45">
      <c r="A127" t="s">
        <v>104</v>
      </c>
      <c r="B127">
        <v>117.5949595</v>
      </c>
      <c r="C127">
        <v>118.68053310000001</v>
      </c>
      <c r="D127">
        <f t="shared" si="7"/>
        <v>1.0855736000000036</v>
      </c>
      <c r="E127">
        <f t="shared" ref="E127:E137" si="8">ABS(D127)</f>
        <v>1.0855736000000036</v>
      </c>
      <c r="F127">
        <f t="shared" ref="F127:F137" si="9">E127^2</f>
        <v>1.1784700410169677</v>
      </c>
      <c r="I127">
        <v>117.5949595</v>
      </c>
    </row>
    <row r="128" spans="1:9" x14ac:dyDescent="0.45">
      <c r="A128" t="s">
        <v>105</v>
      </c>
      <c r="B128">
        <v>115.3862298</v>
      </c>
      <c r="C128">
        <v>117.29080639999999</v>
      </c>
      <c r="D128">
        <f t="shared" si="7"/>
        <v>1.9045765999999986</v>
      </c>
      <c r="E128">
        <f t="shared" si="8"/>
        <v>1.9045765999999986</v>
      </c>
      <c r="F128">
        <f t="shared" si="9"/>
        <v>3.6274120252675548</v>
      </c>
      <c r="I128">
        <v>115.3862298</v>
      </c>
    </row>
    <row r="129" spans="1:9" x14ac:dyDescent="0.45">
      <c r="A129" t="s">
        <v>106</v>
      </c>
      <c r="B129">
        <v>116.16148889999999</v>
      </c>
      <c r="C129">
        <v>117.7090237</v>
      </c>
      <c r="D129">
        <f t="shared" si="7"/>
        <v>1.5475348000000082</v>
      </c>
      <c r="E129">
        <f t="shared" si="8"/>
        <v>1.5475348000000082</v>
      </c>
      <c r="F129">
        <f t="shared" si="9"/>
        <v>2.3948639572110655</v>
      </c>
      <c r="I129">
        <v>116.16148889999999</v>
      </c>
    </row>
    <row r="130" spans="1:9" x14ac:dyDescent="0.45">
      <c r="A130" t="s">
        <v>141</v>
      </c>
      <c r="B130">
        <v>116.86625479999999</v>
      </c>
      <c r="C130">
        <v>118.71872209999999</v>
      </c>
      <c r="D130">
        <f t="shared" ref="D130:D137" si="10">(C130-B130)</f>
        <v>1.8524673000000007</v>
      </c>
      <c r="E130">
        <f t="shared" si="8"/>
        <v>1.8524673000000007</v>
      </c>
      <c r="F130">
        <f t="shared" si="9"/>
        <v>3.4316350975692926</v>
      </c>
      <c r="I130">
        <v>116.86625479999999</v>
      </c>
    </row>
    <row r="131" spans="1:9" x14ac:dyDescent="0.45">
      <c r="A131" t="s">
        <v>142</v>
      </c>
      <c r="B131">
        <v>116.2699203</v>
      </c>
      <c r="C131">
        <v>117.4480951</v>
      </c>
      <c r="D131">
        <f t="shared" si="10"/>
        <v>1.1781748000000078</v>
      </c>
      <c r="E131">
        <f t="shared" si="8"/>
        <v>1.1781748000000078</v>
      </c>
      <c r="F131">
        <f t="shared" si="9"/>
        <v>1.3880958593550585</v>
      </c>
      <c r="I131">
        <v>116.2699203</v>
      </c>
    </row>
    <row r="132" spans="1:9" x14ac:dyDescent="0.45">
      <c r="A132" t="s">
        <v>107</v>
      </c>
      <c r="B132">
        <v>116.591278</v>
      </c>
      <c r="C132">
        <v>117.7586543</v>
      </c>
      <c r="D132">
        <f t="shared" si="10"/>
        <v>1.1673763000000008</v>
      </c>
      <c r="E132">
        <f t="shared" si="8"/>
        <v>1.1673763000000008</v>
      </c>
      <c r="F132">
        <f t="shared" si="9"/>
        <v>1.362767425801692</v>
      </c>
      <c r="I132">
        <v>116.591278</v>
      </c>
    </row>
    <row r="133" spans="1:9" x14ac:dyDescent="0.45">
      <c r="A133" t="s">
        <v>108</v>
      </c>
      <c r="B133">
        <v>116.5071526</v>
      </c>
      <c r="C133">
        <v>117.2335908</v>
      </c>
      <c r="D133">
        <f t="shared" si="10"/>
        <v>0.72643820000000403</v>
      </c>
      <c r="E133">
        <f t="shared" si="8"/>
        <v>0.72643820000000403</v>
      </c>
      <c r="F133">
        <f t="shared" si="9"/>
        <v>0.52771245841924586</v>
      </c>
      <c r="I133">
        <v>116.5071526</v>
      </c>
    </row>
    <row r="134" spans="1:9" x14ac:dyDescent="0.45">
      <c r="A134" t="s">
        <v>109</v>
      </c>
      <c r="B134">
        <v>116.83680459999999</v>
      </c>
      <c r="C134">
        <v>117.54376259999999</v>
      </c>
      <c r="D134">
        <f t="shared" si="10"/>
        <v>0.7069580000000002</v>
      </c>
      <c r="E134">
        <f t="shared" si="8"/>
        <v>0.7069580000000002</v>
      </c>
      <c r="F134">
        <f t="shared" si="9"/>
        <v>0.49978961376400027</v>
      </c>
      <c r="I134">
        <v>116.83680459999999</v>
      </c>
    </row>
    <row r="135" spans="1:9" x14ac:dyDescent="0.45">
      <c r="A135" t="s">
        <v>110</v>
      </c>
      <c r="B135">
        <v>116.3499241</v>
      </c>
      <c r="C135">
        <v>116.85534180000001</v>
      </c>
      <c r="D135">
        <f t="shared" si="10"/>
        <v>0.50541770000000952</v>
      </c>
      <c r="E135">
        <f t="shared" si="8"/>
        <v>0.50541770000000952</v>
      </c>
      <c r="F135">
        <f t="shared" si="9"/>
        <v>0.2554470514732996</v>
      </c>
      <c r="I135">
        <v>116.3499241</v>
      </c>
    </row>
    <row r="136" spans="1:9" x14ac:dyDescent="0.45">
      <c r="A136" t="s">
        <v>111</v>
      </c>
      <c r="B136">
        <v>115.4784104</v>
      </c>
      <c r="C136">
        <v>117.54952369999999</v>
      </c>
      <c r="D136">
        <f t="shared" si="10"/>
        <v>2.0711132999999933</v>
      </c>
      <c r="E136">
        <f t="shared" si="8"/>
        <v>2.0711132999999933</v>
      </c>
      <c r="F136">
        <f t="shared" si="9"/>
        <v>4.2895103014368621</v>
      </c>
      <c r="I136">
        <v>115.4784104</v>
      </c>
    </row>
    <row r="137" spans="1:9" x14ac:dyDescent="0.45">
      <c r="A137" t="s">
        <v>112</v>
      </c>
      <c r="B137">
        <v>115.35504299999999</v>
      </c>
      <c r="C137">
        <v>117.0308453</v>
      </c>
      <c r="D137">
        <f t="shared" si="10"/>
        <v>1.6758023000000009</v>
      </c>
      <c r="E137">
        <f t="shared" si="8"/>
        <v>1.6758023000000009</v>
      </c>
      <c r="F137">
        <f t="shared" si="9"/>
        <v>2.8083133486852927</v>
      </c>
      <c r="I137">
        <v>115.35504299999999</v>
      </c>
    </row>
    <row r="138" spans="1:9" x14ac:dyDescent="0.45">
      <c r="D138">
        <f>AVERAGE(D2:D137)</f>
        <v>0.33924061691176444</v>
      </c>
      <c r="E138">
        <f>AVERAGE(E2:E137)</f>
        <v>1.6348039316176477</v>
      </c>
      <c r="F138">
        <f>SQRT(AVERAGE(F2:F137))</f>
        <v>2.6548500561104551</v>
      </c>
    </row>
    <row r="139" spans="1:9" x14ac:dyDescent="0.45">
      <c r="B139">
        <f>MIN(B2:B137)</f>
        <v>113.8417153</v>
      </c>
      <c r="C139">
        <f>MIN(C2:C137)</f>
        <v>115.01340020000001</v>
      </c>
    </row>
    <row r="140" spans="1:9" x14ac:dyDescent="0.45">
      <c r="B140">
        <f>MAX(B2:B137)</f>
        <v>131.31039730000001</v>
      </c>
      <c r="C140">
        <f>MAX(C2:C137)</f>
        <v>120.8588051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7CEC6-0046-45B8-8304-4A6E87B55B46}">
  <dimension ref="A1:AS140"/>
  <sheetViews>
    <sheetView workbookViewId="0">
      <selection activeCell="B1" sqref="B1"/>
    </sheetView>
  </sheetViews>
  <sheetFormatPr defaultRowHeight="14.25" x14ac:dyDescent="0.45"/>
  <cols>
    <col min="13" max="13" width="11.46484375" customWidth="1"/>
    <col min="14" max="14" width="11.1328125" customWidth="1"/>
  </cols>
  <sheetData>
    <row r="1" spans="1:45" s="2" customFormat="1" x14ac:dyDescent="0.45">
      <c r="A1" t="s">
        <v>6</v>
      </c>
      <c r="B1" t="s">
        <v>173</v>
      </c>
      <c r="C1" t="s">
        <v>172</v>
      </c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  <c r="I1" t="s">
        <v>5</v>
      </c>
    </row>
    <row r="2" spans="1:45" x14ac:dyDescent="0.45">
      <c r="A2" t="s">
        <v>113</v>
      </c>
      <c r="B2">
        <v>143.3137418</v>
      </c>
      <c r="C2">
        <v>138.02483470000001</v>
      </c>
      <c r="D2">
        <f t="shared" ref="D2:D33" si="0">(C2-B2)</f>
        <v>-5.2889070999999888</v>
      </c>
      <c r="E2">
        <f>ABS(D2)</f>
        <v>5.2889070999999888</v>
      </c>
      <c r="F2">
        <f>E2^2</f>
        <v>27.972538312430292</v>
      </c>
      <c r="G2">
        <f>CORREL(B2:B134,C2:C134)</f>
        <v>0.79483982549535792</v>
      </c>
      <c r="H2">
        <f>G2^2</f>
        <v>0.63177034819349098</v>
      </c>
      <c r="I2">
        <v>143.3137418</v>
      </c>
    </row>
    <row r="3" spans="1:45" x14ac:dyDescent="0.45">
      <c r="A3" t="s">
        <v>114</v>
      </c>
      <c r="B3">
        <v>123.5460848</v>
      </c>
      <c r="C3">
        <v>121.69411940000001</v>
      </c>
      <c r="D3">
        <f t="shared" si="0"/>
        <v>-1.8519653999999974</v>
      </c>
      <c r="E3">
        <f t="shared" ref="E3:E65" si="1">ABS(D3)</f>
        <v>1.8519653999999974</v>
      </c>
      <c r="F3">
        <f t="shared" ref="F3:F65" si="2">E3^2</f>
        <v>3.4297758427971505</v>
      </c>
      <c r="I3">
        <v>123.5460848</v>
      </c>
    </row>
    <row r="4" spans="1:45" x14ac:dyDescent="0.45">
      <c r="A4" t="s">
        <v>115</v>
      </c>
      <c r="B4">
        <v>137.64240720000001</v>
      </c>
      <c r="C4">
        <v>137.91116199999999</v>
      </c>
      <c r="D4">
        <f t="shared" si="0"/>
        <v>0.2687547999999822</v>
      </c>
      <c r="E4">
        <f t="shared" si="1"/>
        <v>0.2687547999999822</v>
      </c>
      <c r="F4">
        <f t="shared" si="2"/>
        <v>7.2229142523030435E-2</v>
      </c>
      <c r="I4">
        <v>137.64240720000001</v>
      </c>
    </row>
    <row r="5" spans="1:45" x14ac:dyDescent="0.45">
      <c r="A5" t="s">
        <v>116</v>
      </c>
      <c r="B5">
        <v>142.74658529999999</v>
      </c>
      <c r="C5">
        <v>138.7887891</v>
      </c>
      <c r="D5">
        <f t="shared" si="0"/>
        <v>-3.95779619999999</v>
      </c>
      <c r="E5">
        <f t="shared" si="1"/>
        <v>3.95779619999999</v>
      </c>
      <c r="F5">
        <f t="shared" si="2"/>
        <v>15.66415076073436</v>
      </c>
      <c r="I5">
        <v>142.74658529999999</v>
      </c>
    </row>
    <row r="6" spans="1:45" x14ac:dyDescent="0.45">
      <c r="A6" t="s">
        <v>117</v>
      </c>
      <c r="B6">
        <v>154.8822145</v>
      </c>
      <c r="C6">
        <v>142.64327520000001</v>
      </c>
      <c r="D6">
        <f t="shared" si="0"/>
        <v>-12.238939299999998</v>
      </c>
      <c r="E6">
        <f t="shared" si="1"/>
        <v>12.238939299999998</v>
      </c>
      <c r="F6">
        <f t="shared" si="2"/>
        <v>149.79163518908445</v>
      </c>
      <c r="I6">
        <v>154.8822145</v>
      </c>
    </row>
    <row r="7" spans="1:45" x14ac:dyDescent="0.45">
      <c r="A7" t="s">
        <v>118</v>
      </c>
      <c r="B7">
        <v>143.01979890000001</v>
      </c>
      <c r="C7">
        <v>142.00612029999999</v>
      </c>
      <c r="D7">
        <f t="shared" si="0"/>
        <v>-1.01367860000002</v>
      </c>
      <c r="E7">
        <f t="shared" si="1"/>
        <v>1.01367860000002</v>
      </c>
      <c r="F7">
        <f t="shared" si="2"/>
        <v>1.0275443040980006</v>
      </c>
      <c r="I7">
        <v>143.01979890000001</v>
      </c>
    </row>
    <row r="8" spans="1:45" x14ac:dyDescent="0.45">
      <c r="A8" t="s">
        <v>7</v>
      </c>
      <c r="B8">
        <v>131.0861108</v>
      </c>
      <c r="C8">
        <v>134.68236210000001</v>
      </c>
      <c r="D8">
        <f t="shared" si="0"/>
        <v>3.5962513000000058</v>
      </c>
      <c r="E8">
        <f t="shared" si="1"/>
        <v>3.5962513000000058</v>
      </c>
      <c r="F8">
        <f t="shared" si="2"/>
        <v>12.933023412751732</v>
      </c>
      <c r="I8">
        <v>131.0861108</v>
      </c>
    </row>
    <row r="9" spans="1:45" x14ac:dyDescent="0.45">
      <c r="A9" t="s">
        <v>8</v>
      </c>
      <c r="B9">
        <v>118.03717810000001</v>
      </c>
      <c r="C9">
        <v>120.92230170000001</v>
      </c>
      <c r="D9">
        <f t="shared" si="0"/>
        <v>2.8851236</v>
      </c>
      <c r="E9">
        <f t="shared" si="1"/>
        <v>2.8851236</v>
      </c>
      <c r="F9">
        <f t="shared" si="2"/>
        <v>8.3239381872769602</v>
      </c>
      <c r="I9">
        <v>118.03717810000001</v>
      </c>
    </row>
    <row r="10" spans="1:45" x14ac:dyDescent="0.45">
      <c r="A10" t="s">
        <v>9</v>
      </c>
      <c r="B10">
        <v>139.90516650000001</v>
      </c>
      <c r="C10">
        <v>137.80114459999999</v>
      </c>
      <c r="D10">
        <f t="shared" si="0"/>
        <v>-2.1040219000000207</v>
      </c>
      <c r="E10">
        <f t="shared" si="1"/>
        <v>2.1040219000000207</v>
      </c>
      <c r="F10">
        <f t="shared" si="2"/>
        <v>4.4269081556796968</v>
      </c>
      <c r="I10">
        <v>139.90516650000001</v>
      </c>
    </row>
    <row r="11" spans="1:45" x14ac:dyDescent="0.45">
      <c r="A11" t="s">
        <v>10</v>
      </c>
      <c r="B11">
        <v>132.9908744</v>
      </c>
      <c r="C11">
        <v>133.1907774</v>
      </c>
      <c r="D11">
        <f t="shared" si="0"/>
        <v>0.19990300000000616</v>
      </c>
      <c r="E11">
        <f t="shared" si="1"/>
        <v>0.19990300000000616</v>
      </c>
      <c r="F11">
        <f t="shared" si="2"/>
        <v>3.9961209409002461E-2</v>
      </c>
      <c r="I11">
        <v>132.9908744</v>
      </c>
    </row>
    <row r="12" spans="1:45" x14ac:dyDescent="0.45">
      <c r="A12" t="s">
        <v>11</v>
      </c>
      <c r="B12">
        <v>135.41678160000001</v>
      </c>
      <c r="C12">
        <v>134.46694299999999</v>
      </c>
      <c r="D12">
        <f t="shared" si="0"/>
        <v>-0.94983860000002096</v>
      </c>
      <c r="E12">
        <f t="shared" si="1"/>
        <v>0.94983860000002096</v>
      </c>
      <c r="F12">
        <f t="shared" si="2"/>
        <v>0.90219336604999978</v>
      </c>
      <c r="I12">
        <v>135.41678160000001</v>
      </c>
    </row>
    <row r="13" spans="1:45" x14ac:dyDescent="0.45">
      <c r="A13" t="s">
        <v>12</v>
      </c>
      <c r="B13">
        <v>99.204962870000003</v>
      </c>
      <c r="C13">
        <v>119.0642761</v>
      </c>
      <c r="D13">
        <f t="shared" si="0"/>
        <v>19.859313229999998</v>
      </c>
      <c r="E13">
        <f t="shared" si="1"/>
        <v>19.859313229999998</v>
      </c>
      <c r="F13">
        <f t="shared" si="2"/>
        <v>394.39232196725294</v>
      </c>
      <c r="I13">
        <v>99.204962870000003</v>
      </c>
    </row>
    <row r="14" spans="1:45" x14ac:dyDescent="0.45">
      <c r="A14" t="s">
        <v>13</v>
      </c>
      <c r="B14">
        <v>115.75571170000001</v>
      </c>
      <c r="C14">
        <v>116.2882264</v>
      </c>
      <c r="D14">
        <f t="shared" si="0"/>
        <v>0.53251469999999301</v>
      </c>
      <c r="E14">
        <f t="shared" si="1"/>
        <v>0.53251469999999301</v>
      </c>
      <c r="F14">
        <f t="shared" si="2"/>
        <v>0.28357190571608254</v>
      </c>
      <c r="I14">
        <v>115.75571170000001</v>
      </c>
    </row>
    <row r="15" spans="1:45" x14ac:dyDescent="0.45">
      <c r="A15" t="s">
        <v>119</v>
      </c>
      <c r="B15">
        <v>132.32677609999999</v>
      </c>
      <c r="C15">
        <v>136.49374570000001</v>
      </c>
      <c r="D15">
        <f t="shared" si="0"/>
        <v>4.1669696000000158</v>
      </c>
      <c r="E15">
        <f t="shared" si="1"/>
        <v>4.1669696000000158</v>
      </c>
      <c r="F15">
        <f t="shared" si="2"/>
        <v>17.363635647324291</v>
      </c>
      <c r="I15">
        <v>132.32677609999999</v>
      </c>
      <c r="AS15" s="1"/>
    </row>
    <row r="16" spans="1:45" x14ac:dyDescent="0.45">
      <c r="A16" t="s">
        <v>14</v>
      </c>
      <c r="B16">
        <v>136.2513855</v>
      </c>
      <c r="C16">
        <v>135.3084705</v>
      </c>
      <c r="D16">
        <f t="shared" si="0"/>
        <v>-0.94291499999999928</v>
      </c>
      <c r="E16">
        <f t="shared" si="1"/>
        <v>0.94291499999999928</v>
      </c>
      <c r="F16">
        <f t="shared" si="2"/>
        <v>0.88908869722499861</v>
      </c>
      <c r="I16">
        <v>136.2513855</v>
      </c>
      <c r="AS16" s="1"/>
    </row>
    <row r="17" spans="1:45" x14ac:dyDescent="0.45">
      <c r="A17" t="s">
        <v>120</v>
      </c>
      <c r="B17">
        <v>144.02059080000001</v>
      </c>
      <c r="C17">
        <v>141.6514851</v>
      </c>
      <c r="D17">
        <f t="shared" si="0"/>
        <v>-2.3691057000000058</v>
      </c>
      <c r="E17">
        <f t="shared" si="1"/>
        <v>2.3691057000000058</v>
      </c>
      <c r="F17">
        <f t="shared" si="2"/>
        <v>5.6126618177725174</v>
      </c>
      <c r="I17">
        <v>144.02059080000001</v>
      </c>
      <c r="AS17" s="1"/>
    </row>
    <row r="18" spans="1:45" x14ac:dyDescent="0.45">
      <c r="A18" t="s">
        <v>121</v>
      </c>
      <c r="B18">
        <v>125.0755683</v>
      </c>
      <c r="C18">
        <v>124.81510950000001</v>
      </c>
      <c r="D18">
        <f t="shared" si="0"/>
        <v>-0.26045879999999499</v>
      </c>
      <c r="E18">
        <f t="shared" si="1"/>
        <v>0.26045879999999499</v>
      </c>
      <c r="F18">
        <f t="shared" si="2"/>
        <v>6.7838786497437395E-2</v>
      </c>
      <c r="I18">
        <v>125.0755683</v>
      </c>
      <c r="AS18" s="1"/>
    </row>
    <row r="19" spans="1:45" x14ac:dyDescent="0.45">
      <c r="A19" t="s">
        <v>122</v>
      </c>
      <c r="B19">
        <v>143.06461340000001</v>
      </c>
      <c r="C19">
        <v>151.57108170000001</v>
      </c>
      <c r="D19">
        <f t="shared" si="0"/>
        <v>8.5064682999999945</v>
      </c>
      <c r="E19">
        <f t="shared" si="1"/>
        <v>8.5064682999999945</v>
      </c>
      <c r="F19">
        <f t="shared" si="2"/>
        <v>72.360002938904799</v>
      </c>
      <c r="I19">
        <v>143.06461340000001</v>
      </c>
      <c r="AS19" s="1"/>
    </row>
    <row r="20" spans="1:45" x14ac:dyDescent="0.45">
      <c r="A20" t="s">
        <v>123</v>
      </c>
      <c r="B20">
        <v>117.82185130000001</v>
      </c>
      <c r="C20">
        <v>124.99985100000001</v>
      </c>
      <c r="D20">
        <f t="shared" si="0"/>
        <v>7.1779997000000009</v>
      </c>
      <c r="E20">
        <f t="shared" si="1"/>
        <v>7.1779997000000009</v>
      </c>
      <c r="F20">
        <f t="shared" si="2"/>
        <v>51.523679693200101</v>
      </c>
      <c r="I20">
        <v>117.82185130000001</v>
      </c>
    </row>
    <row r="21" spans="1:45" x14ac:dyDescent="0.45">
      <c r="A21" t="s">
        <v>124</v>
      </c>
      <c r="B21">
        <v>113.9478879</v>
      </c>
      <c r="C21">
        <v>126.0239682</v>
      </c>
      <c r="D21">
        <f t="shared" si="0"/>
        <v>12.076080300000001</v>
      </c>
      <c r="E21">
        <f t="shared" si="1"/>
        <v>12.076080300000001</v>
      </c>
      <c r="F21">
        <f t="shared" si="2"/>
        <v>145.83171541204811</v>
      </c>
      <c r="I21">
        <v>113.9478879</v>
      </c>
    </row>
    <row r="22" spans="1:45" x14ac:dyDescent="0.45">
      <c r="A22" t="s">
        <v>125</v>
      </c>
      <c r="B22">
        <v>118.90071519999999</v>
      </c>
      <c r="C22">
        <v>125.50068880000001</v>
      </c>
      <c r="D22">
        <f t="shared" si="0"/>
        <v>6.5999736000000127</v>
      </c>
      <c r="E22">
        <f t="shared" si="1"/>
        <v>6.5999736000000127</v>
      </c>
      <c r="F22">
        <f t="shared" si="2"/>
        <v>43.55965152069713</v>
      </c>
      <c r="I22">
        <v>118.90071519999999</v>
      </c>
    </row>
    <row r="23" spans="1:45" x14ac:dyDescent="0.45">
      <c r="A23" t="s">
        <v>15</v>
      </c>
      <c r="B23">
        <v>118.3054269</v>
      </c>
      <c r="C23">
        <v>113.1466174</v>
      </c>
      <c r="D23">
        <f t="shared" si="0"/>
        <v>-5.1588095000000038</v>
      </c>
      <c r="E23">
        <f t="shared" si="1"/>
        <v>5.1588095000000038</v>
      </c>
      <c r="F23">
        <f t="shared" si="2"/>
        <v>26.613315457290291</v>
      </c>
      <c r="I23">
        <v>118.3054269</v>
      </c>
    </row>
    <row r="24" spans="1:45" x14ac:dyDescent="0.45">
      <c r="A24" t="s">
        <v>16</v>
      </c>
      <c r="B24">
        <v>133.08676579999999</v>
      </c>
      <c r="C24">
        <v>125.2717952</v>
      </c>
      <c r="D24">
        <f t="shared" si="0"/>
        <v>-7.8149705999999952</v>
      </c>
      <c r="E24">
        <f t="shared" si="1"/>
        <v>7.8149705999999952</v>
      </c>
      <c r="F24">
        <f t="shared" si="2"/>
        <v>61.073765478864289</v>
      </c>
      <c r="I24">
        <v>133.08676579999999</v>
      </c>
    </row>
    <row r="25" spans="1:45" x14ac:dyDescent="0.45">
      <c r="A25" t="s">
        <v>17</v>
      </c>
      <c r="B25">
        <v>144.89444309999999</v>
      </c>
      <c r="C25">
        <v>153.40856729999999</v>
      </c>
      <c r="D25">
        <f t="shared" si="0"/>
        <v>8.5141241999999977</v>
      </c>
      <c r="E25">
        <f t="shared" si="1"/>
        <v>8.5141241999999977</v>
      </c>
      <c r="F25">
        <f t="shared" si="2"/>
        <v>72.490310893025594</v>
      </c>
      <c r="I25">
        <v>144.89444309999999</v>
      </c>
    </row>
    <row r="26" spans="1:45" x14ac:dyDescent="0.45">
      <c r="A26" t="s">
        <v>18</v>
      </c>
      <c r="B26">
        <v>164.5721618</v>
      </c>
      <c r="C26">
        <v>156.44376249999999</v>
      </c>
      <c r="D26">
        <f t="shared" si="0"/>
        <v>-8.1283993000000123</v>
      </c>
      <c r="E26">
        <f t="shared" si="1"/>
        <v>8.1283993000000123</v>
      </c>
      <c r="F26">
        <f t="shared" si="2"/>
        <v>66.070875180240691</v>
      </c>
      <c r="I26">
        <v>164.5721618</v>
      </c>
    </row>
    <row r="27" spans="1:45" x14ac:dyDescent="0.45">
      <c r="A27" t="s">
        <v>19</v>
      </c>
      <c r="B27">
        <v>147.2255767</v>
      </c>
      <c r="C27">
        <v>151.9346596</v>
      </c>
      <c r="D27">
        <f t="shared" si="0"/>
        <v>4.7090828999999985</v>
      </c>
      <c r="E27">
        <f t="shared" si="1"/>
        <v>4.7090828999999985</v>
      </c>
      <c r="F27">
        <f t="shared" si="2"/>
        <v>22.175461759072395</v>
      </c>
      <c r="I27">
        <v>147.2255767</v>
      </c>
    </row>
    <row r="28" spans="1:45" x14ac:dyDescent="0.45">
      <c r="A28" t="s">
        <v>20</v>
      </c>
      <c r="B28">
        <v>134.10633680000001</v>
      </c>
      <c r="C28">
        <v>136.11987450000001</v>
      </c>
      <c r="D28">
        <f t="shared" si="0"/>
        <v>2.0135377000000005</v>
      </c>
      <c r="E28">
        <f t="shared" si="1"/>
        <v>2.0135377000000005</v>
      </c>
      <c r="F28">
        <f t="shared" si="2"/>
        <v>4.0543340693212926</v>
      </c>
      <c r="I28">
        <v>134.10633680000001</v>
      </c>
    </row>
    <row r="29" spans="1:45" x14ac:dyDescent="0.45">
      <c r="A29" t="s">
        <v>21</v>
      </c>
      <c r="B29">
        <v>131.36235769999999</v>
      </c>
      <c r="C29">
        <v>109.6614016</v>
      </c>
      <c r="D29">
        <f t="shared" si="0"/>
        <v>-21.700956099999985</v>
      </c>
      <c r="E29">
        <f t="shared" si="1"/>
        <v>21.700956099999985</v>
      </c>
      <c r="F29">
        <f t="shared" si="2"/>
        <v>470.93149565412654</v>
      </c>
      <c r="I29">
        <v>131.36235769999999</v>
      </c>
    </row>
    <row r="30" spans="1:45" x14ac:dyDescent="0.45">
      <c r="A30" t="s">
        <v>22</v>
      </c>
      <c r="B30">
        <v>137.97371419999999</v>
      </c>
      <c r="C30">
        <v>138.00867109999999</v>
      </c>
      <c r="D30">
        <f t="shared" si="0"/>
        <v>3.4956899999997404E-2</v>
      </c>
      <c r="E30">
        <f t="shared" si="1"/>
        <v>3.4956899999997404E-2</v>
      </c>
      <c r="F30">
        <f t="shared" si="2"/>
        <v>1.2219848576098184E-3</v>
      </c>
      <c r="I30">
        <v>137.97371419999999</v>
      </c>
    </row>
    <row r="31" spans="1:45" x14ac:dyDescent="0.45">
      <c r="A31" t="s">
        <v>23</v>
      </c>
      <c r="B31">
        <v>166.5459267</v>
      </c>
      <c r="C31">
        <v>158.3128782</v>
      </c>
      <c r="D31">
        <f t="shared" si="0"/>
        <v>-8.2330484999999953</v>
      </c>
      <c r="E31">
        <f t="shared" si="1"/>
        <v>8.2330484999999953</v>
      </c>
      <c r="F31">
        <f t="shared" si="2"/>
        <v>67.783087603352172</v>
      </c>
      <c r="I31">
        <v>166.5459267</v>
      </c>
    </row>
    <row r="32" spans="1:45" x14ac:dyDescent="0.45">
      <c r="A32" t="s">
        <v>24</v>
      </c>
      <c r="B32">
        <v>125.41894739999999</v>
      </c>
      <c r="C32">
        <v>145.66505979999999</v>
      </c>
      <c r="D32">
        <f t="shared" si="0"/>
        <v>20.246112400000001</v>
      </c>
      <c r="E32">
        <f t="shared" si="1"/>
        <v>20.246112400000001</v>
      </c>
      <c r="F32">
        <f t="shared" si="2"/>
        <v>409.90506731343379</v>
      </c>
      <c r="I32">
        <v>125.41894739999999</v>
      </c>
    </row>
    <row r="33" spans="1:9" x14ac:dyDescent="0.45">
      <c r="A33" t="s">
        <v>25</v>
      </c>
      <c r="B33">
        <v>143.7719697</v>
      </c>
      <c r="C33">
        <v>167.19945609999999</v>
      </c>
      <c r="D33">
        <f t="shared" si="0"/>
        <v>23.427486399999992</v>
      </c>
      <c r="E33">
        <f t="shared" si="1"/>
        <v>23.427486399999992</v>
      </c>
      <c r="F33">
        <f t="shared" si="2"/>
        <v>548.84711902218464</v>
      </c>
      <c r="I33">
        <v>143.7719697</v>
      </c>
    </row>
    <row r="34" spans="1:9" x14ac:dyDescent="0.45">
      <c r="A34" t="s">
        <v>26</v>
      </c>
      <c r="B34">
        <v>138.51101439999999</v>
      </c>
      <c r="C34">
        <v>107.9336512</v>
      </c>
      <c r="D34">
        <f t="shared" ref="D34:D65" si="3">(C34-B34)</f>
        <v>-30.577363199999994</v>
      </c>
      <c r="E34">
        <f t="shared" si="1"/>
        <v>30.577363199999994</v>
      </c>
      <c r="F34">
        <f t="shared" si="2"/>
        <v>934.9751402647139</v>
      </c>
      <c r="I34">
        <v>138.51101439999999</v>
      </c>
    </row>
    <row r="35" spans="1:9" x14ac:dyDescent="0.45">
      <c r="A35" t="s">
        <v>27</v>
      </c>
      <c r="B35">
        <v>127.3927039</v>
      </c>
      <c r="C35">
        <v>128.55683379999999</v>
      </c>
      <c r="D35">
        <f t="shared" si="3"/>
        <v>1.1641298999999918</v>
      </c>
      <c r="E35">
        <f t="shared" si="1"/>
        <v>1.1641298999999918</v>
      </c>
      <c r="F35">
        <f t="shared" si="2"/>
        <v>1.3551984240739909</v>
      </c>
      <c r="I35">
        <v>127.3927039</v>
      </c>
    </row>
    <row r="36" spans="1:9" x14ac:dyDescent="0.45">
      <c r="A36" t="s">
        <v>28</v>
      </c>
      <c r="B36">
        <v>139.7601334</v>
      </c>
      <c r="C36">
        <v>141.3308802</v>
      </c>
      <c r="D36">
        <f t="shared" si="3"/>
        <v>1.5707467999999949</v>
      </c>
      <c r="E36">
        <f t="shared" si="1"/>
        <v>1.5707467999999949</v>
      </c>
      <c r="F36">
        <f t="shared" si="2"/>
        <v>2.4672455097102239</v>
      </c>
      <c r="I36">
        <v>139.7601334</v>
      </c>
    </row>
    <row r="37" spans="1:9" x14ac:dyDescent="0.45">
      <c r="A37" t="s">
        <v>29</v>
      </c>
      <c r="B37">
        <v>126.0882369</v>
      </c>
      <c r="C37">
        <v>128.34160309999999</v>
      </c>
      <c r="D37">
        <f t="shared" si="3"/>
        <v>2.2533661999999879</v>
      </c>
      <c r="E37">
        <f t="shared" si="1"/>
        <v>2.2533661999999879</v>
      </c>
      <c r="F37">
        <f t="shared" si="2"/>
        <v>5.0776592313023858</v>
      </c>
      <c r="I37">
        <v>126.0882369</v>
      </c>
    </row>
    <row r="38" spans="1:9" x14ac:dyDescent="0.45">
      <c r="A38" t="s">
        <v>30</v>
      </c>
      <c r="B38">
        <v>141.2358682</v>
      </c>
      <c r="C38">
        <v>133.85350489999999</v>
      </c>
      <c r="D38">
        <f t="shared" si="3"/>
        <v>-7.3823633000000086</v>
      </c>
      <c r="E38">
        <f t="shared" si="1"/>
        <v>7.3823633000000086</v>
      </c>
      <c r="F38">
        <f t="shared" si="2"/>
        <v>54.499287893187017</v>
      </c>
      <c r="I38">
        <v>141.2358682</v>
      </c>
    </row>
    <row r="39" spans="1:9" x14ac:dyDescent="0.45">
      <c r="A39" t="s">
        <v>31</v>
      </c>
      <c r="B39">
        <v>128.5521717</v>
      </c>
      <c r="C39">
        <v>127.2096404</v>
      </c>
      <c r="D39">
        <f t="shared" si="3"/>
        <v>-1.3425313000000045</v>
      </c>
      <c r="E39">
        <f t="shared" si="1"/>
        <v>1.3425313000000045</v>
      </c>
      <c r="F39">
        <f t="shared" si="2"/>
        <v>1.8023902914797021</v>
      </c>
      <c r="I39">
        <v>128.5521717</v>
      </c>
    </row>
    <row r="40" spans="1:9" x14ac:dyDescent="0.45">
      <c r="A40" t="s">
        <v>127</v>
      </c>
      <c r="B40">
        <v>150.4265346</v>
      </c>
      <c r="C40">
        <v>153.29372459999999</v>
      </c>
      <c r="D40">
        <f t="shared" si="3"/>
        <v>2.8671899999999937</v>
      </c>
      <c r="E40">
        <f t="shared" si="1"/>
        <v>2.8671899999999937</v>
      </c>
      <c r="F40">
        <f t="shared" si="2"/>
        <v>8.2207784960999639</v>
      </c>
      <c r="I40">
        <v>150.4265346</v>
      </c>
    </row>
    <row r="41" spans="1:9" x14ac:dyDescent="0.45">
      <c r="A41" t="s">
        <v>128</v>
      </c>
      <c r="B41">
        <v>130.90285009999999</v>
      </c>
      <c r="C41">
        <v>129.15414999999999</v>
      </c>
      <c r="D41">
        <f t="shared" si="3"/>
        <v>-1.7487001000000078</v>
      </c>
      <c r="E41">
        <f t="shared" si="1"/>
        <v>1.7487001000000078</v>
      </c>
      <c r="F41">
        <f t="shared" si="2"/>
        <v>3.0579520397400373</v>
      </c>
      <c r="I41">
        <v>130.90285009999999</v>
      </c>
    </row>
    <row r="42" spans="1:9" x14ac:dyDescent="0.45">
      <c r="A42" t="s">
        <v>32</v>
      </c>
      <c r="B42">
        <v>119.4068031</v>
      </c>
      <c r="C42">
        <v>120.0802611</v>
      </c>
      <c r="D42">
        <f t="shared" si="3"/>
        <v>0.67345799999999656</v>
      </c>
      <c r="E42">
        <f t="shared" si="1"/>
        <v>0.67345799999999656</v>
      </c>
      <c r="F42">
        <f t="shared" si="2"/>
        <v>0.45354567776399535</v>
      </c>
      <c r="I42">
        <v>119.4068031</v>
      </c>
    </row>
    <row r="43" spans="1:9" x14ac:dyDescent="0.45">
      <c r="A43" t="s">
        <v>33</v>
      </c>
      <c r="B43">
        <v>112.5678539</v>
      </c>
      <c r="C43">
        <v>115.17508599999999</v>
      </c>
      <c r="D43">
        <f t="shared" si="3"/>
        <v>2.6072320999999903</v>
      </c>
      <c r="E43">
        <f t="shared" si="1"/>
        <v>2.6072320999999903</v>
      </c>
      <c r="F43">
        <f t="shared" si="2"/>
        <v>6.797659223270359</v>
      </c>
      <c r="I43">
        <v>112.5678539</v>
      </c>
    </row>
    <row r="44" spans="1:9" x14ac:dyDescent="0.45">
      <c r="A44" t="s">
        <v>34</v>
      </c>
      <c r="B44">
        <v>128.15938059999999</v>
      </c>
      <c r="C44">
        <v>115.91535810000001</v>
      </c>
      <c r="D44">
        <f t="shared" si="3"/>
        <v>-12.244022499999986</v>
      </c>
      <c r="E44">
        <f t="shared" si="1"/>
        <v>12.244022499999986</v>
      </c>
      <c r="F44">
        <f t="shared" si="2"/>
        <v>149.9160869805059</v>
      </c>
      <c r="I44">
        <v>128.15938059999999</v>
      </c>
    </row>
    <row r="45" spans="1:9" x14ac:dyDescent="0.45">
      <c r="A45" t="s">
        <v>35</v>
      </c>
      <c r="B45">
        <v>109.9740984</v>
      </c>
      <c r="C45">
        <v>113.19866949999999</v>
      </c>
      <c r="D45">
        <f t="shared" si="3"/>
        <v>3.2245710999999915</v>
      </c>
      <c r="E45">
        <f t="shared" si="1"/>
        <v>3.2245710999999915</v>
      </c>
      <c r="F45">
        <f t="shared" si="2"/>
        <v>10.397858778955156</v>
      </c>
      <c r="I45">
        <v>109.9740984</v>
      </c>
    </row>
    <row r="46" spans="1:9" x14ac:dyDescent="0.45">
      <c r="A46" t="s">
        <v>36</v>
      </c>
      <c r="B46">
        <v>121.2004554</v>
      </c>
      <c r="C46">
        <v>113.9491232</v>
      </c>
      <c r="D46">
        <f t="shared" si="3"/>
        <v>-7.2513321999999931</v>
      </c>
      <c r="E46">
        <f t="shared" si="1"/>
        <v>7.2513321999999931</v>
      </c>
      <c r="F46">
        <f t="shared" si="2"/>
        <v>52.58181867475674</v>
      </c>
      <c r="I46">
        <v>121.2004554</v>
      </c>
    </row>
    <row r="47" spans="1:9" x14ac:dyDescent="0.45">
      <c r="A47" t="s">
        <v>37</v>
      </c>
      <c r="B47">
        <v>134.97255430000001</v>
      </c>
      <c r="C47">
        <v>132.88440220000001</v>
      </c>
      <c r="D47">
        <f t="shared" si="3"/>
        <v>-2.0881521000000021</v>
      </c>
      <c r="E47">
        <f t="shared" si="1"/>
        <v>2.0881521000000021</v>
      </c>
      <c r="F47">
        <f t="shared" si="2"/>
        <v>4.3603791927344187</v>
      </c>
      <c r="I47">
        <v>134.97255430000001</v>
      </c>
    </row>
    <row r="48" spans="1:9" x14ac:dyDescent="0.45">
      <c r="A48" t="s">
        <v>38</v>
      </c>
      <c r="B48">
        <v>126.22751479999999</v>
      </c>
      <c r="C48">
        <v>132.81226599999999</v>
      </c>
      <c r="D48">
        <f t="shared" si="3"/>
        <v>6.5847511999999995</v>
      </c>
      <c r="E48">
        <f t="shared" si="1"/>
        <v>6.5847511999999995</v>
      </c>
      <c r="F48">
        <f t="shared" si="2"/>
        <v>43.358948365901433</v>
      </c>
      <c r="I48">
        <v>126.22751479999999</v>
      </c>
    </row>
    <row r="49" spans="1:9" x14ac:dyDescent="0.45">
      <c r="A49" t="s">
        <v>39</v>
      </c>
      <c r="B49">
        <v>151.3036439</v>
      </c>
      <c r="C49">
        <v>134.2930854</v>
      </c>
      <c r="D49">
        <f t="shared" si="3"/>
        <v>-17.010558500000002</v>
      </c>
      <c r="E49">
        <f t="shared" si="1"/>
        <v>17.010558500000002</v>
      </c>
      <c r="F49">
        <f t="shared" si="2"/>
        <v>289.35910048192233</v>
      </c>
      <c r="I49">
        <v>151.3036439</v>
      </c>
    </row>
    <row r="50" spans="1:9" x14ac:dyDescent="0.45">
      <c r="A50" t="s">
        <v>40</v>
      </c>
      <c r="B50">
        <v>137.4693001</v>
      </c>
      <c r="C50">
        <v>134.4658259</v>
      </c>
      <c r="D50">
        <f t="shared" si="3"/>
        <v>-3.0034741999999994</v>
      </c>
      <c r="E50">
        <f t="shared" si="1"/>
        <v>3.0034741999999994</v>
      </c>
      <c r="F50">
        <f t="shared" si="2"/>
        <v>9.0208572700656369</v>
      </c>
      <c r="I50">
        <v>137.4693001</v>
      </c>
    </row>
    <row r="51" spans="1:9" x14ac:dyDescent="0.45">
      <c r="A51" t="s">
        <v>41</v>
      </c>
      <c r="B51">
        <v>139.6384501</v>
      </c>
      <c r="C51">
        <v>149.17985110000001</v>
      </c>
      <c r="D51">
        <f t="shared" si="3"/>
        <v>9.5414010000000076</v>
      </c>
      <c r="E51">
        <f t="shared" si="1"/>
        <v>9.5414010000000076</v>
      </c>
      <c r="F51">
        <f t="shared" si="2"/>
        <v>91.038333042801142</v>
      </c>
      <c r="I51">
        <v>139.6384501</v>
      </c>
    </row>
    <row r="52" spans="1:9" x14ac:dyDescent="0.45">
      <c r="A52" t="s">
        <v>42</v>
      </c>
      <c r="B52">
        <v>140.0695059</v>
      </c>
      <c r="C52">
        <v>135.97963050000001</v>
      </c>
      <c r="D52">
        <f t="shared" si="3"/>
        <v>-4.0898753999999826</v>
      </c>
      <c r="E52">
        <f t="shared" si="1"/>
        <v>4.0898753999999826</v>
      </c>
      <c r="F52">
        <f t="shared" si="2"/>
        <v>16.727080787525018</v>
      </c>
      <c r="I52">
        <v>140.0695059</v>
      </c>
    </row>
    <row r="53" spans="1:9" x14ac:dyDescent="0.45">
      <c r="A53" t="s">
        <v>43</v>
      </c>
      <c r="B53">
        <v>134.62152570000001</v>
      </c>
      <c r="C53">
        <v>129.1053282</v>
      </c>
      <c r="D53">
        <f t="shared" si="3"/>
        <v>-5.5161975000000041</v>
      </c>
      <c r="E53">
        <f t="shared" si="1"/>
        <v>5.5161975000000041</v>
      </c>
      <c r="F53">
        <f t="shared" si="2"/>
        <v>30.428434859006295</v>
      </c>
      <c r="I53">
        <v>134.62152570000001</v>
      </c>
    </row>
    <row r="54" spans="1:9" x14ac:dyDescent="0.45">
      <c r="A54" t="s">
        <v>44</v>
      </c>
      <c r="B54">
        <v>137.21778599999999</v>
      </c>
      <c r="C54">
        <v>132.50394650000001</v>
      </c>
      <c r="D54">
        <f t="shared" si="3"/>
        <v>-4.7138394999999775</v>
      </c>
      <c r="E54">
        <f t="shared" si="1"/>
        <v>4.7138394999999775</v>
      </c>
      <c r="F54">
        <f t="shared" si="2"/>
        <v>22.220282831760038</v>
      </c>
      <c r="I54">
        <v>137.21778599999999</v>
      </c>
    </row>
    <row r="55" spans="1:9" x14ac:dyDescent="0.45">
      <c r="A55" t="s">
        <v>45</v>
      </c>
      <c r="B55">
        <v>154.65488189999999</v>
      </c>
      <c r="C55">
        <v>159.66201419999999</v>
      </c>
      <c r="D55">
        <f t="shared" si="3"/>
        <v>5.007132299999995</v>
      </c>
      <c r="E55">
        <f t="shared" si="1"/>
        <v>5.007132299999995</v>
      </c>
      <c r="F55">
        <f t="shared" si="2"/>
        <v>25.07137386970324</v>
      </c>
      <c r="I55">
        <v>154.65488189999999</v>
      </c>
    </row>
    <row r="56" spans="1:9" x14ac:dyDescent="0.45">
      <c r="A56" t="s">
        <v>46</v>
      </c>
      <c r="B56">
        <v>108.796993</v>
      </c>
      <c r="C56">
        <v>94.667070649999999</v>
      </c>
      <c r="D56">
        <f t="shared" si="3"/>
        <v>-14.129922350000001</v>
      </c>
      <c r="E56">
        <f t="shared" si="1"/>
        <v>14.129922350000001</v>
      </c>
      <c r="F56">
        <f t="shared" si="2"/>
        <v>199.65470561702955</v>
      </c>
      <c r="I56">
        <v>108.796993</v>
      </c>
    </row>
    <row r="57" spans="1:9" x14ac:dyDescent="0.45">
      <c r="A57" t="s">
        <v>47</v>
      </c>
      <c r="B57">
        <v>138.43847959999999</v>
      </c>
      <c r="C57">
        <v>135.0354561</v>
      </c>
      <c r="D57">
        <f t="shared" si="3"/>
        <v>-3.4030234999999891</v>
      </c>
      <c r="E57">
        <f t="shared" si="1"/>
        <v>3.4030234999999891</v>
      </c>
      <c r="F57">
        <f t="shared" si="2"/>
        <v>11.580568941552176</v>
      </c>
      <c r="I57">
        <v>138.43847959999999</v>
      </c>
    </row>
    <row r="58" spans="1:9" x14ac:dyDescent="0.45">
      <c r="A58" t="s">
        <v>48</v>
      </c>
      <c r="B58">
        <v>132.99519570000001</v>
      </c>
      <c r="C58">
        <v>127.6885339</v>
      </c>
      <c r="D58">
        <f t="shared" si="3"/>
        <v>-5.3066618000000148</v>
      </c>
      <c r="E58">
        <f t="shared" si="1"/>
        <v>5.3066618000000148</v>
      </c>
      <c r="F58">
        <f t="shared" si="2"/>
        <v>28.160659459579396</v>
      </c>
      <c r="I58">
        <v>132.99519570000001</v>
      </c>
    </row>
    <row r="59" spans="1:9" x14ac:dyDescent="0.45">
      <c r="A59" t="s">
        <v>49</v>
      </c>
      <c r="B59">
        <v>112.62195989999999</v>
      </c>
      <c r="C59">
        <v>122.6077355</v>
      </c>
      <c r="D59">
        <f t="shared" si="3"/>
        <v>9.9857756000000109</v>
      </c>
      <c r="E59">
        <f t="shared" si="1"/>
        <v>9.9857756000000109</v>
      </c>
      <c r="F59">
        <f t="shared" si="2"/>
        <v>99.715714333555582</v>
      </c>
      <c r="I59">
        <v>112.62195989999999</v>
      </c>
    </row>
    <row r="60" spans="1:9" x14ac:dyDescent="0.45">
      <c r="A60" t="s">
        <v>50</v>
      </c>
      <c r="B60">
        <v>111.2758498</v>
      </c>
      <c r="C60">
        <v>137.08376390000001</v>
      </c>
      <c r="D60">
        <f t="shared" si="3"/>
        <v>25.807914100000005</v>
      </c>
      <c r="E60">
        <f t="shared" si="1"/>
        <v>25.807914100000005</v>
      </c>
      <c r="F60">
        <f t="shared" si="2"/>
        <v>666.04843019297903</v>
      </c>
      <c r="I60">
        <v>111.2758498</v>
      </c>
    </row>
    <row r="61" spans="1:9" x14ac:dyDescent="0.45">
      <c r="A61" t="s">
        <v>51</v>
      </c>
      <c r="B61">
        <v>132.24393140000001</v>
      </c>
      <c r="C61">
        <v>144.63748290000001</v>
      </c>
      <c r="D61">
        <f t="shared" si="3"/>
        <v>12.393551500000001</v>
      </c>
      <c r="E61">
        <f t="shared" si="1"/>
        <v>12.393551500000001</v>
      </c>
      <c r="F61">
        <f t="shared" si="2"/>
        <v>153.60011878315228</v>
      </c>
      <c r="I61">
        <v>132.24393140000001</v>
      </c>
    </row>
    <row r="62" spans="1:9" x14ac:dyDescent="0.45">
      <c r="A62" t="s">
        <v>52</v>
      </c>
      <c r="B62">
        <v>147.2991442</v>
      </c>
      <c r="C62">
        <v>146.45290739999999</v>
      </c>
      <c r="D62">
        <f t="shared" si="3"/>
        <v>-0.846236800000014</v>
      </c>
      <c r="E62">
        <f t="shared" si="1"/>
        <v>0.846236800000014</v>
      </c>
      <c r="F62">
        <f t="shared" si="2"/>
        <v>0.71611672167426366</v>
      </c>
      <c r="I62">
        <v>147.2991442</v>
      </c>
    </row>
    <row r="63" spans="1:9" x14ac:dyDescent="0.45">
      <c r="A63" t="s">
        <v>53</v>
      </c>
      <c r="B63">
        <v>116.7480722</v>
      </c>
      <c r="C63">
        <v>111.05977900000001</v>
      </c>
      <c r="D63">
        <f t="shared" si="3"/>
        <v>-5.6882931999999897</v>
      </c>
      <c r="E63">
        <f t="shared" si="1"/>
        <v>5.6882931999999897</v>
      </c>
      <c r="F63">
        <f t="shared" si="2"/>
        <v>32.356679529166122</v>
      </c>
      <c r="I63">
        <v>116.7480722</v>
      </c>
    </row>
    <row r="64" spans="1:9" x14ac:dyDescent="0.45">
      <c r="A64" t="s">
        <v>129</v>
      </c>
      <c r="B64">
        <v>141.4308857</v>
      </c>
      <c r="C64">
        <v>141.18140750000001</v>
      </c>
      <c r="D64">
        <f t="shared" si="3"/>
        <v>-0.24947819999999865</v>
      </c>
      <c r="E64">
        <f t="shared" si="1"/>
        <v>0.24947819999999865</v>
      </c>
      <c r="F64">
        <f t="shared" si="2"/>
        <v>6.2239372275239326E-2</v>
      </c>
      <c r="I64">
        <v>141.4308857</v>
      </c>
    </row>
    <row r="65" spans="1:9" x14ac:dyDescent="0.45">
      <c r="A65" t="s">
        <v>130</v>
      </c>
      <c r="B65">
        <v>129.84754459999999</v>
      </c>
      <c r="C65">
        <v>138.28289129999999</v>
      </c>
      <c r="D65">
        <f t="shared" si="3"/>
        <v>8.4353466999999966</v>
      </c>
      <c r="E65">
        <f t="shared" si="1"/>
        <v>8.4353466999999966</v>
      </c>
      <c r="F65">
        <f t="shared" si="2"/>
        <v>71.15507394920084</v>
      </c>
      <c r="I65">
        <v>129.84754459999999</v>
      </c>
    </row>
    <row r="66" spans="1:9" x14ac:dyDescent="0.45">
      <c r="A66" t="s">
        <v>54</v>
      </c>
      <c r="B66">
        <v>128.47991590000001</v>
      </c>
      <c r="C66">
        <v>132.199376</v>
      </c>
      <c r="D66">
        <f t="shared" ref="D66:D97" si="4">(C66-B66)</f>
        <v>3.7194600999999921</v>
      </c>
      <c r="E66">
        <f t="shared" ref="E66:E129" si="5">ABS(D66)</f>
        <v>3.7194600999999921</v>
      </c>
      <c r="F66">
        <f t="shared" ref="F66:F129" si="6">E66^2</f>
        <v>13.834383435491951</v>
      </c>
      <c r="I66">
        <v>128.47991590000001</v>
      </c>
    </row>
    <row r="67" spans="1:9" x14ac:dyDescent="0.45">
      <c r="A67" t="s">
        <v>55</v>
      </c>
      <c r="B67">
        <v>144.5802429</v>
      </c>
      <c r="C67">
        <v>136.07625049999999</v>
      </c>
      <c r="D67">
        <f t="shared" si="4"/>
        <v>-8.5039924000000156</v>
      </c>
      <c r="E67">
        <f t="shared" si="5"/>
        <v>8.5039924000000156</v>
      </c>
      <c r="F67">
        <f t="shared" si="6"/>
        <v>72.317886739258029</v>
      </c>
      <c r="I67">
        <v>144.5802429</v>
      </c>
    </row>
    <row r="68" spans="1:9" x14ac:dyDescent="0.45">
      <c r="A68" t="s">
        <v>56</v>
      </c>
      <c r="B68">
        <v>145.34919339999999</v>
      </c>
      <c r="C68">
        <v>144.66384740000001</v>
      </c>
      <c r="D68">
        <f t="shared" si="4"/>
        <v>-0.68534599999998136</v>
      </c>
      <c r="E68">
        <f t="shared" si="5"/>
        <v>0.68534599999998136</v>
      </c>
      <c r="F68">
        <f t="shared" si="6"/>
        <v>0.46969913971597443</v>
      </c>
      <c r="I68">
        <v>145.34919339999999</v>
      </c>
    </row>
    <row r="69" spans="1:9" x14ac:dyDescent="0.45">
      <c r="A69" t="s">
        <v>57</v>
      </c>
      <c r="B69">
        <v>130.84493499999999</v>
      </c>
      <c r="C69">
        <v>132.92938359999999</v>
      </c>
      <c r="D69">
        <f t="shared" si="4"/>
        <v>2.0844486000000018</v>
      </c>
      <c r="E69">
        <f t="shared" si="5"/>
        <v>2.0844486000000018</v>
      </c>
      <c r="F69">
        <f t="shared" si="6"/>
        <v>4.3449259660419672</v>
      </c>
      <c r="I69">
        <v>130.84493499999999</v>
      </c>
    </row>
    <row r="70" spans="1:9" x14ac:dyDescent="0.45">
      <c r="A70" t="s">
        <v>58</v>
      </c>
      <c r="B70">
        <v>145.5841355</v>
      </c>
      <c r="C70">
        <v>149.2756009</v>
      </c>
      <c r="D70">
        <f t="shared" si="4"/>
        <v>3.6914653999999985</v>
      </c>
      <c r="E70">
        <f t="shared" si="5"/>
        <v>3.6914653999999985</v>
      </c>
      <c r="F70">
        <f t="shared" si="6"/>
        <v>13.626916799397149</v>
      </c>
      <c r="I70">
        <v>145.5841355</v>
      </c>
    </row>
    <row r="71" spans="1:9" x14ac:dyDescent="0.45">
      <c r="A71" t="s">
        <v>131</v>
      </c>
      <c r="B71">
        <v>147.19196640000001</v>
      </c>
      <c r="C71">
        <v>148.47169249999999</v>
      </c>
      <c r="D71">
        <f t="shared" si="4"/>
        <v>1.2797260999999764</v>
      </c>
      <c r="E71">
        <f t="shared" si="5"/>
        <v>1.2797260999999764</v>
      </c>
      <c r="F71">
        <f t="shared" si="6"/>
        <v>1.6376988910211496</v>
      </c>
      <c r="I71">
        <v>147.19196640000001</v>
      </c>
    </row>
    <row r="72" spans="1:9" x14ac:dyDescent="0.45">
      <c r="A72" t="s">
        <v>132</v>
      </c>
      <c r="B72">
        <v>121.4524603</v>
      </c>
      <c r="C72">
        <v>118.3302419</v>
      </c>
      <c r="D72">
        <f t="shared" si="4"/>
        <v>-3.1222183999999942</v>
      </c>
      <c r="E72">
        <f t="shared" si="5"/>
        <v>3.1222183999999942</v>
      </c>
      <c r="F72">
        <f t="shared" si="6"/>
        <v>9.7482477372985237</v>
      </c>
      <c r="I72">
        <v>121.4524603</v>
      </c>
    </row>
    <row r="73" spans="1:9" x14ac:dyDescent="0.45">
      <c r="A73" t="s">
        <v>133</v>
      </c>
      <c r="B73">
        <v>137.3176881</v>
      </c>
      <c r="C73">
        <v>127.5392095</v>
      </c>
      <c r="D73">
        <f t="shared" si="4"/>
        <v>-9.7784785999999997</v>
      </c>
      <c r="E73">
        <f t="shared" si="5"/>
        <v>9.7784785999999997</v>
      </c>
      <c r="F73">
        <f t="shared" si="6"/>
        <v>95.618643730657951</v>
      </c>
      <c r="I73">
        <v>137.3176881</v>
      </c>
    </row>
    <row r="74" spans="1:9" x14ac:dyDescent="0.45">
      <c r="A74" t="s">
        <v>59</v>
      </c>
      <c r="B74">
        <v>112.8314324</v>
      </c>
      <c r="C74">
        <v>120.19113350000001</v>
      </c>
      <c r="D74">
        <f t="shared" si="4"/>
        <v>7.3597011000000094</v>
      </c>
      <c r="E74">
        <f t="shared" si="5"/>
        <v>7.3597011000000094</v>
      </c>
      <c r="F74">
        <f t="shared" si="6"/>
        <v>54.165200281341349</v>
      </c>
      <c r="I74">
        <v>112.8314324</v>
      </c>
    </row>
    <row r="75" spans="1:9" x14ac:dyDescent="0.45">
      <c r="A75" t="s">
        <v>60</v>
      </c>
      <c r="B75">
        <v>111.1817353</v>
      </c>
      <c r="C75">
        <v>111.95590079999999</v>
      </c>
      <c r="D75">
        <f t="shared" si="4"/>
        <v>0.77416549999999518</v>
      </c>
      <c r="E75">
        <f t="shared" si="5"/>
        <v>0.77416549999999518</v>
      </c>
      <c r="F75">
        <f t="shared" si="6"/>
        <v>0.59933222139024256</v>
      </c>
      <c r="I75">
        <v>111.1817353</v>
      </c>
    </row>
    <row r="76" spans="1:9" x14ac:dyDescent="0.45">
      <c r="A76" t="s">
        <v>61</v>
      </c>
      <c r="B76">
        <v>125.0278587</v>
      </c>
      <c r="C76">
        <v>124.3139633</v>
      </c>
      <c r="D76">
        <f t="shared" si="4"/>
        <v>-0.7138953999999984</v>
      </c>
      <c r="E76">
        <f t="shared" si="5"/>
        <v>0.7138953999999984</v>
      </c>
      <c r="F76">
        <f t="shared" si="6"/>
        <v>0.50964664214115774</v>
      </c>
      <c r="I76">
        <v>125.0278587</v>
      </c>
    </row>
    <row r="77" spans="1:9" x14ac:dyDescent="0.45">
      <c r="A77" t="s">
        <v>62</v>
      </c>
      <c r="B77">
        <v>126.37454750000001</v>
      </c>
      <c r="C77">
        <v>120.4786149</v>
      </c>
      <c r="D77">
        <f t="shared" si="4"/>
        <v>-5.895932600000009</v>
      </c>
      <c r="E77">
        <f t="shared" si="5"/>
        <v>5.895932600000009</v>
      </c>
      <c r="F77">
        <f t="shared" si="6"/>
        <v>34.762021223742863</v>
      </c>
      <c r="I77">
        <v>126.37454750000001</v>
      </c>
    </row>
    <row r="78" spans="1:9" x14ac:dyDescent="0.45">
      <c r="A78" t="s">
        <v>63</v>
      </c>
      <c r="B78">
        <v>136.1596898</v>
      </c>
      <c r="C78">
        <v>139.35526290000001</v>
      </c>
      <c r="D78">
        <f t="shared" si="4"/>
        <v>3.1955731000000185</v>
      </c>
      <c r="E78">
        <f t="shared" si="5"/>
        <v>3.1955731000000185</v>
      </c>
      <c r="F78">
        <f t="shared" si="6"/>
        <v>10.211687437443729</v>
      </c>
      <c r="I78">
        <v>136.1596898</v>
      </c>
    </row>
    <row r="79" spans="1:9" x14ac:dyDescent="0.45">
      <c r="A79" t="s">
        <v>64</v>
      </c>
      <c r="B79">
        <v>140.88457550000001</v>
      </c>
      <c r="C79">
        <v>137.05484849999999</v>
      </c>
      <c r="D79">
        <f t="shared" si="4"/>
        <v>-3.8297270000000196</v>
      </c>
      <c r="E79">
        <f t="shared" si="5"/>
        <v>3.8297270000000196</v>
      </c>
      <c r="F79">
        <f t="shared" si="6"/>
        <v>14.666808894529151</v>
      </c>
      <c r="I79">
        <v>140.88457550000001</v>
      </c>
    </row>
    <row r="80" spans="1:9" x14ac:dyDescent="0.45">
      <c r="A80" t="s">
        <v>65</v>
      </c>
      <c r="B80">
        <v>126.0338038</v>
      </c>
      <c r="C80">
        <v>131.4272172</v>
      </c>
      <c r="D80">
        <f t="shared" si="4"/>
        <v>5.3934134</v>
      </c>
      <c r="E80">
        <f t="shared" si="5"/>
        <v>5.3934134</v>
      </c>
      <c r="F80">
        <f t="shared" si="6"/>
        <v>29.088908103299559</v>
      </c>
      <c r="I80">
        <v>126.0338038</v>
      </c>
    </row>
    <row r="81" spans="1:9" x14ac:dyDescent="0.45">
      <c r="A81" t="s">
        <v>66</v>
      </c>
      <c r="B81">
        <v>122.3075886</v>
      </c>
      <c r="C81">
        <v>117.9254816</v>
      </c>
      <c r="D81">
        <f t="shared" si="4"/>
        <v>-4.3821070000000049</v>
      </c>
      <c r="E81">
        <f t="shared" si="5"/>
        <v>4.3821070000000049</v>
      </c>
      <c r="F81">
        <f t="shared" si="6"/>
        <v>19.202861759449043</v>
      </c>
      <c r="I81">
        <v>122.3075886</v>
      </c>
    </row>
    <row r="82" spans="1:9" x14ac:dyDescent="0.45">
      <c r="A82" t="s">
        <v>67</v>
      </c>
      <c r="B82">
        <v>135.64258100000001</v>
      </c>
      <c r="C82">
        <v>135.29658370000001</v>
      </c>
      <c r="D82">
        <f t="shared" si="4"/>
        <v>-0.3459972999999934</v>
      </c>
      <c r="E82">
        <f t="shared" si="5"/>
        <v>0.3459972999999934</v>
      </c>
      <c r="F82">
        <f t="shared" si="6"/>
        <v>0.11971413160728543</v>
      </c>
      <c r="I82">
        <v>135.64258100000001</v>
      </c>
    </row>
    <row r="83" spans="1:9" x14ac:dyDescent="0.45">
      <c r="A83" t="s">
        <v>134</v>
      </c>
      <c r="B83">
        <v>144.08759699999999</v>
      </c>
      <c r="C83">
        <v>137.3557089</v>
      </c>
      <c r="D83">
        <f t="shared" si="4"/>
        <v>-6.7318880999999919</v>
      </c>
      <c r="E83">
        <f t="shared" si="5"/>
        <v>6.7318880999999919</v>
      </c>
      <c r="F83">
        <f t="shared" si="6"/>
        <v>45.3183173909215</v>
      </c>
      <c r="I83">
        <v>144.08759699999999</v>
      </c>
    </row>
    <row r="84" spans="1:9" x14ac:dyDescent="0.45">
      <c r="A84" t="s">
        <v>135</v>
      </c>
      <c r="B84">
        <v>161.29237140000001</v>
      </c>
      <c r="C84">
        <v>176.2996028</v>
      </c>
      <c r="D84">
        <f t="shared" si="4"/>
        <v>15.007231399999995</v>
      </c>
      <c r="E84">
        <f t="shared" si="5"/>
        <v>15.007231399999995</v>
      </c>
      <c r="F84">
        <f t="shared" si="6"/>
        <v>225.2169942931458</v>
      </c>
      <c r="I84">
        <v>161.29237140000001</v>
      </c>
    </row>
    <row r="85" spans="1:9" x14ac:dyDescent="0.45">
      <c r="A85" t="s">
        <v>136</v>
      </c>
      <c r="B85">
        <v>141.58851319999999</v>
      </c>
      <c r="C85">
        <v>133.3964618</v>
      </c>
      <c r="D85">
        <f t="shared" si="4"/>
        <v>-8.1920513999999969</v>
      </c>
      <c r="E85">
        <f t="shared" si="5"/>
        <v>8.1920513999999969</v>
      </c>
      <c r="F85">
        <f t="shared" si="6"/>
        <v>67.109706140241911</v>
      </c>
      <c r="I85">
        <v>141.58851319999999</v>
      </c>
    </row>
    <row r="86" spans="1:9" x14ac:dyDescent="0.45">
      <c r="A86" t="s">
        <v>137</v>
      </c>
      <c r="B86">
        <v>117.0158136</v>
      </c>
      <c r="C86">
        <v>116.8467543</v>
      </c>
      <c r="D86">
        <f t="shared" si="4"/>
        <v>-0.16905930000000069</v>
      </c>
      <c r="E86">
        <f t="shared" si="5"/>
        <v>0.16905930000000069</v>
      </c>
      <c r="F86">
        <f t="shared" si="6"/>
        <v>2.8581046916490233E-2</v>
      </c>
      <c r="I86">
        <v>117.0158136</v>
      </c>
    </row>
    <row r="87" spans="1:9" x14ac:dyDescent="0.45">
      <c r="A87" t="s">
        <v>138</v>
      </c>
      <c r="B87">
        <v>108.8516776</v>
      </c>
      <c r="C87">
        <v>107.68652760000001</v>
      </c>
      <c r="D87">
        <f t="shared" si="4"/>
        <v>-1.165149999999997</v>
      </c>
      <c r="E87">
        <f t="shared" si="5"/>
        <v>1.165149999999997</v>
      </c>
      <c r="F87">
        <f t="shared" si="6"/>
        <v>1.3575745224999931</v>
      </c>
      <c r="I87">
        <v>108.8516776</v>
      </c>
    </row>
    <row r="88" spans="1:9" x14ac:dyDescent="0.45">
      <c r="A88" t="s">
        <v>68</v>
      </c>
      <c r="B88">
        <v>136.67041560000001</v>
      </c>
      <c r="C88">
        <v>107.53065599999999</v>
      </c>
      <c r="D88">
        <f t="shared" si="4"/>
        <v>-29.139759600000019</v>
      </c>
      <c r="E88">
        <f t="shared" si="5"/>
        <v>29.139759600000019</v>
      </c>
      <c r="F88">
        <f t="shared" si="6"/>
        <v>849.12558954579333</v>
      </c>
      <c r="I88">
        <v>136.67041560000001</v>
      </c>
    </row>
    <row r="89" spans="1:9" x14ac:dyDescent="0.45">
      <c r="A89" t="s">
        <v>69</v>
      </c>
      <c r="B89">
        <v>142.5338849</v>
      </c>
      <c r="C89">
        <v>155.2675783</v>
      </c>
      <c r="D89">
        <f t="shared" si="4"/>
        <v>12.733693399999993</v>
      </c>
      <c r="E89">
        <f t="shared" si="5"/>
        <v>12.733693399999993</v>
      </c>
      <c r="F89">
        <f t="shared" si="6"/>
        <v>162.14694760520337</v>
      </c>
      <c r="I89">
        <v>142.5338849</v>
      </c>
    </row>
    <row r="90" spans="1:9" x14ac:dyDescent="0.45">
      <c r="A90" t="s">
        <v>70</v>
      </c>
      <c r="B90">
        <v>162.63265580000001</v>
      </c>
      <c r="C90">
        <v>153.73811929999999</v>
      </c>
      <c r="D90">
        <f t="shared" si="4"/>
        <v>-8.8945365000000152</v>
      </c>
      <c r="E90">
        <f t="shared" si="5"/>
        <v>8.8945365000000152</v>
      </c>
      <c r="F90">
        <f t="shared" si="6"/>
        <v>79.112779549832524</v>
      </c>
      <c r="I90">
        <v>162.63265580000001</v>
      </c>
    </row>
    <row r="91" spans="1:9" x14ac:dyDescent="0.45">
      <c r="A91" t="s">
        <v>71</v>
      </c>
      <c r="B91">
        <v>145.93357230000001</v>
      </c>
      <c r="C91">
        <v>156.46593060000001</v>
      </c>
      <c r="D91">
        <f t="shared" si="4"/>
        <v>10.532358299999999</v>
      </c>
      <c r="E91">
        <f t="shared" si="5"/>
        <v>10.532358299999999</v>
      </c>
      <c r="F91">
        <f t="shared" si="6"/>
        <v>110.93057135957886</v>
      </c>
      <c r="I91">
        <v>145.93357230000001</v>
      </c>
    </row>
    <row r="92" spans="1:9" x14ac:dyDescent="0.45">
      <c r="A92" t="s">
        <v>72</v>
      </c>
      <c r="B92">
        <v>134.2149622</v>
      </c>
      <c r="C92">
        <v>130.1671097</v>
      </c>
      <c r="D92">
        <f t="shared" si="4"/>
        <v>-4.0478525000000047</v>
      </c>
      <c r="E92">
        <f t="shared" si="5"/>
        <v>4.0478525000000047</v>
      </c>
      <c r="F92">
        <f t="shared" si="6"/>
        <v>16.385109861756288</v>
      </c>
      <c r="I92">
        <v>134.2149622</v>
      </c>
    </row>
    <row r="93" spans="1:9" x14ac:dyDescent="0.45">
      <c r="A93" t="s">
        <v>73</v>
      </c>
      <c r="B93">
        <v>131.34146630000001</v>
      </c>
      <c r="C93">
        <v>132.2376884</v>
      </c>
      <c r="D93">
        <f t="shared" si="4"/>
        <v>0.89622209999998859</v>
      </c>
      <c r="E93">
        <f t="shared" si="5"/>
        <v>0.89622209999998859</v>
      </c>
      <c r="F93">
        <f t="shared" si="6"/>
        <v>0.80321405252838951</v>
      </c>
      <c r="I93">
        <v>131.34146630000001</v>
      </c>
    </row>
    <row r="94" spans="1:9" x14ac:dyDescent="0.45">
      <c r="A94" t="s">
        <v>74</v>
      </c>
      <c r="B94">
        <v>130.9559892</v>
      </c>
      <c r="C94">
        <v>135.80124169999999</v>
      </c>
      <c r="D94">
        <f t="shared" si="4"/>
        <v>4.8452524999999866</v>
      </c>
      <c r="E94">
        <f t="shared" si="5"/>
        <v>4.8452524999999866</v>
      </c>
      <c r="F94">
        <f t="shared" si="6"/>
        <v>23.476471788756122</v>
      </c>
      <c r="I94">
        <v>130.9559892</v>
      </c>
    </row>
    <row r="95" spans="1:9" x14ac:dyDescent="0.45">
      <c r="A95" t="s">
        <v>75</v>
      </c>
      <c r="B95">
        <v>133.53523809999999</v>
      </c>
      <c r="C95">
        <v>131.9047363</v>
      </c>
      <c r="D95">
        <f t="shared" si="4"/>
        <v>-1.6305017999999905</v>
      </c>
      <c r="E95">
        <f t="shared" si="5"/>
        <v>1.6305017999999905</v>
      </c>
      <c r="F95">
        <f t="shared" si="6"/>
        <v>2.6585361198032089</v>
      </c>
      <c r="I95">
        <v>133.53523809999999</v>
      </c>
    </row>
    <row r="96" spans="1:9" x14ac:dyDescent="0.45">
      <c r="A96" t="s">
        <v>76</v>
      </c>
      <c r="B96">
        <v>147.30211499999999</v>
      </c>
      <c r="C96">
        <v>158.0168754</v>
      </c>
      <c r="D96">
        <f t="shared" si="4"/>
        <v>10.714760400000017</v>
      </c>
      <c r="E96">
        <f t="shared" si="5"/>
        <v>10.714760400000017</v>
      </c>
      <c r="F96">
        <f t="shared" si="6"/>
        <v>114.80609042940853</v>
      </c>
      <c r="I96">
        <v>147.30211499999999</v>
      </c>
    </row>
    <row r="97" spans="1:9" x14ac:dyDescent="0.45">
      <c r="A97" t="s">
        <v>77</v>
      </c>
      <c r="B97">
        <v>133.53992880000001</v>
      </c>
      <c r="C97">
        <v>140.99184149999999</v>
      </c>
      <c r="D97">
        <f t="shared" si="4"/>
        <v>7.4519126999999798</v>
      </c>
      <c r="E97">
        <f t="shared" si="5"/>
        <v>7.4519126999999798</v>
      </c>
      <c r="F97">
        <f t="shared" si="6"/>
        <v>55.531002888420993</v>
      </c>
      <c r="I97">
        <v>133.53992880000001</v>
      </c>
    </row>
    <row r="98" spans="1:9" x14ac:dyDescent="0.45">
      <c r="A98" t="s">
        <v>78</v>
      </c>
      <c r="B98">
        <v>156.86695779999999</v>
      </c>
      <c r="C98">
        <v>153.29514940000001</v>
      </c>
      <c r="D98">
        <f t="shared" ref="D98:D129" si="7">(C98-B98)</f>
        <v>-3.5718083999999806</v>
      </c>
      <c r="E98">
        <f t="shared" si="5"/>
        <v>3.5718083999999806</v>
      </c>
      <c r="F98">
        <f t="shared" si="6"/>
        <v>12.757815246310422</v>
      </c>
      <c r="I98">
        <v>156.86695779999999</v>
      </c>
    </row>
    <row r="99" spans="1:9" x14ac:dyDescent="0.45">
      <c r="A99" t="s">
        <v>79</v>
      </c>
      <c r="B99">
        <v>124.5732766</v>
      </c>
      <c r="C99">
        <v>121.9578987</v>
      </c>
      <c r="D99">
        <f t="shared" si="7"/>
        <v>-2.6153778999999986</v>
      </c>
      <c r="E99">
        <f t="shared" si="5"/>
        <v>2.6153778999999986</v>
      </c>
      <c r="F99">
        <f t="shared" si="6"/>
        <v>6.8402015598084027</v>
      </c>
      <c r="I99">
        <v>124.5732766</v>
      </c>
    </row>
    <row r="100" spans="1:9" x14ac:dyDescent="0.45">
      <c r="A100" t="s">
        <v>80</v>
      </c>
      <c r="B100">
        <v>101.7889271</v>
      </c>
      <c r="C100">
        <v>132.0621337</v>
      </c>
      <c r="D100">
        <f t="shared" si="7"/>
        <v>30.273206600000009</v>
      </c>
      <c r="E100">
        <f t="shared" si="5"/>
        <v>30.273206600000009</v>
      </c>
      <c r="F100">
        <f t="shared" si="6"/>
        <v>916.46703784628414</v>
      </c>
      <c r="I100">
        <v>101.7889271</v>
      </c>
    </row>
    <row r="101" spans="1:9" x14ac:dyDescent="0.45">
      <c r="A101" t="s">
        <v>81</v>
      </c>
      <c r="B101">
        <v>117.3492947</v>
      </c>
      <c r="C101">
        <v>116.7914127</v>
      </c>
      <c r="D101">
        <f t="shared" si="7"/>
        <v>-0.55788200000000643</v>
      </c>
      <c r="E101">
        <f t="shared" si="5"/>
        <v>0.55788200000000643</v>
      </c>
      <c r="F101">
        <f t="shared" si="6"/>
        <v>0.31123232592400718</v>
      </c>
      <c r="I101">
        <v>117.3492947</v>
      </c>
    </row>
    <row r="102" spans="1:9" x14ac:dyDescent="0.45">
      <c r="A102" t="s">
        <v>82</v>
      </c>
      <c r="B102">
        <v>110.52889759999999</v>
      </c>
      <c r="C102">
        <v>87.326117740000001</v>
      </c>
      <c r="D102">
        <f t="shared" si="7"/>
        <v>-23.202779859999993</v>
      </c>
      <c r="E102">
        <f t="shared" si="5"/>
        <v>23.202779859999993</v>
      </c>
      <c r="F102">
        <f t="shared" si="6"/>
        <v>538.36899323162129</v>
      </c>
      <c r="I102">
        <v>110.52889759999999</v>
      </c>
    </row>
    <row r="103" spans="1:9" x14ac:dyDescent="0.45">
      <c r="A103" t="s">
        <v>83</v>
      </c>
      <c r="B103">
        <v>115.17836869999999</v>
      </c>
      <c r="C103">
        <v>115.10782380000001</v>
      </c>
      <c r="D103">
        <f t="shared" si="7"/>
        <v>-7.0544899999987365E-2</v>
      </c>
      <c r="E103">
        <f t="shared" si="5"/>
        <v>7.0544899999987365E-2</v>
      </c>
      <c r="F103">
        <f t="shared" si="6"/>
        <v>4.9765829160082174E-3</v>
      </c>
      <c r="I103">
        <v>115.17836869999999</v>
      </c>
    </row>
    <row r="104" spans="1:9" x14ac:dyDescent="0.45">
      <c r="A104" t="s">
        <v>84</v>
      </c>
      <c r="B104">
        <v>129.3638421</v>
      </c>
      <c r="C104">
        <v>124.2964161</v>
      </c>
      <c r="D104">
        <f t="shared" si="7"/>
        <v>-5.0674259999999975</v>
      </c>
      <c r="E104">
        <f t="shared" si="5"/>
        <v>5.0674259999999975</v>
      </c>
      <c r="F104">
        <f t="shared" si="6"/>
        <v>25.678806265475973</v>
      </c>
      <c r="I104">
        <v>129.3638421</v>
      </c>
    </row>
    <row r="105" spans="1:9" x14ac:dyDescent="0.45">
      <c r="A105" t="s">
        <v>139</v>
      </c>
      <c r="B105">
        <v>150.15055240000001</v>
      </c>
      <c r="C105">
        <v>153.320987</v>
      </c>
      <c r="D105">
        <f t="shared" si="7"/>
        <v>3.170434599999993</v>
      </c>
      <c r="E105">
        <f t="shared" si="5"/>
        <v>3.170434599999993</v>
      </c>
      <c r="F105">
        <f t="shared" si="6"/>
        <v>10.051655552877115</v>
      </c>
      <c r="I105">
        <v>150.15055240000001</v>
      </c>
    </row>
    <row r="106" spans="1:9" x14ac:dyDescent="0.45">
      <c r="A106" t="s">
        <v>140</v>
      </c>
      <c r="B106">
        <v>135.87563489999999</v>
      </c>
      <c r="C106">
        <v>140.08047740000001</v>
      </c>
      <c r="D106">
        <f t="shared" si="7"/>
        <v>4.2048425000000123</v>
      </c>
      <c r="E106">
        <f t="shared" si="5"/>
        <v>4.2048425000000123</v>
      </c>
      <c r="F106">
        <f t="shared" si="6"/>
        <v>17.680700449806352</v>
      </c>
      <c r="I106">
        <v>135.87563489999999</v>
      </c>
    </row>
    <row r="107" spans="1:9" x14ac:dyDescent="0.45">
      <c r="A107" t="s">
        <v>85</v>
      </c>
      <c r="B107">
        <v>120.03232029999999</v>
      </c>
      <c r="C107">
        <v>125.36968109999999</v>
      </c>
      <c r="D107">
        <f t="shared" si="7"/>
        <v>5.337360799999999</v>
      </c>
      <c r="E107">
        <f t="shared" si="5"/>
        <v>5.337360799999999</v>
      </c>
      <c r="F107">
        <f t="shared" si="6"/>
        <v>28.487420309376631</v>
      </c>
      <c r="I107">
        <v>120.03232029999999</v>
      </c>
    </row>
    <row r="108" spans="1:9" x14ac:dyDescent="0.45">
      <c r="A108" t="s">
        <v>86</v>
      </c>
      <c r="B108">
        <v>115.1770267</v>
      </c>
      <c r="C108">
        <v>119.7542826</v>
      </c>
      <c r="D108">
        <f t="shared" si="7"/>
        <v>4.5772558999999973</v>
      </c>
      <c r="E108">
        <f t="shared" si="5"/>
        <v>4.5772558999999973</v>
      </c>
      <c r="F108">
        <f t="shared" si="6"/>
        <v>20.951271574084785</v>
      </c>
      <c r="I108">
        <v>115.1770267</v>
      </c>
    </row>
    <row r="109" spans="1:9" x14ac:dyDescent="0.45">
      <c r="A109" t="s">
        <v>87</v>
      </c>
      <c r="B109">
        <v>114.63269409999999</v>
      </c>
      <c r="C109">
        <v>138.40904449999999</v>
      </c>
      <c r="D109">
        <f t="shared" si="7"/>
        <v>23.776350399999998</v>
      </c>
      <c r="E109">
        <f t="shared" si="5"/>
        <v>23.776350399999998</v>
      </c>
      <c r="F109">
        <f t="shared" si="6"/>
        <v>565.31483834358005</v>
      </c>
      <c r="I109">
        <v>114.63269409999999</v>
      </c>
    </row>
    <row r="110" spans="1:9" x14ac:dyDescent="0.45">
      <c r="A110" t="s">
        <v>88</v>
      </c>
      <c r="B110">
        <v>142.06060260000001</v>
      </c>
      <c r="C110">
        <v>137.2105071</v>
      </c>
      <c r="D110">
        <f t="shared" si="7"/>
        <v>-4.850095500000009</v>
      </c>
      <c r="E110">
        <f t="shared" si="5"/>
        <v>4.850095500000009</v>
      </c>
      <c r="F110">
        <f t="shared" si="6"/>
        <v>23.523426359120336</v>
      </c>
      <c r="I110">
        <v>142.06060260000001</v>
      </c>
    </row>
    <row r="111" spans="1:9" x14ac:dyDescent="0.45">
      <c r="A111" t="s">
        <v>89</v>
      </c>
      <c r="B111">
        <v>109.96886069999999</v>
      </c>
      <c r="C111">
        <v>104.8377302</v>
      </c>
      <c r="D111">
        <f t="shared" si="7"/>
        <v>-5.1311304999999976</v>
      </c>
      <c r="E111">
        <f t="shared" si="5"/>
        <v>5.1311304999999976</v>
      </c>
      <c r="F111">
        <f t="shared" si="6"/>
        <v>26.328500208030224</v>
      </c>
      <c r="I111">
        <v>109.96886069999999</v>
      </c>
    </row>
    <row r="112" spans="1:9" x14ac:dyDescent="0.45">
      <c r="A112" t="s">
        <v>90</v>
      </c>
      <c r="B112">
        <v>153.9050038</v>
      </c>
      <c r="C112">
        <v>145.95119560000001</v>
      </c>
      <c r="D112">
        <f t="shared" si="7"/>
        <v>-7.9538081999999974</v>
      </c>
      <c r="E112">
        <f t="shared" si="5"/>
        <v>7.9538081999999974</v>
      </c>
      <c r="F112">
        <f t="shared" si="6"/>
        <v>63.263064882387198</v>
      </c>
      <c r="I112">
        <v>153.9050038</v>
      </c>
    </row>
    <row r="113" spans="1:9" x14ac:dyDescent="0.45">
      <c r="A113" t="s">
        <v>91</v>
      </c>
      <c r="B113">
        <v>125.8983829</v>
      </c>
      <c r="C113">
        <v>119.0862504</v>
      </c>
      <c r="D113">
        <f t="shared" si="7"/>
        <v>-6.8121325000000041</v>
      </c>
      <c r="E113">
        <f t="shared" si="5"/>
        <v>6.8121325000000041</v>
      </c>
      <c r="F113">
        <f t="shared" si="6"/>
        <v>46.405149197556305</v>
      </c>
      <c r="I113">
        <v>125.8983829</v>
      </c>
    </row>
    <row r="114" spans="1:9" x14ac:dyDescent="0.45">
      <c r="A114" t="s">
        <v>92</v>
      </c>
      <c r="B114">
        <v>128.94315539999999</v>
      </c>
      <c r="C114">
        <v>124.6177173</v>
      </c>
      <c r="D114">
        <f t="shared" si="7"/>
        <v>-4.3254380999999995</v>
      </c>
      <c r="E114">
        <f t="shared" si="5"/>
        <v>4.3254380999999995</v>
      </c>
      <c r="F114">
        <f t="shared" si="6"/>
        <v>18.709414756931604</v>
      </c>
      <c r="I114">
        <v>128.94315539999999</v>
      </c>
    </row>
    <row r="115" spans="1:9" x14ac:dyDescent="0.45">
      <c r="A115" t="s">
        <v>93</v>
      </c>
      <c r="B115">
        <v>144.74006270000001</v>
      </c>
      <c r="C115">
        <v>147.2682811</v>
      </c>
      <c r="D115">
        <f t="shared" si="7"/>
        <v>2.5282183999999859</v>
      </c>
      <c r="E115">
        <f t="shared" si="5"/>
        <v>2.5282183999999859</v>
      </c>
      <c r="F115">
        <f t="shared" si="6"/>
        <v>6.3918882780984889</v>
      </c>
      <c r="I115">
        <v>144.74006270000001</v>
      </c>
    </row>
    <row r="116" spans="1:9" x14ac:dyDescent="0.45">
      <c r="A116" t="s">
        <v>94</v>
      </c>
      <c r="B116">
        <v>134.7651554</v>
      </c>
      <c r="C116">
        <v>132.84956159999999</v>
      </c>
      <c r="D116">
        <f t="shared" si="7"/>
        <v>-1.9155938000000106</v>
      </c>
      <c r="E116">
        <f t="shared" si="5"/>
        <v>1.9155938000000106</v>
      </c>
      <c r="F116">
        <f t="shared" si="6"/>
        <v>3.6694996065984804</v>
      </c>
      <c r="I116">
        <v>134.7651554</v>
      </c>
    </row>
    <row r="117" spans="1:9" x14ac:dyDescent="0.45">
      <c r="A117" t="s">
        <v>95</v>
      </c>
      <c r="B117">
        <v>153.33740900000001</v>
      </c>
      <c r="C117">
        <v>144.2960191</v>
      </c>
      <c r="D117">
        <f t="shared" si="7"/>
        <v>-9.0413899000000129</v>
      </c>
      <c r="E117">
        <f t="shared" si="5"/>
        <v>9.0413899000000129</v>
      </c>
      <c r="F117">
        <f t="shared" si="6"/>
        <v>81.746731323822246</v>
      </c>
      <c r="I117">
        <v>153.33740900000001</v>
      </c>
    </row>
    <row r="118" spans="1:9" x14ac:dyDescent="0.45">
      <c r="A118" t="s">
        <v>96</v>
      </c>
      <c r="B118">
        <v>150.81747609999999</v>
      </c>
      <c r="C118">
        <v>142.64667209999999</v>
      </c>
      <c r="D118">
        <f t="shared" si="7"/>
        <v>-8.170804000000004</v>
      </c>
      <c r="E118">
        <f t="shared" si="5"/>
        <v>8.170804000000004</v>
      </c>
      <c r="F118">
        <f t="shared" si="6"/>
        <v>66.762038006416063</v>
      </c>
      <c r="I118">
        <v>150.81747609999999</v>
      </c>
    </row>
    <row r="119" spans="1:9" x14ac:dyDescent="0.45">
      <c r="A119" t="s">
        <v>97</v>
      </c>
      <c r="B119">
        <v>146.22319379999999</v>
      </c>
      <c r="C119">
        <v>132.5405432</v>
      </c>
      <c r="D119">
        <f t="shared" si="7"/>
        <v>-13.682650599999988</v>
      </c>
      <c r="E119">
        <f t="shared" si="5"/>
        <v>13.682650599999988</v>
      </c>
      <c r="F119">
        <f t="shared" si="6"/>
        <v>187.21492744168003</v>
      </c>
      <c r="I119">
        <v>146.22319379999999</v>
      </c>
    </row>
    <row r="120" spans="1:9" x14ac:dyDescent="0.45">
      <c r="A120" t="s">
        <v>98</v>
      </c>
      <c r="B120">
        <v>152.4910706</v>
      </c>
      <c r="C120">
        <v>158.2136275</v>
      </c>
      <c r="D120">
        <f t="shared" si="7"/>
        <v>5.7225569000000007</v>
      </c>
      <c r="E120">
        <f t="shared" si="5"/>
        <v>5.7225569000000007</v>
      </c>
      <c r="F120">
        <f t="shared" si="6"/>
        <v>32.747657473737618</v>
      </c>
      <c r="I120">
        <v>152.4910706</v>
      </c>
    </row>
    <row r="121" spans="1:9" x14ac:dyDescent="0.45">
      <c r="A121" t="s">
        <v>99</v>
      </c>
      <c r="B121">
        <v>135.7074681</v>
      </c>
      <c r="C121">
        <v>145.344448</v>
      </c>
      <c r="D121">
        <f t="shared" si="7"/>
        <v>9.6369799</v>
      </c>
      <c r="E121">
        <f t="shared" si="5"/>
        <v>9.6369799</v>
      </c>
      <c r="F121">
        <f t="shared" si="6"/>
        <v>92.871381593004017</v>
      </c>
      <c r="I121">
        <v>135.7074681</v>
      </c>
    </row>
    <row r="122" spans="1:9" x14ac:dyDescent="0.45">
      <c r="A122" t="s">
        <v>100</v>
      </c>
      <c r="B122">
        <v>156.6148436</v>
      </c>
      <c r="C122">
        <v>165.6366563</v>
      </c>
      <c r="D122">
        <f t="shared" si="7"/>
        <v>9.0218126999999981</v>
      </c>
      <c r="E122">
        <f t="shared" si="5"/>
        <v>9.0218126999999981</v>
      </c>
      <c r="F122">
        <f t="shared" si="6"/>
        <v>81.393104393881259</v>
      </c>
      <c r="I122">
        <v>156.6148436</v>
      </c>
    </row>
    <row r="123" spans="1:9" x14ac:dyDescent="0.45">
      <c r="A123" t="s">
        <v>101</v>
      </c>
      <c r="B123">
        <v>168.765242</v>
      </c>
      <c r="C123">
        <v>160.93320209999999</v>
      </c>
      <c r="D123">
        <f t="shared" si="7"/>
        <v>-7.8320399000000123</v>
      </c>
      <c r="E123">
        <f t="shared" si="5"/>
        <v>7.8320399000000123</v>
      </c>
      <c r="F123">
        <f t="shared" si="6"/>
        <v>61.340848995192204</v>
      </c>
      <c r="I123">
        <v>168.765242</v>
      </c>
    </row>
    <row r="124" spans="1:9" x14ac:dyDescent="0.45">
      <c r="A124" t="s">
        <v>102</v>
      </c>
      <c r="B124">
        <v>131.23311519999999</v>
      </c>
      <c r="C124">
        <v>133.08821689999999</v>
      </c>
      <c r="D124">
        <f t="shared" si="7"/>
        <v>1.8551017000000058</v>
      </c>
      <c r="E124">
        <f t="shared" si="5"/>
        <v>1.8551017000000058</v>
      </c>
      <c r="F124">
        <f t="shared" si="6"/>
        <v>3.4414023173429116</v>
      </c>
      <c r="I124">
        <v>131.23311519999999</v>
      </c>
    </row>
    <row r="125" spans="1:9" x14ac:dyDescent="0.45">
      <c r="A125" t="s">
        <v>103</v>
      </c>
      <c r="B125">
        <v>129.5559433</v>
      </c>
      <c r="C125">
        <v>136.33756360000001</v>
      </c>
      <c r="D125">
        <f t="shared" si="7"/>
        <v>6.7816203000000144</v>
      </c>
      <c r="E125">
        <f t="shared" si="5"/>
        <v>6.7816203000000144</v>
      </c>
      <c r="F125">
        <f t="shared" si="6"/>
        <v>45.990373893372286</v>
      </c>
      <c r="I125">
        <v>129.5559433</v>
      </c>
    </row>
    <row r="126" spans="1:9" x14ac:dyDescent="0.45">
      <c r="A126" t="s">
        <v>104</v>
      </c>
      <c r="B126">
        <v>134.03653510000001</v>
      </c>
      <c r="C126">
        <v>132.7320211</v>
      </c>
      <c r="D126">
        <f t="shared" si="7"/>
        <v>-1.3045140000000117</v>
      </c>
      <c r="E126">
        <f t="shared" si="5"/>
        <v>1.3045140000000117</v>
      </c>
      <c r="F126">
        <f t="shared" si="6"/>
        <v>1.7017567761960306</v>
      </c>
      <c r="I126">
        <v>134.03653510000001</v>
      </c>
    </row>
    <row r="127" spans="1:9" x14ac:dyDescent="0.45">
      <c r="A127" t="s">
        <v>105</v>
      </c>
      <c r="B127">
        <v>122.3841977</v>
      </c>
      <c r="C127">
        <v>121.192554</v>
      </c>
      <c r="D127">
        <f t="shared" si="7"/>
        <v>-1.1916437000000002</v>
      </c>
      <c r="E127">
        <f t="shared" si="5"/>
        <v>1.1916437000000002</v>
      </c>
      <c r="F127">
        <f t="shared" si="6"/>
        <v>1.4200147077496905</v>
      </c>
      <c r="I127">
        <v>122.3841977</v>
      </c>
    </row>
    <row r="128" spans="1:9" x14ac:dyDescent="0.45">
      <c r="A128" t="s">
        <v>106</v>
      </c>
      <c r="B128">
        <v>119.00644079999999</v>
      </c>
      <c r="C128">
        <v>134.77813119999999</v>
      </c>
      <c r="D128">
        <f t="shared" si="7"/>
        <v>15.771690399999997</v>
      </c>
      <c r="E128">
        <f t="shared" si="5"/>
        <v>15.771690399999997</v>
      </c>
      <c r="F128">
        <f t="shared" si="6"/>
        <v>248.74621807345207</v>
      </c>
      <c r="I128">
        <v>119.00644079999999</v>
      </c>
    </row>
    <row r="129" spans="1:9" x14ac:dyDescent="0.45">
      <c r="A129" t="s">
        <v>141</v>
      </c>
      <c r="B129">
        <v>132.8842252</v>
      </c>
      <c r="C129">
        <v>137.3925122</v>
      </c>
      <c r="D129">
        <f t="shared" si="7"/>
        <v>4.5082869999999957</v>
      </c>
      <c r="E129">
        <f t="shared" si="5"/>
        <v>4.5082869999999957</v>
      </c>
      <c r="F129">
        <f t="shared" si="6"/>
        <v>20.324651674368962</v>
      </c>
      <c r="I129">
        <v>132.8842252</v>
      </c>
    </row>
    <row r="130" spans="1:9" x14ac:dyDescent="0.45">
      <c r="A130" t="s">
        <v>142</v>
      </c>
      <c r="B130">
        <v>121.6954817</v>
      </c>
      <c r="C130">
        <v>124.52090990000001</v>
      </c>
      <c r="D130">
        <f t="shared" ref="D130:D134" si="8">(C130-B130)</f>
        <v>2.8254282000000046</v>
      </c>
      <c r="E130">
        <f t="shared" ref="E130:E136" si="9">ABS(D130)</f>
        <v>2.8254282000000046</v>
      </c>
      <c r="F130">
        <f t="shared" ref="F130:F136" si="10">E130^2</f>
        <v>7.9830445133552663</v>
      </c>
      <c r="I130">
        <v>121.6954817</v>
      </c>
    </row>
    <row r="131" spans="1:9" x14ac:dyDescent="0.45">
      <c r="A131" t="s">
        <v>107</v>
      </c>
      <c r="B131">
        <v>134.99774099999999</v>
      </c>
      <c r="C131">
        <v>145.6019268</v>
      </c>
      <c r="D131">
        <f t="shared" si="8"/>
        <v>10.60418580000001</v>
      </c>
      <c r="E131">
        <f t="shared" si="9"/>
        <v>10.60418580000001</v>
      </c>
      <c r="F131">
        <f t="shared" si="10"/>
        <v>112.44875648092186</v>
      </c>
      <c r="I131">
        <v>134.99774099999999</v>
      </c>
    </row>
    <row r="132" spans="1:9" x14ac:dyDescent="0.45">
      <c r="A132" t="s">
        <v>108</v>
      </c>
      <c r="B132">
        <v>126.76783949999999</v>
      </c>
      <c r="C132">
        <v>119.7837215</v>
      </c>
      <c r="D132">
        <f t="shared" si="8"/>
        <v>-6.9841179999999952</v>
      </c>
      <c r="E132">
        <f t="shared" si="9"/>
        <v>6.9841179999999952</v>
      </c>
      <c r="F132">
        <f t="shared" si="10"/>
        <v>48.777904237923934</v>
      </c>
      <c r="I132">
        <v>126.76783949999999</v>
      </c>
    </row>
    <row r="133" spans="1:9" x14ac:dyDescent="0.45">
      <c r="A133" t="s">
        <v>109</v>
      </c>
      <c r="B133">
        <v>120.2355304</v>
      </c>
      <c r="C133">
        <v>116.09905120000001</v>
      </c>
      <c r="D133">
        <f t="shared" si="8"/>
        <v>-4.1364791999999966</v>
      </c>
      <c r="E133">
        <f t="shared" si="9"/>
        <v>4.1364791999999966</v>
      </c>
      <c r="F133">
        <f t="shared" si="10"/>
        <v>17.11046017203261</v>
      </c>
      <c r="I133">
        <v>120.2355304</v>
      </c>
    </row>
    <row r="134" spans="1:9" x14ac:dyDescent="0.45">
      <c r="A134" t="s">
        <v>110</v>
      </c>
      <c r="B134">
        <v>130.2448967</v>
      </c>
      <c r="C134">
        <v>133.5100745</v>
      </c>
      <c r="D134">
        <f t="shared" si="8"/>
        <v>3.2651778000000036</v>
      </c>
      <c r="E134">
        <f t="shared" si="9"/>
        <v>3.2651778000000036</v>
      </c>
      <c r="F134">
        <f t="shared" si="10"/>
        <v>10.661386065612863</v>
      </c>
      <c r="I134">
        <v>130.2448967</v>
      </c>
    </row>
    <row r="135" spans="1:9" x14ac:dyDescent="0.45">
      <c r="A135" t="s">
        <v>111</v>
      </c>
      <c r="B135">
        <v>134.2226762</v>
      </c>
      <c r="C135">
        <v>126.06595540000001</v>
      </c>
      <c r="D135">
        <f t="shared" ref="D135:D136" si="11">(C135-B135)</f>
        <v>-8.156720799999988</v>
      </c>
      <c r="E135">
        <f t="shared" si="9"/>
        <v>8.156720799999988</v>
      </c>
      <c r="F135">
        <f t="shared" si="10"/>
        <v>66.532094209152447</v>
      </c>
      <c r="I135">
        <v>134.2226762</v>
      </c>
    </row>
    <row r="136" spans="1:9" x14ac:dyDescent="0.45">
      <c r="A136" t="s">
        <v>112</v>
      </c>
      <c r="B136">
        <v>142.26802240000001</v>
      </c>
      <c r="C136">
        <v>140.55200199999999</v>
      </c>
      <c r="D136">
        <f t="shared" si="11"/>
        <v>-1.7160204000000192</v>
      </c>
      <c r="E136">
        <f t="shared" si="9"/>
        <v>1.7160204000000192</v>
      </c>
      <c r="F136">
        <f t="shared" si="10"/>
        <v>2.9447260132162261</v>
      </c>
      <c r="I136">
        <v>142.26802240000001</v>
      </c>
    </row>
    <row r="137" spans="1:9" x14ac:dyDescent="0.45">
      <c r="D137">
        <f>AVERAGE(D2:D136)</f>
        <v>0.12108433199999924</v>
      </c>
      <c r="E137">
        <f>AVERAGE(E2:E136)</f>
        <v>6.5525617884444438</v>
      </c>
      <c r="F137">
        <f>SQRT(AVERAGE(F2:F136))</f>
        <v>9.1832977536879792</v>
      </c>
    </row>
    <row r="139" spans="1:9" x14ac:dyDescent="0.45">
      <c r="B139">
        <f>MIN(B2:B136)</f>
        <v>99.204962870000003</v>
      </c>
      <c r="C139">
        <f>MIN(C2:C136)</f>
        <v>87.326117740000001</v>
      </c>
    </row>
    <row r="140" spans="1:9" x14ac:dyDescent="0.45">
      <c r="B140">
        <f>MAX(B2:B134)</f>
        <v>168.765242</v>
      </c>
      <c r="C140">
        <f>MAX(C2:C134)</f>
        <v>176.2996028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5C253-BCC1-4BEB-A129-38FC379127E1}">
  <dimension ref="A1:AS137"/>
  <sheetViews>
    <sheetView workbookViewId="0">
      <selection activeCell="C1" sqref="C1"/>
    </sheetView>
  </sheetViews>
  <sheetFormatPr defaultRowHeight="14.25" x14ac:dyDescent="0.45"/>
  <cols>
    <col min="13" max="13" width="11.46484375" customWidth="1"/>
    <col min="14" max="14" width="11.1328125" customWidth="1"/>
  </cols>
  <sheetData>
    <row r="1" spans="1:45" s="2" customFormat="1" x14ac:dyDescent="0.45">
      <c r="A1" t="s">
        <v>6</v>
      </c>
      <c r="B1" t="s">
        <v>174</v>
      </c>
      <c r="C1" t="s">
        <v>175</v>
      </c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  <c r="I1" t="s">
        <v>5</v>
      </c>
    </row>
    <row r="2" spans="1:45" x14ac:dyDescent="0.45">
      <c r="A2" t="s">
        <v>113</v>
      </c>
      <c r="B2">
        <v>123.5641913</v>
      </c>
      <c r="C2">
        <v>130.9631062</v>
      </c>
      <c r="D2">
        <f t="shared" ref="D2:D33" si="0">(C2-B2)</f>
        <v>7.3989148999999941</v>
      </c>
      <c r="E2">
        <f>ABS(D2)</f>
        <v>7.3989148999999941</v>
      </c>
      <c r="F2">
        <f>E2^2</f>
        <v>54.743941697441919</v>
      </c>
      <c r="G2">
        <f>CORREL(B2:B134,C2:C134)</f>
        <v>0.84583805994890526</v>
      </c>
      <c r="H2">
        <f>G2^2</f>
        <v>0.71544202365812781</v>
      </c>
      <c r="I2">
        <v>123.5641913</v>
      </c>
    </row>
    <row r="3" spans="1:45" x14ac:dyDescent="0.45">
      <c r="A3" t="s">
        <v>114</v>
      </c>
      <c r="B3">
        <v>145.8929023</v>
      </c>
      <c r="C3">
        <v>148.49691799999999</v>
      </c>
      <c r="D3">
        <f t="shared" si="0"/>
        <v>2.6040156999999908</v>
      </c>
      <c r="E3">
        <f t="shared" ref="E3:E66" si="1">ABS(D3)</f>
        <v>2.6040156999999908</v>
      </c>
      <c r="F3">
        <f t="shared" ref="F3:F66" si="2">E3^2</f>
        <v>6.7808977658464427</v>
      </c>
      <c r="I3">
        <v>145.8929023</v>
      </c>
    </row>
    <row r="4" spans="1:45" x14ac:dyDescent="0.45">
      <c r="A4" t="s">
        <v>115</v>
      </c>
      <c r="B4">
        <v>131.5294504</v>
      </c>
      <c r="C4">
        <v>131.3808344</v>
      </c>
      <c r="D4">
        <f t="shared" si="0"/>
        <v>-0.14861600000000408</v>
      </c>
      <c r="E4">
        <f t="shared" si="1"/>
        <v>0.14861600000000408</v>
      </c>
      <c r="F4">
        <f t="shared" si="2"/>
        <v>2.2086715456001212E-2</v>
      </c>
      <c r="I4">
        <v>131.5294504</v>
      </c>
    </row>
    <row r="5" spans="1:45" x14ac:dyDescent="0.45">
      <c r="A5" t="s">
        <v>116</v>
      </c>
      <c r="B5">
        <v>122.3796423</v>
      </c>
      <c r="C5">
        <v>135.8337066</v>
      </c>
      <c r="D5">
        <f t="shared" si="0"/>
        <v>13.454064299999999</v>
      </c>
      <c r="E5">
        <f t="shared" si="1"/>
        <v>13.454064299999999</v>
      </c>
      <c r="F5">
        <f t="shared" si="2"/>
        <v>181.01184618853446</v>
      </c>
      <c r="I5">
        <v>122.3796423</v>
      </c>
    </row>
    <row r="6" spans="1:45" x14ac:dyDescent="0.45">
      <c r="A6" t="s">
        <v>117</v>
      </c>
      <c r="B6">
        <v>116.0358913</v>
      </c>
      <c r="C6">
        <v>125.43313929999999</v>
      </c>
      <c r="D6">
        <f t="shared" si="0"/>
        <v>9.3972479999999905</v>
      </c>
      <c r="E6">
        <f t="shared" si="1"/>
        <v>9.3972479999999905</v>
      </c>
      <c r="F6">
        <f t="shared" si="2"/>
        <v>88.308269973503826</v>
      </c>
      <c r="I6">
        <v>116.0358913</v>
      </c>
    </row>
    <row r="7" spans="1:45" x14ac:dyDescent="0.45">
      <c r="A7" t="s">
        <v>118</v>
      </c>
      <c r="B7">
        <v>95.777013920000002</v>
      </c>
      <c r="C7">
        <v>91.801185469999993</v>
      </c>
      <c r="D7">
        <f t="shared" si="0"/>
        <v>-3.9758284500000087</v>
      </c>
      <c r="E7">
        <f t="shared" si="1"/>
        <v>3.9758284500000087</v>
      </c>
      <c r="F7">
        <f t="shared" si="2"/>
        <v>15.807211863829473</v>
      </c>
      <c r="I7">
        <v>95.777013920000002</v>
      </c>
    </row>
    <row r="8" spans="1:45" x14ac:dyDescent="0.45">
      <c r="A8" t="s">
        <v>7</v>
      </c>
      <c r="B8">
        <v>115.7062348</v>
      </c>
      <c r="C8">
        <v>109.8453043</v>
      </c>
      <c r="D8">
        <f t="shared" si="0"/>
        <v>-5.8609305000000091</v>
      </c>
      <c r="E8">
        <f t="shared" si="1"/>
        <v>5.8609305000000091</v>
      </c>
      <c r="F8">
        <f t="shared" si="2"/>
        <v>34.350506325830359</v>
      </c>
      <c r="I8">
        <v>115.7062348</v>
      </c>
    </row>
    <row r="9" spans="1:45" x14ac:dyDescent="0.45">
      <c r="A9" t="s">
        <v>8</v>
      </c>
      <c r="B9">
        <v>129.2991557</v>
      </c>
      <c r="C9">
        <v>123.9495543</v>
      </c>
      <c r="D9">
        <f t="shared" si="0"/>
        <v>-5.3496013999999974</v>
      </c>
      <c r="E9">
        <f t="shared" si="1"/>
        <v>5.3496013999999974</v>
      </c>
      <c r="F9">
        <f t="shared" si="2"/>
        <v>28.618235138881932</v>
      </c>
      <c r="I9">
        <v>129.2991557</v>
      </c>
    </row>
    <row r="10" spans="1:45" x14ac:dyDescent="0.45">
      <c r="A10" t="s">
        <v>9</v>
      </c>
      <c r="B10">
        <v>115.4914228</v>
      </c>
      <c r="C10">
        <v>116.3555771</v>
      </c>
      <c r="D10">
        <f t="shared" si="0"/>
        <v>0.86415430000000981</v>
      </c>
      <c r="E10">
        <f t="shared" si="1"/>
        <v>0.86415430000000981</v>
      </c>
      <c r="F10">
        <f t="shared" si="2"/>
        <v>0.74676265420850696</v>
      </c>
      <c r="I10">
        <v>115.4914228</v>
      </c>
    </row>
    <row r="11" spans="1:45" x14ac:dyDescent="0.45">
      <c r="A11" t="s">
        <v>10</v>
      </c>
      <c r="B11">
        <v>128.2919507</v>
      </c>
      <c r="C11">
        <v>126.058797</v>
      </c>
      <c r="D11">
        <f t="shared" si="0"/>
        <v>-2.2331537000000026</v>
      </c>
      <c r="E11">
        <f t="shared" si="1"/>
        <v>2.2331537000000026</v>
      </c>
      <c r="F11">
        <f t="shared" si="2"/>
        <v>4.9869754478237018</v>
      </c>
      <c r="I11">
        <v>128.2919507</v>
      </c>
    </row>
    <row r="12" spans="1:45" x14ac:dyDescent="0.45">
      <c r="A12" t="s">
        <v>11</v>
      </c>
      <c r="B12">
        <v>121.6394284</v>
      </c>
      <c r="C12">
        <v>122.36527460000001</v>
      </c>
      <c r="D12">
        <f t="shared" si="0"/>
        <v>0.72584620000000655</v>
      </c>
      <c r="E12">
        <f t="shared" si="1"/>
        <v>0.72584620000000655</v>
      </c>
      <c r="F12">
        <f t="shared" si="2"/>
        <v>0.52685270605444956</v>
      </c>
      <c r="I12">
        <v>121.6394284</v>
      </c>
    </row>
    <row r="13" spans="1:45" x14ac:dyDescent="0.45">
      <c r="A13" t="s">
        <v>12</v>
      </c>
      <c r="B13">
        <v>141.9198887</v>
      </c>
      <c r="C13">
        <v>131.42288379999999</v>
      </c>
      <c r="D13">
        <f t="shared" si="0"/>
        <v>-10.497004900000007</v>
      </c>
      <c r="E13">
        <f t="shared" si="1"/>
        <v>10.497004900000007</v>
      </c>
      <c r="F13">
        <f t="shared" si="2"/>
        <v>110.18711187062416</v>
      </c>
      <c r="I13">
        <v>141.9198887</v>
      </c>
    </row>
    <row r="14" spans="1:45" x14ac:dyDescent="0.45">
      <c r="A14" t="s">
        <v>13</v>
      </c>
      <c r="B14">
        <v>139.71342480000001</v>
      </c>
      <c r="C14">
        <v>137.40713210000001</v>
      </c>
      <c r="D14">
        <f t="shared" si="0"/>
        <v>-2.3062927000000002</v>
      </c>
      <c r="E14">
        <f t="shared" si="1"/>
        <v>2.3062927000000002</v>
      </c>
      <c r="F14">
        <f t="shared" si="2"/>
        <v>5.3189860180732911</v>
      </c>
      <c r="I14">
        <v>139.71342480000001</v>
      </c>
    </row>
    <row r="15" spans="1:45" x14ac:dyDescent="0.45">
      <c r="A15" t="s">
        <v>119</v>
      </c>
      <c r="B15">
        <v>133.1512907</v>
      </c>
      <c r="C15">
        <v>130.99655730000001</v>
      </c>
      <c r="D15">
        <f t="shared" si="0"/>
        <v>-2.1547333999999978</v>
      </c>
      <c r="E15">
        <f t="shared" si="1"/>
        <v>2.1547333999999978</v>
      </c>
      <c r="F15">
        <f t="shared" si="2"/>
        <v>4.6428760250755507</v>
      </c>
      <c r="I15">
        <v>133.1512907</v>
      </c>
      <c r="AS15" s="1"/>
    </row>
    <row r="16" spans="1:45" x14ac:dyDescent="0.45">
      <c r="A16" t="s">
        <v>14</v>
      </c>
      <c r="B16">
        <v>120.81778559999999</v>
      </c>
      <c r="C16">
        <v>120.18157119999999</v>
      </c>
      <c r="D16">
        <f t="shared" si="0"/>
        <v>-0.63621440000000007</v>
      </c>
      <c r="E16">
        <f t="shared" si="1"/>
        <v>0.63621440000000007</v>
      </c>
      <c r="F16">
        <f t="shared" si="2"/>
        <v>0.40476876276736007</v>
      </c>
      <c r="I16">
        <v>120.81778559999999</v>
      </c>
      <c r="AS16" s="1"/>
    </row>
    <row r="17" spans="1:45" x14ac:dyDescent="0.45">
      <c r="A17" t="s">
        <v>120</v>
      </c>
      <c r="B17">
        <v>115.7444631</v>
      </c>
      <c r="C17">
        <v>131.76967769999999</v>
      </c>
      <c r="D17">
        <f t="shared" si="0"/>
        <v>16.025214599999984</v>
      </c>
      <c r="E17">
        <f t="shared" si="1"/>
        <v>16.025214599999984</v>
      </c>
      <c r="F17">
        <f t="shared" si="2"/>
        <v>256.80750297605266</v>
      </c>
      <c r="I17">
        <v>115.7444631</v>
      </c>
      <c r="AS17" s="1"/>
    </row>
    <row r="18" spans="1:45" x14ac:dyDescent="0.45">
      <c r="A18" t="s">
        <v>121</v>
      </c>
      <c r="B18">
        <v>141.29728789999999</v>
      </c>
      <c r="C18">
        <v>143.25175669999999</v>
      </c>
      <c r="D18">
        <f t="shared" si="0"/>
        <v>1.9544688000000008</v>
      </c>
      <c r="E18">
        <f t="shared" si="1"/>
        <v>1.9544688000000008</v>
      </c>
      <c r="F18">
        <f t="shared" si="2"/>
        <v>3.8199482901734432</v>
      </c>
      <c r="I18">
        <v>141.29728789999999</v>
      </c>
      <c r="AS18" s="1"/>
    </row>
    <row r="19" spans="1:45" x14ac:dyDescent="0.45">
      <c r="A19" t="s">
        <v>123</v>
      </c>
      <c r="B19">
        <v>138.8687276</v>
      </c>
      <c r="C19">
        <v>133.36613130000001</v>
      </c>
      <c r="D19">
        <f t="shared" si="0"/>
        <v>-5.5025962999999933</v>
      </c>
      <c r="E19">
        <f t="shared" si="1"/>
        <v>5.5025962999999933</v>
      </c>
      <c r="F19">
        <f t="shared" si="2"/>
        <v>30.278566040773615</v>
      </c>
      <c r="I19">
        <v>138.8687276</v>
      </c>
      <c r="AS19" s="1"/>
    </row>
    <row r="20" spans="1:45" x14ac:dyDescent="0.45">
      <c r="A20" t="s">
        <v>124</v>
      </c>
      <c r="B20">
        <v>139.5514895</v>
      </c>
      <c r="C20">
        <v>128.43023719999999</v>
      </c>
      <c r="D20">
        <f t="shared" si="0"/>
        <v>-11.121252300000009</v>
      </c>
      <c r="E20">
        <f t="shared" si="1"/>
        <v>11.121252300000009</v>
      </c>
      <c r="F20">
        <f t="shared" si="2"/>
        <v>123.68225272025549</v>
      </c>
      <c r="I20">
        <v>139.5514895</v>
      </c>
    </row>
    <row r="21" spans="1:45" x14ac:dyDescent="0.45">
      <c r="A21" t="s">
        <v>125</v>
      </c>
      <c r="B21">
        <v>133.76996800000001</v>
      </c>
      <c r="C21">
        <v>127.17213</v>
      </c>
      <c r="D21">
        <f t="shared" si="0"/>
        <v>-6.5978380000000101</v>
      </c>
      <c r="E21">
        <f t="shared" si="1"/>
        <v>6.5978380000000101</v>
      </c>
      <c r="F21">
        <f t="shared" si="2"/>
        <v>43.531466274244131</v>
      </c>
      <c r="I21">
        <v>133.76996800000001</v>
      </c>
    </row>
    <row r="22" spans="1:45" x14ac:dyDescent="0.45">
      <c r="A22" t="s">
        <v>15</v>
      </c>
      <c r="B22">
        <v>133.91578630000001</v>
      </c>
      <c r="C22">
        <v>135.83413780000001</v>
      </c>
      <c r="D22">
        <f t="shared" si="0"/>
        <v>1.9183515</v>
      </c>
      <c r="E22">
        <f t="shared" si="1"/>
        <v>1.9183515</v>
      </c>
      <c r="F22">
        <f t="shared" si="2"/>
        <v>3.6800724775522498</v>
      </c>
      <c r="I22">
        <v>133.91578630000001</v>
      </c>
    </row>
    <row r="23" spans="1:45" x14ac:dyDescent="0.45">
      <c r="A23" t="s">
        <v>16</v>
      </c>
      <c r="B23">
        <v>146.9232083</v>
      </c>
      <c r="C23">
        <v>154.89078040000001</v>
      </c>
      <c r="D23">
        <f t="shared" si="0"/>
        <v>7.9675721000000124</v>
      </c>
      <c r="E23">
        <f t="shared" si="1"/>
        <v>7.9675721000000124</v>
      </c>
      <c r="F23">
        <f t="shared" si="2"/>
        <v>63.482205168698606</v>
      </c>
      <c r="I23">
        <v>146.9232083</v>
      </c>
    </row>
    <row r="24" spans="1:45" x14ac:dyDescent="0.45">
      <c r="A24" t="s">
        <v>17</v>
      </c>
      <c r="B24">
        <v>131.81316559999999</v>
      </c>
      <c r="C24">
        <v>125.295455</v>
      </c>
      <c r="D24">
        <f t="shared" si="0"/>
        <v>-6.5177105999999867</v>
      </c>
      <c r="E24">
        <f t="shared" si="1"/>
        <v>6.5177105999999867</v>
      </c>
      <c r="F24">
        <f t="shared" si="2"/>
        <v>42.480551465352185</v>
      </c>
      <c r="I24">
        <v>131.81316559999999</v>
      </c>
    </row>
    <row r="25" spans="1:45" x14ac:dyDescent="0.45">
      <c r="A25" t="s">
        <v>18</v>
      </c>
      <c r="B25">
        <v>107.12935160000001</v>
      </c>
      <c r="C25">
        <v>121.96157530000001</v>
      </c>
      <c r="D25">
        <f t="shared" si="0"/>
        <v>14.8322237</v>
      </c>
      <c r="E25">
        <f t="shared" si="1"/>
        <v>14.8322237</v>
      </c>
      <c r="F25">
        <f t="shared" si="2"/>
        <v>219.99485988684168</v>
      </c>
      <c r="I25">
        <v>107.12935160000001</v>
      </c>
    </row>
    <row r="26" spans="1:45" x14ac:dyDescent="0.45">
      <c r="A26" t="s">
        <v>19</v>
      </c>
      <c r="B26">
        <v>129.0952829</v>
      </c>
      <c r="C26">
        <v>126.562999</v>
      </c>
      <c r="D26">
        <f t="shared" si="0"/>
        <v>-2.5322838999999959</v>
      </c>
      <c r="E26">
        <f t="shared" si="1"/>
        <v>2.5322838999999959</v>
      </c>
      <c r="F26">
        <f t="shared" si="2"/>
        <v>6.4124617501991894</v>
      </c>
      <c r="I26">
        <v>129.0952829</v>
      </c>
    </row>
    <row r="27" spans="1:45" x14ac:dyDescent="0.45">
      <c r="A27" t="s">
        <v>20</v>
      </c>
      <c r="B27">
        <v>140.47496369999999</v>
      </c>
      <c r="C27">
        <v>140.2879805</v>
      </c>
      <c r="D27">
        <f t="shared" si="0"/>
        <v>-0.18698319999998603</v>
      </c>
      <c r="E27">
        <f t="shared" si="1"/>
        <v>0.18698319999998603</v>
      </c>
      <c r="F27">
        <f t="shared" si="2"/>
        <v>3.4962717082234772E-2</v>
      </c>
      <c r="I27">
        <v>140.47496369999999</v>
      </c>
    </row>
    <row r="28" spans="1:45" x14ac:dyDescent="0.45">
      <c r="A28" t="s">
        <v>21</v>
      </c>
      <c r="B28">
        <v>144.0303193</v>
      </c>
      <c r="C28">
        <v>167.00772269999999</v>
      </c>
      <c r="D28">
        <f t="shared" si="0"/>
        <v>22.977403399999986</v>
      </c>
      <c r="E28">
        <f t="shared" si="1"/>
        <v>22.977403399999986</v>
      </c>
      <c r="F28">
        <f t="shared" si="2"/>
        <v>527.96106700633095</v>
      </c>
      <c r="I28">
        <v>144.0303193</v>
      </c>
    </row>
    <row r="29" spans="1:45" x14ac:dyDescent="0.45">
      <c r="A29" t="s">
        <v>22</v>
      </c>
      <c r="B29">
        <v>137.36758639999999</v>
      </c>
      <c r="C29">
        <v>138.65702039999999</v>
      </c>
      <c r="D29">
        <f t="shared" si="0"/>
        <v>1.289434</v>
      </c>
      <c r="E29">
        <f t="shared" si="1"/>
        <v>1.289434</v>
      </c>
      <c r="F29">
        <f t="shared" si="2"/>
        <v>1.662640040356</v>
      </c>
      <c r="I29">
        <v>137.36758639999999</v>
      </c>
    </row>
    <row r="30" spans="1:45" x14ac:dyDescent="0.45">
      <c r="A30" t="s">
        <v>23</v>
      </c>
      <c r="B30">
        <v>104.549626</v>
      </c>
      <c r="C30">
        <v>112.4689686</v>
      </c>
      <c r="D30">
        <f t="shared" si="0"/>
        <v>7.9193425999999931</v>
      </c>
      <c r="E30">
        <f t="shared" si="1"/>
        <v>7.9193425999999931</v>
      </c>
      <c r="F30">
        <f t="shared" si="2"/>
        <v>62.715987216174653</v>
      </c>
      <c r="I30">
        <v>104.549626</v>
      </c>
    </row>
    <row r="31" spans="1:45" x14ac:dyDescent="0.45">
      <c r="A31" t="s">
        <v>24</v>
      </c>
      <c r="B31">
        <v>149.6626646</v>
      </c>
      <c r="C31">
        <v>127.1186393</v>
      </c>
      <c r="D31">
        <f t="shared" si="0"/>
        <v>-22.544025300000001</v>
      </c>
      <c r="E31">
        <f t="shared" si="1"/>
        <v>22.544025300000001</v>
      </c>
      <c r="F31">
        <f t="shared" si="2"/>
        <v>508.23307672704016</v>
      </c>
      <c r="I31">
        <v>149.6626646</v>
      </c>
    </row>
    <row r="32" spans="1:45" x14ac:dyDescent="0.45">
      <c r="A32" t="s">
        <v>25</v>
      </c>
      <c r="B32">
        <v>122.0559397</v>
      </c>
      <c r="C32">
        <v>101.9646128</v>
      </c>
      <c r="D32">
        <f t="shared" si="0"/>
        <v>-20.091326899999999</v>
      </c>
      <c r="E32">
        <f t="shared" si="1"/>
        <v>20.091326899999999</v>
      </c>
      <c r="F32">
        <f t="shared" si="2"/>
        <v>403.66141660266356</v>
      </c>
      <c r="I32">
        <v>122.0559397</v>
      </c>
    </row>
    <row r="33" spans="1:9" x14ac:dyDescent="0.45">
      <c r="A33" t="s">
        <v>26</v>
      </c>
      <c r="B33">
        <v>128.46793600000001</v>
      </c>
      <c r="C33">
        <v>121.21067720000001</v>
      </c>
      <c r="D33">
        <f t="shared" si="0"/>
        <v>-7.2572588000000025</v>
      </c>
      <c r="E33">
        <f t="shared" si="1"/>
        <v>7.2572588000000025</v>
      </c>
      <c r="F33">
        <f t="shared" si="2"/>
        <v>52.667805290177476</v>
      </c>
      <c r="I33">
        <v>128.46793600000001</v>
      </c>
    </row>
    <row r="34" spans="1:9" x14ac:dyDescent="0.45">
      <c r="A34" t="s">
        <v>27</v>
      </c>
      <c r="B34">
        <v>137.0744038</v>
      </c>
      <c r="C34">
        <v>136.45226270000001</v>
      </c>
      <c r="D34">
        <f t="shared" ref="D34:D65" si="3">(C34-B34)</f>
        <v>-0.62214109999999323</v>
      </c>
      <c r="E34">
        <f t="shared" si="1"/>
        <v>0.62214109999999323</v>
      </c>
      <c r="F34">
        <f t="shared" si="2"/>
        <v>0.38705954830920158</v>
      </c>
      <c r="I34">
        <v>137.0744038</v>
      </c>
    </row>
    <row r="35" spans="1:9" x14ac:dyDescent="0.45">
      <c r="A35" t="s">
        <v>28</v>
      </c>
      <c r="B35">
        <v>127.0240701</v>
      </c>
      <c r="C35">
        <v>132.7707302</v>
      </c>
      <c r="D35">
        <f t="shared" si="3"/>
        <v>5.7466600999999997</v>
      </c>
      <c r="E35">
        <f t="shared" si="1"/>
        <v>5.7466600999999997</v>
      </c>
      <c r="F35">
        <f t="shared" si="2"/>
        <v>33.024102304932008</v>
      </c>
      <c r="I35">
        <v>127.0240701</v>
      </c>
    </row>
    <row r="36" spans="1:9" s="3" customFormat="1" x14ac:dyDescent="0.45">
      <c r="A36" t="s">
        <v>126</v>
      </c>
      <c r="B36">
        <v>106.0918424</v>
      </c>
      <c r="C36">
        <v>104.81207670000001</v>
      </c>
      <c r="D36" s="3">
        <f t="shared" si="3"/>
        <v>-1.2797656999999987</v>
      </c>
      <c r="E36" s="3">
        <f t="shared" si="1"/>
        <v>1.2797656999999987</v>
      </c>
      <c r="F36" s="3">
        <f t="shared" si="2"/>
        <v>1.6378002468964865</v>
      </c>
      <c r="I36">
        <v>106.0918424</v>
      </c>
    </row>
    <row r="37" spans="1:9" x14ac:dyDescent="0.45">
      <c r="A37" t="s">
        <v>29</v>
      </c>
      <c r="B37">
        <v>140.43769750000001</v>
      </c>
      <c r="C37">
        <v>140.06529900000001</v>
      </c>
      <c r="D37">
        <f t="shared" si="3"/>
        <v>-0.37239850000000274</v>
      </c>
      <c r="E37">
        <f t="shared" si="1"/>
        <v>0.37239850000000274</v>
      </c>
      <c r="F37">
        <f t="shared" si="2"/>
        <v>0.13868064280225204</v>
      </c>
      <c r="I37">
        <v>140.43769750000001</v>
      </c>
    </row>
    <row r="38" spans="1:9" x14ac:dyDescent="0.45">
      <c r="A38" t="s">
        <v>30</v>
      </c>
      <c r="B38">
        <v>120.4543559</v>
      </c>
      <c r="C38">
        <v>128.36849359999999</v>
      </c>
      <c r="D38">
        <f t="shared" si="3"/>
        <v>7.9141376999999977</v>
      </c>
      <c r="E38">
        <f t="shared" si="1"/>
        <v>7.9141376999999977</v>
      </c>
      <c r="F38">
        <f t="shared" si="2"/>
        <v>62.633575534561253</v>
      </c>
      <c r="I38">
        <v>120.4543559</v>
      </c>
    </row>
    <row r="39" spans="1:9" x14ac:dyDescent="0.45">
      <c r="A39" t="s">
        <v>31</v>
      </c>
      <c r="B39">
        <v>120.2306581</v>
      </c>
      <c r="C39">
        <v>119.1957412</v>
      </c>
      <c r="D39">
        <f t="shared" si="3"/>
        <v>-1.0349168999999989</v>
      </c>
      <c r="E39">
        <f t="shared" si="1"/>
        <v>1.0349168999999989</v>
      </c>
      <c r="F39">
        <f t="shared" si="2"/>
        <v>1.0710529899056078</v>
      </c>
      <c r="I39">
        <v>120.2306581</v>
      </c>
    </row>
    <row r="40" spans="1:9" x14ac:dyDescent="0.45">
      <c r="A40" t="s">
        <v>127</v>
      </c>
      <c r="B40">
        <v>125.5657312</v>
      </c>
      <c r="C40">
        <v>124.055477</v>
      </c>
      <c r="D40">
        <f t="shared" si="3"/>
        <v>-1.5102542000000057</v>
      </c>
      <c r="E40">
        <f t="shared" si="1"/>
        <v>1.5102542000000057</v>
      </c>
      <c r="F40">
        <f t="shared" si="2"/>
        <v>2.280867748617657</v>
      </c>
      <c r="I40">
        <v>125.5657312</v>
      </c>
    </row>
    <row r="41" spans="1:9" x14ac:dyDescent="0.45">
      <c r="A41" t="s">
        <v>128</v>
      </c>
      <c r="B41">
        <v>138.26877820000001</v>
      </c>
      <c r="C41">
        <v>140.2254126</v>
      </c>
      <c r="D41">
        <f t="shared" si="3"/>
        <v>1.9566343999999845</v>
      </c>
      <c r="E41">
        <f t="shared" si="1"/>
        <v>1.9566343999999845</v>
      </c>
      <c r="F41">
        <f t="shared" si="2"/>
        <v>3.8284181752632991</v>
      </c>
      <c r="I41">
        <v>138.26877820000001</v>
      </c>
    </row>
    <row r="42" spans="1:9" x14ac:dyDescent="0.45">
      <c r="A42" t="s">
        <v>32</v>
      </c>
      <c r="B42">
        <v>127.2825169</v>
      </c>
      <c r="C42">
        <v>130.08393169999999</v>
      </c>
      <c r="D42">
        <f t="shared" si="3"/>
        <v>2.8014147999999892</v>
      </c>
      <c r="E42">
        <f t="shared" si="1"/>
        <v>2.8014147999999892</v>
      </c>
      <c r="F42">
        <f t="shared" si="2"/>
        <v>7.8479248816589795</v>
      </c>
      <c r="I42">
        <v>127.2825169</v>
      </c>
    </row>
    <row r="43" spans="1:9" x14ac:dyDescent="0.45">
      <c r="A43" t="s">
        <v>33</v>
      </c>
      <c r="B43">
        <v>134.45144809999999</v>
      </c>
      <c r="C43">
        <v>132.52409209999999</v>
      </c>
      <c r="D43">
        <f t="shared" si="3"/>
        <v>-1.9273560000000032</v>
      </c>
      <c r="E43">
        <f t="shared" si="1"/>
        <v>1.9273560000000032</v>
      </c>
      <c r="F43">
        <f t="shared" si="2"/>
        <v>3.7147011507360124</v>
      </c>
      <c r="I43">
        <v>134.45144809999999</v>
      </c>
    </row>
    <row r="44" spans="1:9" x14ac:dyDescent="0.45">
      <c r="A44" t="s">
        <v>34</v>
      </c>
      <c r="B44">
        <v>125.884016</v>
      </c>
      <c r="C44">
        <v>134.28495749999999</v>
      </c>
      <c r="D44">
        <f t="shared" si="3"/>
        <v>8.4009414999999876</v>
      </c>
      <c r="E44">
        <f t="shared" si="1"/>
        <v>8.4009414999999876</v>
      </c>
      <c r="F44">
        <f t="shared" si="2"/>
        <v>70.575818086422046</v>
      </c>
      <c r="I44">
        <v>125.884016</v>
      </c>
    </row>
    <row r="45" spans="1:9" x14ac:dyDescent="0.45">
      <c r="A45" t="s">
        <v>35</v>
      </c>
      <c r="B45">
        <v>144.9696691</v>
      </c>
      <c r="C45">
        <v>140.2484504</v>
      </c>
      <c r="D45">
        <f t="shared" si="3"/>
        <v>-4.7212187000000085</v>
      </c>
      <c r="E45">
        <f t="shared" si="1"/>
        <v>4.7212187000000085</v>
      </c>
      <c r="F45">
        <f t="shared" si="2"/>
        <v>22.289906013229771</v>
      </c>
      <c r="I45">
        <v>144.9696691</v>
      </c>
    </row>
    <row r="46" spans="1:9" x14ac:dyDescent="0.45">
      <c r="A46" t="s">
        <v>36</v>
      </c>
      <c r="B46">
        <v>153.2023786</v>
      </c>
      <c r="C46">
        <v>159.64336130000001</v>
      </c>
      <c r="D46">
        <f t="shared" si="3"/>
        <v>6.4409827000000064</v>
      </c>
      <c r="E46">
        <f t="shared" si="1"/>
        <v>6.4409827000000064</v>
      </c>
      <c r="F46">
        <f t="shared" si="2"/>
        <v>41.486258141699373</v>
      </c>
      <c r="I46">
        <v>153.2023786</v>
      </c>
    </row>
    <row r="47" spans="1:9" x14ac:dyDescent="0.45">
      <c r="A47" t="s">
        <v>37</v>
      </c>
      <c r="B47">
        <v>139.5846027</v>
      </c>
      <c r="C47">
        <v>141.8810574</v>
      </c>
      <c r="D47">
        <f t="shared" si="3"/>
        <v>2.2964546999999982</v>
      </c>
      <c r="E47">
        <f t="shared" si="1"/>
        <v>2.2964546999999982</v>
      </c>
      <c r="F47">
        <f t="shared" si="2"/>
        <v>5.2737041891520819</v>
      </c>
      <c r="I47">
        <v>139.5846027</v>
      </c>
    </row>
    <row r="48" spans="1:9" x14ac:dyDescent="0.45">
      <c r="A48" t="s">
        <v>38</v>
      </c>
      <c r="B48">
        <v>149.07712140000001</v>
      </c>
      <c r="C48">
        <v>143.16980380000001</v>
      </c>
      <c r="D48">
        <f t="shared" si="3"/>
        <v>-5.9073175999999989</v>
      </c>
      <c r="E48">
        <f t="shared" si="1"/>
        <v>5.9073175999999989</v>
      </c>
      <c r="F48">
        <f t="shared" si="2"/>
        <v>34.896401227269749</v>
      </c>
      <c r="I48">
        <v>149.07712140000001</v>
      </c>
    </row>
    <row r="49" spans="1:9" x14ac:dyDescent="0.45">
      <c r="A49" t="s">
        <v>39</v>
      </c>
      <c r="B49">
        <v>123.5455255</v>
      </c>
      <c r="C49">
        <v>141.41591550000001</v>
      </c>
      <c r="D49">
        <f t="shared" si="3"/>
        <v>17.870390000000015</v>
      </c>
      <c r="E49">
        <f t="shared" si="1"/>
        <v>17.870390000000015</v>
      </c>
      <c r="F49">
        <f t="shared" si="2"/>
        <v>319.35083875210051</v>
      </c>
      <c r="I49">
        <v>123.5455255</v>
      </c>
    </row>
    <row r="50" spans="1:9" x14ac:dyDescent="0.45">
      <c r="A50" t="s">
        <v>40</v>
      </c>
      <c r="B50">
        <v>127.9290237</v>
      </c>
      <c r="C50">
        <v>130.31081270000001</v>
      </c>
      <c r="D50">
        <f t="shared" si="3"/>
        <v>2.3817890000000119</v>
      </c>
      <c r="E50">
        <f t="shared" si="1"/>
        <v>2.3817890000000119</v>
      </c>
      <c r="F50">
        <f t="shared" si="2"/>
        <v>5.6729188405210564</v>
      </c>
      <c r="I50">
        <v>127.9290237</v>
      </c>
    </row>
    <row r="51" spans="1:9" x14ac:dyDescent="0.45">
      <c r="A51" t="s">
        <v>41</v>
      </c>
      <c r="B51">
        <v>130.2347551</v>
      </c>
      <c r="C51">
        <v>124.426672</v>
      </c>
      <c r="D51">
        <f t="shared" si="3"/>
        <v>-5.8080831000000046</v>
      </c>
      <c r="E51">
        <f t="shared" si="1"/>
        <v>5.8080831000000046</v>
      </c>
      <c r="F51">
        <f t="shared" si="2"/>
        <v>33.733829296505661</v>
      </c>
      <c r="I51">
        <v>130.2347551</v>
      </c>
    </row>
    <row r="52" spans="1:9" x14ac:dyDescent="0.45">
      <c r="A52" t="s">
        <v>42</v>
      </c>
      <c r="B52">
        <v>134.90489299999999</v>
      </c>
      <c r="C52">
        <v>138.8287569</v>
      </c>
      <c r="D52">
        <f t="shared" si="3"/>
        <v>3.9238639000000148</v>
      </c>
      <c r="E52">
        <f t="shared" si="1"/>
        <v>3.9238639000000148</v>
      </c>
      <c r="F52">
        <f t="shared" si="2"/>
        <v>15.396707905723327</v>
      </c>
      <c r="I52">
        <v>134.90489299999999</v>
      </c>
    </row>
    <row r="53" spans="1:9" x14ac:dyDescent="0.45">
      <c r="A53" t="s">
        <v>43</v>
      </c>
      <c r="B53">
        <v>140.84900010000001</v>
      </c>
      <c r="C53">
        <v>146.72692480000001</v>
      </c>
      <c r="D53">
        <f t="shared" si="3"/>
        <v>5.8779246999999941</v>
      </c>
      <c r="E53">
        <f t="shared" si="1"/>
        <v>5.8779246999999941</v>
      </c>
      <c r="F53">
        <f t="shared" si="2"/>
        <v>34.54999877887002</v>
      </c>
      <c r="I53">
        <v>140.84900010000001</v>
      </c>
    </row>
    <row r="54" spans="1:9" x14ac:dyDescent="0.45">
      <c r="A54" t="s">
        <v>44</v>
      </c>
      <c r="B54">
        <v>139.38515609999999</v>
      </c>
      <c r="C54">
        <v>146.4200592</v>
      </c>
      <c r="D54">
        <f t="shared" si="3"/>
        <v>7.0349031000000082</v>
      </c>
      <c r="E54">
        <f t="shared" si="1"/>
        <v>7.0349031000000082</v>
      </c>
      <c r="F54">
        <f t="shared" si="2"/>
        <v>49.489861626389725</v>
      </c>
      <c r="I54">
        <v>139.38515609999999</v>
      </c>
    </row>
    <row r="55" spans="1:9" x14ac:dyDescent="0.45">
      <c r="A55" t="s">
        <v>45</v>
      </c>
      <c r="B55">
        <v>113.3613414</v>
      </c>
      <c r="C55">
        <v>112.35399</v>
      </c>
      <c r="D55">
        <f t="shared" si="3"/>
        <v>-1.0073514000000046</v>
      </c>
      <c r="E55">
        <f t="shared" si="1"/>
        <v>1.0073514000000046</v>
      </c>
      <c r="F55">
        <f t="shared" si="2"/>
        <v>1.0147568430819691</v>
      </c>
      <c r="I55">
        <v>113.3613414</v>
      </c>
    </row>
    <row r="56" spans="1:9" x14ac:dyDescent="0.45">
      <c r="A56" t="s">
        <v>46</v>
      </c>
      <c r="B56">
        <v>156.902434</v>
      </c>
      <c r="C56">
        <v>162.60375569999999</v>
      </c>
      <c r="D56">
        <f t="shared" si="3"/>
        <v>5.7013216999999941</v>
      </c>
      <c r="E56">
        <f t="shared" si="1"/>
        <v>5.7013216999999941</v>
      </c>
      <c r="F56">
        <f t="shared" si="2"/>
        <v>32.505069126890824</v>
      </c>
      <c r="I56">
        <v>156.902434</v>
      </c>
    </row>
    <row r="57" spans="1:9" x14ac:dyDescent="0.45">
      <c r="A57" t="s">
        <v>47</v>
      </c>
      <c r="B57">
        <v>129.85150379999999</v>
      </c>
      <c r="C57">
        <v>132.63115759999999</v>
      </c>
      <c r="D57">
        <f t="shared" si="3"/>
        <v>2.7796538000000055</v>
      </c>
      <c r="E57">
        <f t="shared" si="1"/>
        <v>2.7796538000000055</v>
      </c>
      <c r="F57">
        <f t="shared" si="2"/>
        <v>7.7264752478544709</v>
      </c>
      <c r="I57">
        <v>129.85150379999999</v>
      </c>
    </row>
    <row r="58" spans="1:9" x14ac:dyDescent="0.45">
      <c r="A58" t="s">
        <v>48</v>
      </c>
      <c r="B58">
        <v>145.83506819999999</v>
      </c>
      <c r="C58">
        <v>152.83479460000001</v>
      </c>
      <c r="D58">
        <f t="shared" si="3"/>
        <v>6.9997264000000143</v>
      </c>
      <c r="E58">
        <f t="shared" si="1"/>
        <v>6.9997264000000143</v>
      </c>
      <c r="F58">
        <f t="shared" si="2"/>
        <v>48.996169674857164</v>
      </c>
      <c r="I58">
        <v>145.83506819999999</v>
      </c>
    </row>
    <row r="59" spans="1:9" x14ac:dyDescent="0.45">
      <c r="A59" t="s">
        <v>49</v>
      </c>
      <c r="B59">
        <v>137.40856049999999</v>
      </c>
      <c r="C59">
        <v>131.1832742</v>
      </c>
      <c r="D59">
        <f t="shared" si="3"/>
        <v>-6.2252862999999934</v>
      </c>
      <c r="E59">
        <f t="shared" si="1"/>
        <v>6.2252862999999934</v>
      </c>
      <c r="F59">
        <f t="shared" si="2"/>
        <v>38.754189516967607</v>
      </c>
      <c r="I59">
        <v>137.40856049999999</v>
      </c>
    </row>
    <row r="60" spans="1:9" x14ac:dyDescent="0.45">
      <c r="A60" t="s">
        <v>50</v>
      </c>
      <c r="B60">
        <v>155.97343799999999</v>
      </c>
      <c r="C60">
        <v>168.8095592</v>
      </c>
      <c r="D60">
        <f t="shared" si="3"/>
        <v>12.836121200000008</v>
      </c>
      <c r="E60">
        <f t="shared" si="1"/>
        <v>12.836121200000008</v>
      </c>
      <c r="F60">
        <f t="shared" si="2"/>
        <v>164.76600746108966</v>
      </c>
      <c r="I60">
        <v>155.97343799999999</v>
      </c>
    </row>
    <row r="61" spans="1:9" x14ac:dyDescent="0.45">
      <c r="A61" t="s">
        <v>51</v>
      </c>
      <c r="B61">
        <v>128.8176516</v>
      </c>
      <c r="C61">
        <v>119.3996013</v>
      </c>
      <c r="D61">
        <f t="shared" si="3"/>
        <v>-9.4180503000000044</v>
      </c>
      <c r="E61">
        <f t="shared" si="1"/>
        <v>9.4180503000000044</v>
      </c>
      <c r="F61">
        <f t="shared" si="2"/>
        <v>88.699671453330168</v>
      </c>
      <c r="I61">
        <v>128.8176516</v>
      </c>
    </row>
    <row r="62" spans="1:9" x14ac:dyDescent="0.45">
      <c r="A62" t="s">
        <v>52</v>
      </c>
      <c r="B62">
        <v>115.4239718</v>
      </c>
      <c r="C62">
        <v>115.71439100000001</v>
      </c>
      <c r="D62">
        <f t="shared" si="3"/>
        <v>0.29041920000000232</v>
      </c>
      <c r="E62">
        <f t="shared" si="1"/>
        <v>0.29041920000000232</v>
      </c>
      <c r="F62">
        <f t="shared" si="2"/>
        <v>8.4343311728641346E-2</v>
      </c>
      <c r="I62">
        <v>115.4239718</v>
      </c>
    </row>
    <row r="63" spans="1:9" x14ac:dyDescent="0.45">
      <c r="A63" t="s">
        <v>53</v>
      </c>
      <c r="B63">
        <v>148.32661440000001</v>
      </c>
      <c r="C63">
        <v>153.74070119999999</v>
      </c>
      <c r="D63">
        <f t="shared" si="3"/>
        <v>5.4140867999999784</v>
      </c>
      <c r="E63">
        <f t="shared" si="1"/>
        <v>5.4140867999999784</v>
      </c>
      <c r="F63">
        <f t="shared" si="2"/>
        <v>29.312335877934007</v>
      </c>
      <c r="I63">
        <v>148.32661440000001</v>
      </c>
    </row>
    <row r="64" spans="1:9" x14ac:dyDescent="0.45">
      <c r="A64" t="s">
        <v>129</v>
      </c>
      <c r="B64">
        <v>136.36428470000001</v>
      </c>
      <c r="C64">
        <v>139.29530270000001</v>
      </c>
      <c r="D64">
        <f t="shared" si="3"/>
        <v>2.9310179999999946</v>
      </c>
      <c r="E64">
        <f t="shared" si="1"/>
        <v>2.9310179999999946</v>
      </c>
      <c r="F64">
        <f t="shared" si="2"/>
        <v>8.5908665163239686</v>
      </c>
      <c r="I64">
        <v>136.36428470000001</v>
      </c>
    </row>
    <row r="65" spans="1:9" x14ac:dyDescent="0.45">
      <c r="A65" t="s">
        <v>130</v>
      </c>
      <c r="B65">
        <v>137.9580775</v>
      </c>
      <c r="C65">
        <v>130.06974719999999</v>
      </c>
      <c r="D65">
        <f t="shared" si="3"/>
        <v>-7.8883303000000069</v>
      </c>
      <c r="E65">
        <f t="shared" si="1"/>
        <v>7.8883303000000069</v>
      </c>
      <c r="F65">
        <f t="shared" si="2"/>
        <v>62.225754921898201</v>
      </c>
      <c r="I65">
        <v>137.9580775</v>
      </c>
    </row>
    <row r="66" spans="1:9" x14ac:dyDescent="0.45">
      <c r="A66" t="s">
        <v>54</v>
      </c>
      <c r="B66">
        <v>122.2466561</v>
      </c>
      <c r="C66">
        <v>115.17675370000001</v>
      </c>
      <c r="D66">
        <f t="shared" ref="D66:D97" si="4">(C66-B66)</f>
        <v>-7.0699023999999895</v>
      </c>
      <c r="E66">
        <f t="shared" si="1"/>
        <v>7.0699023999999895</v>
      </c>
      <c r="F66">
        <f t="shared" si="2"/>
        <v>49.983519945525615</v>
      </c>
      <c r="I66">
        <v>122.2466561</v>
      </c>
    </row>
    <row r="67" spans="1:9" x14ac:dyDescent="0.45">
      <c r="A67" t="s">
        <v>55</v>
      </c>
      <c r="B67">
        <v>114.4560745</v>
      </c>
      <c r="C67">
        <v>118.7820734</v>
      </c>
      <c r="D67">
        <f t="shared" si="4"/>
        <v>4.3259989000000019</v>
      </c>
      <c r="E67">
        <f t="shared" ref="E67:E129" si="5">ABS(D67)</f>
        <v>4.3259989000000019</v>
      </c>
      <c r="F67">
        <f t="shared" ref="F67:F129" si="6">E67^2</f>
        <v>18.714266482801225</v>
      </c>
      <c r="I67">
        <v>114.4560745</v>
      </c>
    </row>
    <row r="68" spans="1:9" x14ac:dyDescent="0.45">
      <c r="A68" t="s">
        <v>56</v>
      </c>
      <c r="B68">
        <v>115.3298197</v>
      </c>
      <c r="C68">
        <v>111.9009046</v>
      </c>
      <c r="D68">
        <f t="shared" si="4"/>
        <v>-3.4289150999999976</v>
      </c>
      <c r="E68">
        <f t="shared" si="5"/>
        <v>3.4289150999999976</v>
      </c>
      <c r="F68">
        <f t="shared" si="6"/>
        <v>11.757458763007993</v>
      </c>
      <c r="I68">
        <v>115.3298197</v>
      </c>
    </row>
    <row r="69" spans="1:9" x14ac:dyDescent="0.45">
      <c r="A69" t="s">
        <v>57</v>
      </c>
      <c r="B69">
        <v>125.15739910000001</v>
      </c>
      <c r="C69">
        <v>121.29702810000001</v>
      </c>
      <c r="D69">
        <f t="shared" si="4"/>
        <v>-3.8603710000000007</v>
      </c>
      <c r="E69">
        <f t="shared" si="5"/>
        <v>3.8603710000000007</v>
      </c>
      <c r="F69">
        <f t="shared" si="6"/>
        <v>14.902464257641006</v>
      </c>
      <c r="I69">
        <v>125.15739910000001</v>
      </c>
    </row>
    <row r="70" spans="1:9" x14ac:dyDescent="0.45">
      <c r="A70" t="s">
        <v>58</v>
      </c>
      <c r="B70">
        <v>132.8022905</v>
      </c>
      <c r="C70">
        <v>131.2494423</v>
      </c>
      <c r="D70">
        <f t="shared" si="4"/>
        <v>-1.5528481999999997</v>
      </c>
      <c r="E70">
        <f t="shared" si="5"/>
        <v>1.5528481999999997</v>
      </c>
      <c r="F70">
        <f t="shared" si="6"/>
        <v>2.4113375322432389</v>
      </c>
      <c r="I70">
        <v>132.8022905</v>
      </c>
    </row>
    <row r="71" spans="1:9" x14ac:dyDescent="0.45">
      <c r="A71" t="s">
        <v>131</v>
      </c>
      <c r="B71">
        <v>122.433921</v>
      </c>
      <c r="C71">
        <v>121.7296365</v>
      </c>
      <c r="D71">
        <f t="shared" si="4"/>
        <v>-0.70428449999999998</v>
      </c>
      <c r="E71">
        <f t="shared" si="5"/>
        <v>0.70428449999999998</v>
      </c>
      <c r="F71">
        <f t="shared" si="6"/>
        <v>0.49601665694024999</v>
      </c>
      <c r="I71">
        <v>122.433921</v>
      </c>
    </row>
    <row r="72" spans="1:9" x14ac:dyDescent="0.45">
      <c r="A72" t="s">
        <v>132</v>
      </c>
      <c r="B72">
        <v>144.9409694</v>
      </c>
      <c r="C72">
        <v>148.35072160000001</v>
      </c>
      <c r="D72">
        <f t="shared" si="4"/>
        <v>3.409752200000014</v>
      </c>
      <c r="E72">
        <f t="shared" si="5"/>
        <v>3.409752200000014</v>
      </c>
      <c r="F72">
        <f t="shared" si="6"/>
        <v>11.626410065404935</v>
      </c>
      <c r="I72">
        <v>144.9409694</v>
      </c>
    </row>
    <row r="73" spans="1:9" x14ac:dyDescent="0.45">
      <c r="A73" t="s">
        <v>133</v>
      </c>
      <c r="B73">
        <v>133.2967975</v>
      </c>
      <c r="C73">
        <v>140.5988184</v>
      </c>
      <c r="D73">
        <f t="shared" si="4"/>
        <v>7.3020209000000023</v>
      </c>
      <c r="E73">
        <f t="shared" si="5"/>
        <v>7.3020209000000023</v>
      </c>
      <c r="F73">
        <f t="shared" si="6"/>
        <v>53.319509224036842</v>
      </c>
      <c r="I73">
        <v>133.2967975</v>
      </c>
    </row>
    <row r="74" spans="1:9" x14ac:dyDescent="0.45">
      <c r="A74" t="s">
        <v>59</v>
      </c>
      <c r="B74">
        <v>149.05415930000001</v>
      </c>
      <c r="C74">
        <v>136.33809780000001</v>
      </c>
      <c r="D74">
        <f t="shared" si="4"/>
        <v>-12.716061499999995</v>
      </c>
      <c r="E74">
        <f t="shared" si="5"/>
        <v>12.716061499999995</v>
      </c>
      <c r="F74">
        <f t="shared" si="6"/>
        <v>161.69822007178212</v>
      </c>
      <c r="I74">
        <v>149.05415930000001</v>
      </c>
    </row>
    <row r="75" spans="1:9" x14ac:dyDescent="0.45">
      <c r="A75" t="s">
        <v>60</v>
      </c>
      <c r="B75">
        <v>134.81290279999999</v>
      </c>
      <c r="C75">
        <v>134.1776175</v>
      </c>
      <c r="D75">
        <f t="shared" si="4"/>
        <v>-0.6352852999999925</v>
      </c>
      <c r="E75">
        <f t="shared" si="5"/>
        <v>0.6352852999999925</v>
      </c>
      <c r="F75">
        <f t="shared" si="6"/>
        <v>0.40358741239608048</v>
      </c>
      <c r="I75">
        <v>134.81290279999999</v>
      </c>
    </row>
    <row r="76" spans="1:9" x14ac:dyDescent="0.45">
      <c r="A76" t="s">
        <v>61</v>
      </c>
      <c r="B76">
        <v>120.5974934</v>
      </c>
      <c r="C76">
        <v>119.4037182</v>
      </c>
      <c r="D76">
        <f t="shared" si="4"/>
        <v>-1.1937752000000046</v>
      </c>
      <c r="E76">
        <f t="shared" si="5"/>
        <v>1.1937752000000046</v>
      </c>
      <c r="F76">
        <f t="shared" si="6"/>
        <v>1.425099228135051</v>
      </c>
      <c r="I76">
        <v>120.5974934</v>
      </c>
    </row>
    <row r="77" spans="1:9" x14ac:dyDescent="0.45">
      <c r="A77" t="s">
        <v>62</v>
      </c>
      <c r="B77">
        <v>129.1678895</v>
      </c>
      <c r="C77">
        <v>140.14522220000001</v>
      </c>
      <c r="D77">
        <f t="shared" si="4"/>
        <v>10.977332700000005</v>
      </c>
      <c r="E77">
        <f t="shared" si="5"/>
        <v>10.977332700000005</v>
      </c>
      <c r="F77">
        <f t="shared" si="6"/>
        <v>120.50183320648941</v>
      </c>
      <c r="I77">
        <v>129.1678895</v>
      </c>
    </row>
    <row r="78" spans="1:9" x14ac:dyDescent="0.45">
      <c r="A78" t="s">
        <v>63</v>
      </c>
      <c r="B78">
        <v>123.4168207</v>
      </c>
      <c r="C78">
        <v>119.3284128</v>
      </c>
      <c r="D78">
        <f t="shared" si="4"/>
        <v>-4.0884079000000071</v>
      </c>
      <c r="E78">
        <f t="shared" si="5"/>
        <v>4.0884079000000071</v>
      </c>
      <c r="F78">
        <f t="shared" si="6"/>
        <v>16.715079156782469</v>
      </c>
      <c r="I78">
        <v>123.4168207</v>
      </c>
    </row>
    <row r="79" spans="1:9" x14ac:dyDescent="0.45">
      <c r="A79" t="s">
        <v>64</v>
      </c>
      <c r="B79">
        <v>112.3364565</v>
      </c>
      <c r="C79">
        <v>115.6373038</v>
      </c>
      <c r="D79">
        <f t="shared" si="4"/>
        <v>3.3008473000000009</v>
      </c>
      <c r="E79">
        <f t="shared" si="5"/>
        <v>3.3008473000000009</v>
      </c>
      <c r="F79">
        <f t="shared" si="6"/>
        <v>10.895592897917297</v>
      </c>
      <c r="I79">
        <v>112.3364565</v>
      </c>
    </row>
    <row r="80" spans="1:9" x14ac:dyDescent="0.45">
      <c r="A80" t="s">
        <v>65</v>
      </c>
      <c r="B80">
        <v>123.83367730000001</v>
      </c>
      <c r="C80">
        <v>119.0653161</v>
      </c>
      <c r="D80">
        <f t="shared" si="4"/>
        <v>-4.7683612000000011</v>
      </c>
      <c r="E80">
        <f t="shared" si="5"/>
        <v>4.7683612000000011</v>
      </c>
      <c r="F80">
        <f t="shared" si="6"/>
        <v>22.73726853366545</v>
      </c>
      <c r="I80">
        <v>123.83367730000001</v>
      </c>
    </row>
    <row r="81" spans="1:9" x14ac:dyDescent="0.45">
      <c r="A81" t="s">
        <v>66</v>
      </c>
      <c r="B81">
        <v>136.80868219999999</v>
      </c>
      <c r="C81">
        <v>136.062285</v>
      </c>
      <c r="D81">
        <f t="shared" si="4"/>
        <v>-0.74639719999998988</v>
      </c>
      <c r="E81">
        <f t="shared" si="5"/>
        <v>0.74639719999998988</v>
      </c>
      <c r="F81">
        <f t="shared" si="6"/>
        <v>0.55710878016782495</v>
      </c>
      <c r="I81">
        <v>136.80868219999999</v>
      </c>
    </row>
    <row r="82" spans="1:9" x14ac:dyDescent="0.45">
      <c r="A82" t="s">
        <v>67</v>
      </c>
      <c r="B82">
        <v>121.3126651</v>
      </c>
      <c r="C82">
        <v>120.178217</v>
      </c>
      <c r="D82">
        <f t="shared" si="4"/>
        <v>-1.1344481000000002</v>
      </c>
      <c r="E82">
        <f t="shared" si="5"/>
        <v>1.1344481000000002</v>
      </c>
      <c r="F82">
        <f t="shared" si="6"/>
        <v>1.2869724915936105</v>
      </c>
      <c r="I82">
        <v>121.3126651</v>
      </c>
    </row>
    <row r="83" spans="1:9" x14ac:dyDescent="0.45">
      <c r="A83" t="s">
        <v>134</v>
      </c>
      <c r="B83">
        <v>95.551842750000006</v>
      </c>
      <c r="C83">
        <v>93.656608169999998</v>
      </c>
      <c r="D83">
        <f t="shared" si="4"/>
        <v>-1.8952345800000074</v>
      </c>
      <c r="E83">
        <f t="shared" si="5"/>
        <v>1.8952345800000074</v>
      </c>
      <c r="F83">
        <f t="shared" si="6"/>
        <v>3.5919141132278045</v>
      </c>
      <c r="I83">
        <v>95.551842750000006</v>
      </c>
    </row>
    <row r="84" spans="1:9" x14ac:dyDescent="0.45">
      <c r="A84" t="s">
        <v>136</v>
      </c>
      <c r="B84">
        <v>116.206496</v>
      </c>
      <c r="C84">
        <v>124.9778756</v>
      </c>
      <c r="D84">
        <f t="shared" si="4"/>
        <v>8.7713796000000031</v>
      </c>
      <c r="E84">
        <f t="shared" si="5"/>
        <v>8.7713796000000031</v>
      </c>
      <c r="F84">
        <f t="shared" si="6"/>
        <v>76.937100087296216</v>
      </c>
      <c r="I84">
        <v>116.206496</v>
      </c>
    </row>
    <row r="85" spans="1:9" x14ac:dyDescent="0.45">
      <c r="A85" t="s">
        <v>137</v>
      </c>
      <c r="B85">
        <v>138.2564021</v>
      </c>
      <c r="C85">
        <v>139.00912719999999</v>
      </c>
      <c r="D85">
        <f t="shared" si="4"/>
        <v>0.75272509999999215</v>
      </c>
      <c r="E85">
        <f t="shared" si="5"/>
        <v>0.75272509999999215</v>
      </c>
      <c r="F85">
        <f t="shared" si="6"/>
        <v>0.56659507616999816</v>
      </c>
      <c r="I85">
        <v>138.2564021</v>
      </c>
    </row>
    <row r="86" spans="1:9" x14ac:dyDescent="0.45">
      <c r="A86" t="s">
        <v>138</v>
      </c>
      <c r="B86">
        <v>138.89411770000001</v>
      </c>
      <c r="C86">
        <v>146.35261639999999</v>
      </c>
      <c r="D86">
        <f t="shared" si="4"/>
        <v>7.4584986999999785</v>
      </c>
      <c r="E86">
        <f t="shared" si="5"/>
        <v>7.4584986999999785</v>
      </c>
      <c r="F86">
        <f t="shared" si="6"/>
        <v>55.629202857901369</v>
      </c>
      <c r="I86">
        <v>138.89411770000001</v>
      </c>
    </row>
    <row r="87" spans="1:9" x14ac:dyDescent="0.45">
      <c r="A87" t="s">
        <v>69</v>
      </c>
      <c r="B87">
        <v>137.42136919999999</v>
      </c>
      <c r="C87">
        <v>124.8476215</v>
      </c>
      <c r="D87">
        <f t="shared" si="4"/>
        <v>-12.573747699999984</v>
      </c>
      <c r="E87">
        <f t="shared" si="5"/>
        <v>12.573747699999984</v>
      </c>
      <c r="F87">
        <f t="shared" si="6"/>
        <v>158.09913122325489</v>
      </c>
      <c r="I87">
        <v>137.42136919999999</v>
      </c>
    </row>
    <row r="88" spans="1:9" x14ac:dyDescent="0.45">
      <c r="A88" t="s">
        <v>70</v>
      </c>
      <c r="B88">
        <v>107.3358162</v>
      </c>
      <c r="C88">
        <v>124.83581169999999</v>
      </c>
      <c r="D88">
        <f t="shared" si="4"/>
        <v>17.499995499999997</v>
      </c>
      <c r="E88">
        <f t="shared" si="5"/>
        <v>17.499995499999997</v>
      </c>
      <c r="F88">
        <f t="shared" si="6"/>
        <v>306.24984250002012</v>
      </c>
      <c r="I88">
        <v>107.3358162</v>
      </c>
    </row>
    <row r="89" spans="1:9" x14ac:dyDescent="0.45">
      <c r="A89" t="s">
        <v>71</v>
      </c>
      <c r="B89">
        <v>130.30401900000001</v>
      </c>
      <c r="C89">
        <v>121.9437135</v>
      </c>
      <c r="D89">
        <f t="shared" si="4"/>
        <v>-8.3603055000000097</v>
      </c>
      <c r="E89">
        <f t="shared" si="5"/>
        <v>8.3603055000000097</v>
      </c>
      <c r="F89">
        <f t="shared" si="6"/>
        <v>69.894708053330419</v>
      </c>
      <c r="I89">
        <v>130.30401900000001</v>
      </c>
    </row>
    <row r="90" spans="1:9" x14ac:dyDescent="0.45">
      <c r="A90" t="s">
        <v>72</v>
      </c>
      <c r="B90">
        <v>142.22196640000001</v>
      </c>
      <c r="C90">
        <v>147.9607092</v>
      </c>
      <c r="D90">
        <f t="shared" si="4"/>
        <v>5.7387427999999829</v>
      </c>
      <c r="E90">
        <f t="shared" si="5"/>
        <v>5.7387427999999829</v>
      </c>
      <c r="F90">
        <f t="shared" si="6"/>
        <v>32.933168924551644</v>
      </c>
      <c r="I90">
        <v>142.22196640000001</v>
      </c>
    </row>
    <row r="91" spans="1:9" x14ac:dyDescent="0.45">
      <c r="A91" t="s">
        <v>73</v>
      </c>
      <c r="B91">
        <v>143.23970370000001</v>
      </c>
      <c r="C91">
        <v>143.6943742</v>
      </c>
      <c r="D91">
        <f t="shared" si="4"/>
        <v>0.45467049999999176</v>
      </c>
      <c r="E91">
        <f t="shared" si="5"/>
        <v>0.45467049999999176</v>
      </c>
      <c r="F91">
        <f t="shared" si="6"/>
        <v>0.20672526357024251</v>
      </c>
      <c r="I91">
        <v>143.23970370000001</v>
      </c>
    </row>
    <row r="92" spans="1:9" x14ac:dyDescent="0.45">
      <c r="A92" t="s">
        <v>74</v>
      </c>
      <c r="B92">
        <v>144.50904969999999</v>
      </c>
      <c r="C92">
        <v>140.63056019999999</v>
      </c>
      <c r="D92">
        <f t="shared" si="4"/>
        <v>-3.8784895000000006</v>
      </c>
      <c r="E92">
        <f t="shared" si="5"/>
        <v>3.8784895000000006</v>
      </c>
      <c r="F92">
        <f t="shared" si="6"/>
        <v>15.042680801610254</v>
      </c>
      <c r="I92">
        <v>144.50904969999999</v>
      </c>
    </row>
    <row r="93" spans="1:9" x14ac:dyDescent="0.45">
      <c r="A93" t="s">
        <v>75</v>
      </c>
      <c r="B93">
        <v>139.37298609999999</v>
      </c>
      <c r="C93">
        <v>142.75427529999999</v>
      </c>
      <c r="D93">
        <f t="shared" si="4"/>
        <v>3.3812891999999977</v>
      </c>
      <c r="E93">
        <f t="shared" si="5"/>
        <v>3.3812891999999977</v>
      </c>
      <c r="F93">
        <f t="shared" si="6"/>
        <v>11.433116654036624</v>
      </c>
      <c r="I93">
        <v>139.37298609999999</v>
      </c>
    </row>
    <row r="94" spans="1:9" x14ac:dyDescent="0.45">
      <c r="A94" t="s">
        <v>76</v>
      </c>
      <c r="B94">
        <v>127.08427260000001</v>
      </c>
      <c r="C94">
        <v>119.17906670000001</v>
      </c>
      <c r="D94">
        <f t="shared" si="4"/>
        <v>-7.9052058999999986</v>
      </c>
      <c r="E94">
        <f t="shared" si="5"/>
        <v>7.9052058999999986</v>
      </c>
      <c r="F94">
        <f t="shared" si="6"/>
        <v>62.492280321394787</v>
      </c>
      <c r="I94">
        <v>127.08427260000001</v>
      </c>
    </row>
    <row r="95" spans="1:9" x14ac:dyDescent="0.45">
      <c r="A95" t="s">
        <v>77</v>
      </c>
      <c r="B95">
        <v>141.77016</v>
      </c>
      <c r="C95">
        <v>132.14704119999999</v>
      </c>
      <c r="D95">
        <f t="shared" si="4"/>
        <v>-9.6231188000000145</v>
      </c>
      <c r="E95">
        <f t="shared" si="5"/>
        <v>9.6231188000000145</v>
      </c>
      <c r="F95">
        <f t="shared" si="6"/>
        <v>92.604415438913719</v>
      </c>
      <c r="I95">
        <v>141.77016</v>
      </c>
    </row>
    <row r="96" spans="1:9" x14ac:dyDescent="0.45">
      <c r="A96" t="s">
        <v>78</v>
      </c>
      <c r="B96">
        <v>107.1920624</v>
      </c>
      <c r="C96">
        <v>113.1155163</v>
      </c>
      <c r="D96">
        <f t="shared" si="4"/>
        <v>5.9234538999999984</v>
      </c>
      <c r="E96">
        <f t="shared" si="5"/>
        <v>5.9234538999999984</v>
      </c>
      <c r="F96">
        <f t="shared" si="6"/>
        <v>35.087306105425192</v>
      </c>
      <c r="I96">
        <v>107.1920624</v>
      </c>
    </row>
    <row r="97" spans="1:9" x14ac:dyDescent="0.45">
      <c r="A97" t="s">
        <v>79</v>
      </c>
      <c r="B97">
        <v>145.26536239999999</v>
      </c>
      <c r="C97">
        <v>149.96676629999999</v>
      </c>
      <c r="D97">
        <f t="shared" si="4"/>
        <v>4.7014039000000025</v>
      </c>
      <c r="E97">
        <f t="shared" si="5"/>
        <v>4.7014039000000025</v>
      </c>
      <c r="F97">
        <f t="shared" si="6"/>
        <v>22.103198630935232</v>
      </c>
      <c r="I97">
        <v>145.26536239999999</v>
      </c>
    </row>
    <row r="98" spans="1:9" x14ac:dyDescent="0.45">
      <c r="A98" t="s">
        <v>80</v>
      </c>
      <c r="B98">
        <v>157.61271070000001</v>
      </c>
      <c r="C98">
        <v>138.98043809999999</v>
      </c>
      <c r="D98">
        <f t="shared" ref="D98:D129" si="7">(C98-B98)</f>
        <v>-18.632272600000022</v>
      </c>
      <c r="E98">
        <f t="shared" si="5"/>
        <v>18.632272600000022</v>
      </c>
      <c r="F98">
        <f t="shared" si="6"/>
        <v>347.16158224071154</v>
      </c>
      <c r="I98">
        <v>157.61271070000001</v>
      </c>
    </row>
    <row r="99" spans="1:9" x14ac:dyDescent="0.45">
      <c r="A99" t="s">
        <v>81</v>
      </c>
      <c r="B99">
        <v>118.0672196</v>
      </c>
      <c r="C99">
        <v>115.5285877</v>
      </c>
      <c r="D99">
        <f t="shared" si="7"/>
        <v>-2.5386318999999986</v>
      </c>
      <c r="E99">
        <f t="shared" si="5"/>
        <v>2.5386318999999986</v>
      </c>
      <c r="F99">
        <f t="shared" si="6"/>
        <v>6.4446519236976032</v>
      </c>
      <c r="I99">
        <v>118.0672196</v>
      </c>
    </row>
    <row r="100" spans="1:9" s="3" customFormat="1" x14ac:dyDescent="0.45">
      <c r="A100" t="s">
        <v>82</v>
      </c>
      <c r="B100">
        <v>157.50219730000001</v>
      </c>
      <c r="C100">
        <v>165.52354059999999</v>
      </c>
      <c r="D100" s="3">
        <f t="shared" si="7"/>
        <v>8.0213432999999839</v>
      </c>
      <c r="E100" s="3">
        <f t="shared" si="5"/>
        <v>8.0213432999999839</v>
      </c>
      <c r="F100" s="3">
        <f t="shared" si="6"/>
        <v>64.341948336454635</v>
      </c>
      <c r="I100">
        <v>157.50219730000001</v>
      </c>
    </row>
    <row r="101" spans="1:9" x14ac:dyDescent="0.45">
      <c r="A101" t="s">
        <v>83</v>
      </c>
      <c r="B101">
        <v>150.94473310000001</v>
      </c>
      <c r="C101">
        <v>154.62097080000001</v>
      </c>
      <c r="D101">
        <f t="shared" si="7"/>
        <v>3.6762377000000015</v>
      </c>
      <c r="E101">
        <f t="shared" si="5"/>
        <v>3.6762377000000015</v>
      </c>
      <c r="F101">
        <f t="shared" si="6"/>
        <v>13.514723626901301</v>
      </c>
      <c r="I101">
        <v>150.94473310000001</v>
      </c>
    </row>
    <row r="102" spans="1:9" x14ac:dyDescent="0.45">
      <c r="A102" t="s">
        <v>84</v>
      </c>
      <c r="B102">
        <v>118.6535715</v>
      </c>
      <c r="C102">
        <v>121.9300853</v>
      </c>
      <c r="D102">
        <f t="shared" si="7"/>
        <v>3.2765138000000036</v>
      </c>
      <c r="E102">
        <f t="shared" si="5"/>
        <v>3.2765138000000036</v>
      </c>
      <c r="F102">
        <f t="shared" si="6"/>
        <v>10.735542681590463</v>
      </c>
      <c r="I102">
        <v>118.6535715</v>
      </c>
    </row>
    <row r="103" spans="1:9" x14ac:dyDescent="0.45">
      <c r="A103" t="s">
        <v>139</v>
      </c>
      <c r="B103">
        <v>125.8905867</v>
      </c>
      <c r="C103">
        <v>124.0283688</v>
      </c>
      <c r="D103">
        <f t="shared" si="7"/>
        <v>-1.8622179000000045</v>
      </c>
      <c r="E103">
        <f t="shared" si="5"/>
        <v>1.8622179000000045</v>
      </c>
      <c r="F103">
        <f t="shared" si="6"/>
        <v>3.4678555070804267</v>
      </c>
      <c r="I103">
        <v>125.8905867</v>
      </c>
    </row>
    <row r="104" spans="1:9" x14ac:dyDescent="0.45">
      <c r="A104" t="s">
        <v>140</v>
      </c>
      <c r="B104">
        <v>133.22609499999999</v>
      </c>
      <c r="C104">
        <v>129.3746883</v>
      </c>
      <c r="D104">
        <f t="shared" si="7"/>
        <v>-3.8514066999999841</v>
      </c>
      <c r="E104">
        <f t="shared" si="5"/>
        <v>3.8514066999999841</v>
      </c>
      <c r="F104">
        <f t="shared" si="6"/>
        <v>14.833333568804768</v>
      </c>
      <c r="I104">
        <v>133.22609499999999</v>
      </c>
    </row>
    <row r="105" spans="1:9" x14ac:dyDescent="0.45">
      <c r="A105" t="s">
        <v>85</v>
      </c>
      <c r="B105">
        <v>135.98142970000001</v>
      </c>
      <c r="C105">
        <v>131.4994092</v>
      </c>
      <c r="D105">
        <f t="shared" si="7"/>
        <v>-4.4820205000000044</v>
      </c>
      <c r="E105">
        <f t="shared" si="5"/>
        <v>4.4820205000000044</v>
      </c>
      <c r="F105">
        <f t="shared" si="6"/>
        <v>20.088507762420289</v>
      </c>
      <c r="I105">
        <v>135.98142970000001</v>
      </c>
    </row>
    <row r="106" spans="1:9" x14ac:dyDescent="0.45">
      <c r="A106" t="s">
        <v>86</v>
      </c>
      <c r="B106">
        <v>137.87582549999999</v>
      </c>
      <c r="C106">
        <v>134.87133309999999</v>
      </c>
      <c r="D106">
        <f t="shared" si="7"/>
        <v>-3.0044924000000037</v>
      </c>
      <c r="E106">
        <f t="shared" si="5"/>
        <v>3.0044924000000037</v>
      </c>
      <c r="F106">
        <f t="shared" si="6"/>
        <v>9.0269745816577824</v>
      </c>
      <c r="I106">
        <v>137.87582549999999</v>
      </c>
    </row>
    <row r="107" spans="1:9" x14ac:dyDescent="0.45">
      <c r="A107" t="s">
        <v>87</v>
      </c>
      <c r="B107">
        <v>129.4337543</v>
      </c>
      <c r="C107">
        <v>108.50490720000001</v>
      </c>
      <c r="D107">
        <f t="shared" si="7"/>
        <v>-20.928847099999999</v>
      </c>
      <c r="E107">
        <f t="shared" si="5"/>
        <v>20.928847099999999</v>
      </c>
      <c r="F107">
        <f t="shared" si="6"/>
        <v>438.01664093517837</v>
      </c>
      <c r="I107">
        <v>129.4337543</v>
      </c>
    </row>
    <row r="108" spans="1:9" x14ac:dyDescent="0.45">
      <c r="A108" t="s">
        <v>88</v>
      </c>
      <c r="B108">
        <v>120.79034129999999</v>
      </c>
      <c r="C108">
        <v>121.69699009999999</v>
      </c>
      <c r="D108">
        <f t="shared" si="7"/>
        <v>0.90664879999999926</v>
      </c>
      <c r="E108">
        <f t="shared" si="5"/>
        <v>0.90664879999999926</v>
      </c>
      <c r="F108">
        <f t="shared" si="6"/>
        <v>0.82201204654143867</v>
      </c>
      <c r="I108">
        <v>120.79034129999999</v>
      </c>
    </row>
    <row r="109" spans="1:9" x14ac:dyDescent="0.45">
      <c r="A109" t="s">
        <v>89</v>
      </c>
      <c r="B109">
        <v>139.06117760000001</v>
      </c>
      <c r="C109">
        <v>139.80883639999999</v>
      </c>
      <c r="D109">
        <f t="shared" si="7"/>
        <v>0.74765879999998219</v>
      </c>
      <c r="E109">
        <f t="shared" si="5"/>
        <v>0.74765879999998219</v>
      </c>
      <c r="F109">
        <f t="shared" si="6"/>
        <v>0.55899368121741333</v>
      </c>
      <c r="I109">
        <v>139.06117760000001</v>
      </c>
    </row>
    <row r="110" spans="1:9" x14ac:dyDescent="0.45">
      <c r="A110" t="s">
        <v>90</v>
      </c>
      <c r="B110">
        <v>111.7451444</v>
      </c>
      <c r="C110">
        <v>120.7098756</v>
      </c>
      <c r="D110">
        <f t="shared" si="7"/>
        <v>8.9647312000000028</v>
      </c>
      <c r="E110">
        <f t="shared" si="5"/>
        <v>8.9647312000000028</v>
      </c>
      <c r="F110">
        <f t="shared" si="6"/>
        <v>80.366405488253491</v>
      </c>
      <c r="I110">
        <v>111.7451444</v>
      </c>
    </row>
    <row r="111" spans="1:9" x14ac:dyDescent="0.45">
      <c r="A111" t="s">
        <v>91</v>
      </c>
      <c r="B111">
        <v>143.9075929</v>
      </c>
      <c r="C111">
        <v>156.7786328</v>
      </c>
      <c r="D111">
        <f t="shared" si="7"/>
        <v>12.8710399</v>
      </c>
      <c r="E111">
        <f t="shared" si="5"/>
        <v>12.8710399</v>
      </c>
      <c r="F111">
        <f t="shared" si="6"/>
        <v>165.663668107392</v>
      </c>
      <c r="I111">
        <v>143.9075929</v>
      </c>
    </row>
    <row r="112" spans="1:9" x14ac:dyDescent="0.45">
      <c r="A112" t="s">
        <v>92</v>
      </c>
      <c r="B112">
        <v>145.63021230000001</v>
      </c>
      <c r="C112">
        <v>150.0304639</v>
      </c>
      <c r="D112">
        <f t="shared" si="7"/>
        <v>4.40025159999999</v>
      </c>
      <c r="E112">
        <f t="shared" si="5"/>
        <v>4.40025159999999</v>
      </c>
      <c r="F112">
        <f t="shared" si="6"/>
        <v>19.362214143302474</v>
      </c>
      <c r="I112">
        <v>145.63021230000001</v>
      </c>
    </row>
    <row r="113" spans="1:9" x14ac:dyDescent="0.45">
      <c r="A113" t="s">
        <v>93</v>
      </c>
      <c r="B113">
        <v>129.4943715</v>
      </c>
      <c r="C113">
        <v>126.84978409999999</v>
      </c>
      <c r="D113">
        <f t="shared" si="7"/>
        <v>-2.644587400000006</v>
      </c>
      <c r="E113">
        <f t="shared" si="5"/>
        <v>2.644587400000006</v>
      </c>
      <c r="F113">
        <f t="shared" si="6"/>
        <v>6.9938425162387921</v>
      </c>
      <c r="I113">
        <v>129.4943715</v>
      </c>
    </row>
    <row r="114" spans="1:9" x14ac:dyDescent="0.45">
      <c r="A114" t="s">
        <v>94</v>
      </c>
      <c r="B114">
        <v>133.98963470000001</v>
      </c>
      <c r="C114">
        <v>136.5072529</v>
      </c>
      <c r="D114">
        <f t="shared" si="7"/>
        <v>2.5176181999999869</v>
      </c>
      <c r="E114">
        <f t="shared" si="5"/>
        <v>2.5176181999999869</v>
      </c>
      <c r="F114">
        <f t="shared" si="6"/>
        <v>6.3384014009711738</v>
      </c>
      <c r="I114">
        <v>133.98963470000001</v>
      </c>
    </row>
    <row r="115" spans="1:9" x14ac:dyDescent="0.45">
      <c r="A115" t="s">
        <v>95</v>
      </c>
      <c r="B115">
        <v>120.0013965</v>
      </c>
      <c r="C115">
        <v>130.10383680000001</v>
      </c>
      <c r="D115">
        <f t="shared" si="7"/>
        <v>10.102440300000012</v>
      </c>
      <c r="E115">
        <f t="shared" si="5"/>
        <v>10.102440300000012</v>
      </c>
      <c r="F115">
        <f t="shared" si="6"/>
        <v>102.05930001506434</v>
      </c>
      <c r="I115">
        <v>120.0013965</v>
      </c>
    </row>
    <row r="116" spans="1:9" x14ac:dyDescent="0.45">
      <c r="A116" t="s">
        <v>96</v>
      </c>
      <c r="B116">
        <v>118.77536790000001</v>
      </c>
      <c r="C116">
        <v>131.83159670000001</v>
      </c>
      <c r="D116">
        <f t="shared" si="7"/>
        <v>13.0562288</v>
      </c>
      <c r="E116">
        <f t="shared" si="5"/>
        <v>13.0562288</v>
      </c>
      <c r="F116">
        <f t="shared" si="6"/>
        <v>170.46511047794942</v>
      </c>
      <c r="I116">
        <v>118.77536790000001</v>
      </c>
    </row>
    <row r="117" spans="1:9" x14ac:dyDescent="0.45">
      <c r="A117" t="s">
        <v>97</v>
      </c>
      <c r="B117">
        <v>127.556984</v>
      </c>
      <c r="C117">
        <v>143.0466887</v>
      </c>
      <c r="D117">
        <f t="shared" si="7"/>
        <v>15.489704700000004</v>
      </c>
      <c r="E117">
        <f t="shared" si="5"/>
        <v>15.489704700000004</v>
      </c>
      <c r="F117">
        <f t="shared" si="6"/>
        <v>239.93095169320222</v>
      </c>
      <c r="I117">
        <v>127.556984</v>
      </c>
    </row>
    <row r="118" spans="1:9" x14ac:dyDescent="0.45">
      <c r="A118" t="s">
        <v>98</v>
      </c>
      <c r="B118">
        <v>117.8235451</v>
      </c>
      <c r="C118">
        <v>114.5270931</v>
      </c>
      <c r="D118">
        <f t="shared" si="7"/>
        <v>-3.2964520000000022</v>
      </c>
      <c r="E118">
        <f t="shared" si="5"/>
        <v>3.2964520000000022</v>
      </c>
      <c r="F118">
        <f t="shared" si="6"/>
        <v>10.866595788304014</v>
      </c>
      <c r="I118">
        <v>117.8235451</v>
      </c>
    </row>
    <row r="119" spans="1:9" x14ac:dyDescent="0.45">
      <c r="A119" t="s">
        <v>99</v>
      </c>
      <c r="B119">
        <v>137.87397480000001</v>
      </c>
      <c r="C119">
        <v>132.9050039</v>
      </c>
      <c r="D119">
        <f t="shared" si="7"/>
        <v>-4.9689709000000164</v>
      </c>
      <c r="E119">
        <f t="shared" si="5"/>
        <v>4.9689709000000164</v>
      </c>
      <c r="F119">
        <f t="shared" si="6"/>
        <v>24.690671805046971</v>
      </c>
      <c r="I119">
        <v>137.87397480000001</v>
      </c>
    </row>
    <row r="120" spans="1:9" x14ac:dyDescent="0.45">
      <c r="A120" t="s">
        <v>100</v>
      </c>
      <c r="B120">
        <v>107.05419620000001</v>
      </c>
      <c r="C120">
        <v>102.1628602</v>
      </c>
      <c r="D120">
        <f t="shared" si="7"/>
        <v>-4.8913360000000097</v>
      </c>
      <c r="E120">
        <f t="shared" si="5"/>
        <v>4.8913360000000097</v>
      </c>
      <c r="F120">
        <f t="shared" si="6"/>
        <v>23.925167864896096</v>
      </c>
      <c r="I120">
        <v>107.05419620000001</v>
      </c>
    </row>
    <row r="121" spans="1:9" x14ac:dyDescent="0.45">
      <c r="A121" t="s">
        <v>101</v>
      </c>
      <c r="B121">
        <v>104.87901650000001</v>
      </c>
      <c r="C121">
        <v>109.0732363</v>
      </c>
      <c r="D121">
        <f t="shared" si="7"/>
        <v>4.1942197999999991</v>
      </c>
      <c r="E121">
        <f t="shared" si="5"/>
        <v>4.1942197999999991</v>
      </c>
      <c r="F121">
        <f t="shared" si="6"/>
        <v>17.591479730712031</v>
      </c>
      <c r="I121">
        <v>104.87901650000001</v>
      </c>
    </row>
    <row r="122" spans="1:9" x14ac:dyDescent="0.45">
      <c r="A122" t="s">
        <v>102</v>
      </c>
      <c r="B122">
        <v>132.45410190000001</v>
      </c>
      <c r="C122">
        <v>124.2777045</v>
      </c>
      <c r="D122">
        <f t="shared" si="7"/>
        <v>-8.1763974000000132</v>
      </c>
      <c r="E122">
        <f t="shared" si="5"/>
        <v>8.1763974000000132</v>
      </c>
      <c r="F122">
        <f t="shared" si="6"/>
        <v>66.853474442726977</v>
      </c>
      <c r="I122">
        <v>132.45410190000001</v>
      </c>
    </row>
    <row r="123" spans="1:9" x14ac:dyDescent="0.45">
      <c r="A123" t="s">
        <v>103</v>
      </c>
      <c r="B123">
        <v>136.83625129999999</v>
      </c>
      <c r="C123">
        <v>136.56539989999999</v>
      </c>
      <c r="D123">
        <f t="shared" si="7"/>
        <v>-0.27085139999999797</v>
      </c>
      <c r="E123">
        <f t="shared" si="5"/>
        <v>0.27085139999999797</v>
      </c>
      <c r="F123">
        <f t="shared" si="6"/>
        <v>7.33604808819589E-2</v>
      </c>
      <c r="I123">
        <v>136.83625129999999</v>
      </c>
    </row>
    <row r="124" spans="1:9" x14ac:dyDescent="0.45">
      <c r="A124" t="s">
        <v>104</v>
      </c>
      <c r="B124">
        <v>129.8489136</v>
      </c>
      <c r="C124">
        <v>129.05473119999999</v>
      </c>
      <c r="D124">
        <f t="shared" si="7"/>
        <v>-0.79418240000001106</v>
      </c>
      <c r="E124">
        <f t="shared" si="5"/>
        <v>0.79418240000001106</v>
      </c>
      <c r="F124">
        <f t="shared" si="6"/>
        <v>0.63072568446977761</v>
      </c>
      <c r="I124">
        <v>129.8489136</v>
      </c>
    </row>
    <row r="125" spans="1:9" x14ac:dyDescent="0.45">
      <c r="A125" t="s">
        <v>105</v>
      </c>
      <c r="B125">
        <v>145.0501064</v>
      </c>
      <c r="C125">
        <v>144.85967640000001</v>
      </c>
      <c r="D125">
        <f t="shared" si="7"/>
        <v>-0.19042999999999211</v>
      </c>
      <c r="E125">
        <f t="shared" si="5"/>
        <v>0.19042999999999211</v>
      </c>
      <c r="F125">
        <f t="shared" si="6"/>
        <v>3.6263584899996995E-2</v>
      </c>
      <c r="I125">
        <v>145.0501064</v>
      </c>
    </row>
    <row r="126" spans="1:9" x14ac:dyDescent="0.45">
      <c r="A126" t="s">
        <v>106</v>
      </c>
      <c r="B126">
        <v>139.71605700000001</v>
      </c>
      <c r="C126">
        <v>128.70909080000001</v>
      </c>
      <c r="D126">
        <f t="shared" si="7"/>
        <v>-11.006966199999994</v>
      </c>
      <c r="E126">
        <f t="shared" si="5"/>
        <v>11.006966199999994</v>
      </c>
      <c r="F126">
        <f t="shared" si="6"/>
        <v>121.1533049279423</v>
      </c>
      <c r="I126">
        <v>139.71605700000001</v>
      </c>
    </row>
    <row r="127" spans="1:9" x14ac:dyDescent="0.45">
      <c r="A127" t="s">
        <v>141</v>
      </c>
      <c r="B127">
        <v>145.10007519999999</v>
      </c>
      <c r="C127">
        <v>142.83074199999999</v>
      </c>
      <c r="D127">
        <f t="shared" si="7"/>
        <v>-2.2693332000000055</v>
      </c>
      <c r="E127">
        <f t="shared" si="5"/>
        <v>2.2693332000000055</v>
      </c>
      <c r="F127">
        <f t="shared" si="6"/>
        <v>5.1498731726222653</v>
      </c>
      <c r="I127">
        <v>145.10007519999999</v>
      </c>
    </row>
    <row r="128" spans="1:9" x14ac:dyDescent="0.45">
      <c r="A128" t="s">
        <v>142</v>
      </c>
      <c r="B128">
        <v>147.3346722</v>
      </c>
      <c r="C128">
        <v>144.91615429999999</v>
      </c>
      <c r="D128">
        <f t="shared" si="7"/>
        <v>-2.4185179000000119</v>
      </c>
      <c r="E128">
        <f t="shared" si="5"/>
        <v>2.4185179000000119</v>
      </c>
      <c r="F128">
        <f t="shared" si="6"/>
        <v>5.8492288326204678</v>
      </c>
      <c r="I128">
        <v>147.3346722</v>
      </c>
    </row>
    <row r="129" spans="1:9" x14ac:dyDescent="0.45">
      <c r="A129" t="s">
        <v>107</v>
      </c>
      <c r="B129">
        <v>119.419533</v>
      </c>
      <c r="C129">
        <v>112.2078636</v>
      </c>
      <c r="D129">
        <f t="shared" si="7"/>
        <v>-7.2116694000000052</v>
      </c>
      <c r="E129">
        <f t="shared" si="5"/>
        <v>7.2116694000000052</v>
      </c>
      <c r="F129">
        <f t="shared" si="6"/>
        <v>52.008175534896438</v>
      </c>
      <c r="I129">
        <v>119.419533</v>
      </c>
    </row>
    <row r="130" spans="1:9" x14ac:dyDescent="0.45">
      <c r="A130" t="s">
        <v>108</v>
      </c>
      <c r="B130">
        <v>121.22724030000001</v>
      </c>
      <c r="C130">
        <v>127.8471156</v>
      </c>
      <c r="D130">
        <f t="shared" ref="D130:D134" si="8">(C130-B130)</f>
        <v>6.6198752999999897</v>
      </c>
      <c r="E130">
        <f t="shared" ref="E130:E134" si="9">ABS(D130)</f>
        <v>6.6198752999999897</v>
      </c>
      <c r="F130">
        <f t="shared" ref="F130:F134" si="10">E130^2</f>
        <v>43.82274898754995</v>
      </c>
      <c r="I130">
        <v>121.22724030000001</v>
      </c>
    </row>
    <row r="131" spans="1:9" x14ac:dyDescent="0.45">
      <c r="A131" t="s">
        <v>109</v>
      </c>
      <c r="B131">
        <v>130.3771873</v>
      </c>
      <c r="C131">
        <v>132.12185840000001</v>
      </c>
      <c r="D131">
        <f t="shared" si="8"/>
        <v>1.744671100000005</v>
      </c>
      <c r="E131">
        <f t="shared" si="9"/>
        <v>1.744671100000005</v>
      </c>
      <c r="F131">
        <f t="shared" si="10"/>
        <v>3.0438772471752276</v>
      </c>
      <c r="I131">
        <v>130.3771873</v>
      </c>
    </row>
    <row r="132" spans="1:9" x14ac:dyDescent="0.45">
      <c r="A132" t="s">
        <v>110</v>
      </c>
      <c r="B132">
        <v>123.9510762</v>
      </c>
      <c r="C132">
        <v>122.95011580000001</v>
      </c>
      <c r="D132">
        <f t="shared" si="8"/>
        <v>-1.0009603999999968</v>
      </c>
      <c r="E132">
        <f t="shared" si="9"/>
        <v>1.0009603999999968</v>
      </c>
      <c r="F132">
        <f t="shared" si="10"/>
        <v>1.0019217223681536</v>
      </c>
      <c r="I132">
        <v>123.9510762</v>
      </c>
    </row>
    <row r="133" spans="1:9" x14ac:dyDescent="0.45">
      <c r="A133" t="s">
        <v>111</v>
      </c>
      <c r="B133">
        <v>145.0859226</v>
      </c>
      <c r="C133">
        <v>154.4146619</v>
      </c>
      <c r="D133">
        <f t="shared" si="8"/>
        <v>9.3287392999999952</v>
      </c>
      <c r="E133">
        <f t="shared" si="9"/>
        <v>9.3287392999999952</v>
      </c>
      <c r="F133">
        <f t="shared" si="10"/>
        <v>87.025376927364405</v>
      </c>
      <c r="I133">
        <v>145.0859226</v>
      </c>
    </row>
    <row r="134" spans="1:9" x14ac:dyDescent="0.45">
      <c r="A134" t="s">
        <v>112</v>
      </c>
      <c r="B134">
        <v>137.3919894</v>
      </c>
      <c r="C134">
        <v>140.30798160000001</v>
      </c>
      <c r="D134">
        <f t="shared" si="8"/>
        <v>2.9159922000000051</v>
      </c>
      <c r="E134">
        <f t="shared" si="9"/>
        <v>2.9159922000000051</v>
      </c>
      <c r="F134">
        <f t="shared" si="10"/>
        <v>8.5030105104608698</v>
      </c>
      <c r="I134">
        <v>137.3919894</v>
      </c>
    </row>
    <row r="135" spans="1:9" x14ac:dyDescent="0.45">
      <c r="D135">
        <f>AVERAGE(D2:D134)</f>
        <v>0.43569097496240444</v>
      </c>
      <c r="E135">
        <f>AVERAGE(E2:E134)</f>
        <v>5.7561695333082694</v>
      </c>
      <c r="F135">
        <f>SQRT(AVERAGE(F2:F134))</f>
        <v>7.6356117020494869</v>
      </c>
    </row>
    <row r="136" spans="1:9" x14ac:dyDescent="0.45">
      <c r="B136">
        <f>MIN(B2:B134)</f>
        <v>95.551842750000006</v>
      </c>
      <c r="C136">
        <f>MIN(C2:C134)</f>
        <v>91.801185469999993</v>
      </c>
    </row>
    <row r="137" spans="1:9" x14ac:dyDescent="0.45">
      <c r="B137">
        <f>MAX(B2:B134)</f>
        <v>157.61271070000001</v>
      </c>
      <c r="C137">
        <f>MAX(C2:C134)</f>
        <v>168.8095592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1C702-935F-4138-8E96-F83B4E60E8D2}">
  <dimension ref="A1:AS135"/>
  <sheetViews>
    <sheetView workbookViewId="0">
      <selection activeCell="C1" sqref="C1"/>
    </sheetView>
  </sheetViews>
  <sheetFormatPr defaultRowHeight="14.25" x14ac:dyDescent="0.45"/>
  <cols>
    <col min="13" max="13" width="11.46484375" customWidth="1"/>
    <col min="14" max="14" width="11.1328125" customWidth="1"/>
  </cols>
  <sheetData>
    <row r="1" spans="1:45" s="2" customFormat="1" ht="14.65" customHeight="1" x14ac:dyDescent="0.45">
      <c r="A1" s="2" t="s">
        <v>6</v>
      </c>
      <c r="B1" s="2" t="s">
        <v>176</v>
      </c>
      <c r="C1" s="2" t="s">
        <v>177</v>
      </c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  <c r="I1" s="2" t="s">
        <v>5</v>
      </c>
    </row>
    <row r="2" spans="1:45" x14ac:dyDescent="0.45">
      <c r="A2" t="s">
        <v>113</v>
      </c>
      <c r="B2">
        <v>91.258685279999995</v>
      </c>
      <c r="C2">
        <v>90.775949600000004</v>
      </c>
      <c r="D2">
        <f t="shared" ref="D2:D33" si="0">(C2-B2)</f>
        <v>-0.48273567999999045</v>
      </c>
      <c r="E2">
        <f>ABS(D2)</f>
        <v>0.48273567999999045</v>
      </c>
      <c r="F2">
        <f>E2^2</f>
        <v>0.23303373674505318</v>
      </c>
      <c r="G2">
        <f>CORREL(B2:B132,C2:C132)</f>
        <v>0.97235804714487351</v>
      </c>
      <c r="H2">
        <f>G2^2</f>
        <v>0.94548017184739208</v>
      </c>
      <c r="I2">
        <v>91.258685279999995</v>
      </c>
    </row>
    <row r="3" spans="1:45" x14ac:dyDescent="0.45">
      <c r="A3" t="s">
        <v>114</v>
      </c>
      <c r="B3">
        <v>89.850270879999997</v>
      </c>
      <c r="C3">
        <v>89.244592269999998</v>
      </c>
      <c r="D3">
        <f t="shared" si="0"/>
        <v>-0.60567860999999823</v>
      </c>
      <c r="E3">
        <f t="shared" ref="E3:E64" si="1">ABS(D3)</f>
        <v>0.60567860999999823</v>
      </c>
      <c r="F3">
        <f t="shared" ref="F3:F64" si="2">E3^2</f>
        <v>0.36684657861152997</v>
      </c>
      <c r="I3">
        <v>89.850270879999997</v>
      </c>
    </row>
    <row r="4" spans="1:45" x14ac:dyDescent="0.45">
      <c r="A4" t="s">
        <v>115</v>
      </c>
      <c r="B4">
        <v>90.819145739999996</v>
      </c>
      <c r="C4">
        <v>90.469790020000005</v>
      </c>
      <c r="D4">
        <f t="shared" si="0"/>
        <v>-0.34935571999999127</v>
      </c>
      <c r="E4">
        <f t="shared" si="1"/>
        <v>0.34935571999999127</v>
      </c>
      <c r="F4">
        <f t="shared" si="2"/>
        <v>0.1220494190967123</v>
      </c>
      <c r="I4">
        <v>90.819145739999996</v>
      </c>
    </row>
    <row r="5" spans="1:45" x14ac:dyDescent="0.45">
      <c r="A5" t="s">
        <v>116</v>
      </c>
      <c r="B5">
        <v>77.926682330000006</v>
      </c>
      <c r="C5">
        <v>78.253115840000007</v>
      </c>
      <c r="D5">
        <f t="shared" si="0"/>
        <v>0.32643351000000109</v>
      </c>
      <c r="E5">
        <f t="shared" si="1"/>
        <v>0.32643351000000109</v>
      </c>
      <c r="F5">
        <f t="shared" si="2"/>
        <v>0.10655883645092082</v>
      </c>
      <c r="I5">
        <v>77.926682330000006</v>
      </c>
    </row>
    <row r="6" spans="1:45" x14ac:dyDescent="0.45">
      <c r="A6" t="s">
        <v>117</v>
      </c>
      <c r="B6">
        <v>89.077999500000004</v>
      </c>
      <c r="C6">
        <v>89.048078459999999</v>
      </c>
      <c r="D6">
        <f t="shared" si="0"/>
        <v>-2.992104000000495E-2</v>
      </c>
      <c r="E6">
        <f t="shared" si="1"/>
        <v>2.992104000000495E-2</v>
      </c>
      <c r="F6">
        <f t="shared" si="2"/>
        <v>8.9526863468189619E-4</v>
      </c>
      <c r="I6">
        <v>89.077999500000004</v>
      </c>
    </row>
    <row r="7" spans="1:45" x14ac:dyDescent="0.45">
      <c r="A7" t="s">
        <v>118</v>
      </c>
      <c r="B7">
        <v>72.180617150000003</v>
      </c>
      <c r="C7">
        <v>65.134303399999993</v>
      </c>
      <c r="D7">
        <f t="shared" si="0"/>
        <v>-7.0463137500000101</v>
      </c>
      <c r="E7">
        <f t="shared" si="1"/>
        <v>7.0463137500000101</v>
      </c>
      <c r="F7">
        <f t="shared" si="2"/>
        <v>49.650537463439207</v>
      </c>
      <c r="I7">
        <v>72.180617150000003</v>
      </c>
    </row>
    <row r="8" spans="1:45" x14ac:dyDescent="0.45">
      <c r="A8" t="s">
        <v>7</v>
      </c>
      <c r="B8">
        <v>113.1914419</v>
      </c>
      <c r="C8">
        <v>114.65891569999999</v>
      </c>
      <c r="D8">
        <f t="shared" si="0"/>
        <v>1.4674737999999934</v>
      </c>
      <c r="E8">
        <f t="shared" si="1"/>
        <v>1.4674737999999934</v>
      </c>
      <c r="F8">
        <f t="shared" si="2"/>
        <v>2.1534793536864205</v>
      </c>
      <c r="I8">
        <v>113.1914419</v>
      </c>
    </row>
    <row r="9" spans="1:45" x14ac:dyDescent="0.45">
      <c r="A9" t="s">
        <v>8</v>
      </c>
      <c r="B9">
        <v>112.3610477</v>
      </c>
      <c r="C9">
        <v>113.09976</v>
      </c>
      <c r="D9">
        <f t="shared" si="0"/>
        <v>0.7387123000000031</v>
      </c>
      <c r="E9">
        <f t="shared" si="1"/>
        <v>0.7387123000000031</v>
      </c>
      <c r="F9">
        <f t="shared" si="2"/>
        <v>0.54569586217129462</v>
      </c>
      <c r="I9">
        <v>112.3610477</v>
      </c>
    </row>
    <row r="10" spans="1:45" x14ac:dyDescent="0.45">
      <c r="A10" t="s">
        <v>9</v>
      </c>
      <c r="B10">
        <v>104.2583101</v>
      </c>
      <c r="C10">
        <v>105.58440950000001</v>
      </c>
      <c r="D10">
        <f t="shared" si="0"/>
        <v>1.3260994000000039</v>
      </c>
      <c r="E10">
        <f t="shared" si="1"/>
        <v>1.3260994000000039</v>
      </c>
      <c r="F10">
        <f t="shared" si="2"/>
        <v>1.7585396186803703</v>
      </c>
      <c r="I10">
        <v>104.2583101</v>
      </c>
    </row>
    <row r="11" spans="1:45" x14ac:dyDescent="0.45">
      <c r="A11" t="s">
        <v>10</v>
      </c>
      <c r="B11">
        <v>98.716403029999995</v>
      </c>
      <c r="C11">
        <v>100.6490429</v>
      </c>
      <c r="D11">
        <f t="shared" si="0"/>
        <v>1.9326398700000027</v>
      </c>
      <c r="E11">
        <f t="shared" si="1"/>
        <v>1.9326398700000027</v>
      </c>
      <c r="F11">
        <f t="shared" si="2"/>
        <v>3.7350968671136275</v>
      </c>
      <c r="I11">
        <v>98.716403029999995</v>
      </c>
    </row>
    <row r="12" spans="1:45" x14ac:dyDescent="0.45">
      <c r="A12" t="s">
        <v>11</v>
      </c>
      <c r="B12">
        <v>100.47319589999999</v>
      </c>
      <c r="C12">
        <v>101.1050104</v>
      </c>
      <c r="D12">
        <f t="shared" si="0"/>
        <v>0.63181450000000439</v>
      </c>
      <c r="E12">
        <f t="shared" si="1"/>
        <v>0.63181450000000439</v>
      </c>
      <c r="F12">
        <f t="shared" si="2"/>
        <v>0.39918956241025555</v>
      </c>
      <c r="I12">
        <v>100.47319589999999</v>
      </c>
    </row>
    <row r="13" spans="1:45" x14ac:dyDescent="0.45">
      <c r="A13" t="s">
        <v>12</v>
      </c>
      <c r="B13">
        <v>109.6802507</v>
      </c>
      <c r="C13">
        <v>107.90839870000001</v>
      </c>
      <c r="D13">
        <f t="shared" si="0"/>
        <v>-1.7718519999999955</v>
      </c>
      <c r="E13">
        <f t="shared" si="1"/>
        <v>1.7718519999999955</v>
      </c>
      <c r="F13">
        <f t="shared" si="2"/>
        <v>3.1394595099039844</v>
      </c>
      <c r="I13">
        <v>109.6802507</v>
      </c>
    </row>
    <row r="14" spans="1:45" x14ac:dyDescent="0.45">
      <c r="A14" t="s">
        <v>13</v>
      </c>
      <c r="B14">
        <v>104.5088185</v>
      </c>
      <c r="C14">
        <v>106.2838847</v>
      </c>
      <c r="D14">
        <f t="shared" si="0"/>
        <v>1.7750661999999977</v>
      </c>
      <c r="E14">
        <f t="shared" si="1"/>
        <v>1.7750661999999977</v>
      </c>
      <c r="F14">
        <f t="shared" si="2"/>
        <v>3.1508600143824319</v>
      </c>
      <c r="I14">
        <v>104.5088185</v>
      </c>
    </row>
    <row r="15" spans="1:45" x14ac:dyDescent="0.45">
      <c r="A15" t="s">
        <v>119</v>
      </c>
      <c r="B15">
        <v>89.575054499999993</v>
      </c>
      <c r="C15">
        <v>89.264170669999999</v>
      </c>
      <c r="D15">
        <f t="shared" si="0"/>
        <v>-0.31088382999999453</v>
      </c>
      <c r="E15">
        <f t="shared" si="1"/>
        <v>0.31088382999999453</v>
      </c>
      <c r="F15">
        <f t="shared" si="2"/>
        <v>9.6648755755465499E-2</v>
      </c>
      <c r="I15">
        <v>89.575054499999993</v>
      </c>
      <c r="AS15" s="1"/>
    </row>
    <row r="16" spans="1:45" x14ac:dyDescent="0.45">
      <c r="A16" t="s">
        <v>14</v>
      </c>
      <c r="B16">
        <v>100.46163919999999</v>
      </c>
      <c r="C16">
        <v>102.2050007</v>
      </c>
      <c r="D16">
        <f t="shared" si="0"/>
        <v>1.743361500000006</v>
      </c>
      <c r="E16">
        <f t="shared" si="1"/>
        <v>1.743361500000006</v>
      </c>
      <c r="F16">
        <f t="shared" si="2"/>
        <v>3.0393093196822711</v>
      </c>
      <c r="I16">
        <v>100.46163919999999</v>
      </c>
      <c r="AS16" s="1"/>
    </row>
    <row r="17" spans="1:45" x14ac:dyDescent="0.45">
      <c r="A17" t="s">
        <v>120</v>
      </c>
      <c r="B17">
        <v>74.143463370000006</v>
      </c>
      <c r="C17">
        <v>76.860238910000007</v>
      </c>
      <c r="D17">
        <f t="shared" si="0"/>
        <v>2.7167755400000004</v>
      </c>
      <c r="E17">
        <f t="shared" si="1"/>
        <v>2.7167755400000004</v>
      </c>
      <c r="F17">
        <f t="shared" si="2"/>
        <v>7.380869334742294</v>
      </c>
      <c r="I17">
        <v>74.143463370000006</v>
      </c>
      <c r="AS17" s="1"/>
    </row>
    <row r="18" spans="1:45" x14ac:dyDescent="0.45">
      <c r="A18" t="s">
        <v>121</v>
      </c>
      <c r="B18">
        <v>93.050602409999996</v>
      </c>
      <c r="C18">
        <v>91.496638079999997</v>
      </c>
      <c r="D18">
        <f t="shared" si="0"/>
        <v>-1.5539643299999994</v>
      </c>
      <c r="E18">
        <f t="shared" si="1"/>
        <v>1.5539643299999994</v>
      </c>
      <c r="F18">
        <f t="shared" si="2"/>
        <v>2.4148051389123473</v>
      </c>
      <c r="I18">
        <v>93.050602409999996</v>
      </c>
      <c r="AS18" s="1"/>
    </row>
    <row r="19" spans="1:45" x14ac:dyDescent="0.45">
      <c r="A19" t="s">
        <v>123</v>
      </c>
      <c r="B19">
        <v>101.6892556</v>
      </c>
      <c r="C19">
        <v>101.24506100000001</v>
      </c>
      <c r="D19">
        <f t="shared" si="0"/>
        <v>-0.44419459999998878</v>
      </c>
      <c r="E19">
        <f t="shared" si="1"/>
        <v>0.44419459999998878</v>
      </c>
      <c r="F19">
        <f t="shared" si="2"/>
        <v>0.19730884266915003</v>
      </c>
      <c r="I19">
        <v>101.6892556</v>
      </c>
      <c r="AS19" s="1"/>
    </row>
    <row r="20" spans="1:45" x14ac:dyDescent="0.45">
      <c r="A20" t="s">
        <v>124</v>
      </c>
      <c r="B20">
        <v>103.627376</v>
      </c>
      <c r="C20">
        <v>105.11332520000001</v>
      </c>
      <c r="D20">
        <f t="shared" si="0"/>
        <v>1.4859492000000074</v>
      </c>
      <c r="E20">
        <f t="shared" si="1"/>
        <v>1.4859492000000074</v>
      </c>
      <c r="F20">
        <f t="shared" si="2"/>
        <v>2.2080450249806618</v>
      </c>
      <c r="I20">
        <v>103.627376</v>
      </c>
    </row>
    <row r="21" spans="1:45" x14ac:dyDescent="0.45">
      <c r="A21" t="s">
        <v>125</v>
      </c>
      <c r="B21">
        <v>100.8654677</v>
      </c>
      <c r="C21">
        <v>100.705556</v>
      </c>
      <c r="D21">
        <f t="shared" si="0"/>
        <v>-0.15991169999999499</v>
      </c>
      <c r="E21">
        <f t="shared" si="1"/>
        <v>0.15991169999999499</v>
      </c>
      <c r="F21">
        <f t="shared" si="2"/>
        <v>2.5571751796888399E-2</v>
      </c>
      <c r="I21">
        <v>100.8654677</v>
      </c>
    </row>
    <row r="22" spans="1:45" x14ac:dyDescent="0.45">
      <c r="A22" t="s">
        <v>15</v>
      </c>
      <c r="B22">
        <v>106.2482251</v>
      </c>
      <c r="C22">
        <v>107.407538</v>
      </c>
      <c r="D22">
        <f t="shared" si="0"/>
        <v>1.1593129000000033</v>
      </c>
      <c r="E22">
        <f t="shared" si="1"/>
        <v>1.1593129000000033</v>
      </c>
      <c r="F22">
        <f t="shared" si="2"/>
        <v>1.3440064001064176</v>
      </c>
      <c r="I22">
        <v>106.2482251</v>
      </c>
    </row>
    <row r="23" spans="1:45" x14ac:dyDescent="0.45">
      <c r="A23" t="s">
        <v>16</v>
      </c>
      <c r="B23">
        <v>79.629050950000007</v>
      </c>
      <c r="C23">
        <v>79.803147780000003</v>
      </c>
      <c r="D23">
        <f t="shared" si="0"/>
        <v>0.17409682999999632</v>
      </c>
      <c r="E23">
        <f t="shared" si="1"/>
        <v>0.17409682999999632</v>
      </c>
      <c r="F23">
        <f t="shared" si="2"/>
        <v>3.0309706216047616E-2</v>
      </c>
      <c r="I23">
        <v>79.629050950000007</v>
      </c>
    </row>
    <row r="24" spans="1:45" x14ac:dyDescent="0.45">
      <c r="A24" t="s">
        <v>17</v>
      </c>
      <c r="B24">
        <v>83.026475160000004</v>
      </c>
      <c r="C24">
        <v>81.291257560000005</v>
      </c>
      <c r="D24">
        <f t="shared" si="0"/>
        <v>-1.7352175999999986</v>
      </c>
      <c r="E24">
        <f t="shared" si="1"/>
        <v>1.7352175999999986</v>
      </c>
      <c r="F24">
        <f t="shared" si="2"/>
        <v>3.010980119349755</v>
      </c>
      <c r="I24">
        <v>83.026475160000004</v>
      </c>
    </row>
    <row r="25" spans="1:45" x14ac:dyDescent="0.45">
      <c r="A25" t="s">
        <v>18</v>
      </c>
      <c r="B25">
        <v>87.653648689999997</v>
      </c>
      <c r="C25">
        <v>81.594549400000005</v>
      </c>
      <c r="D25">
        <f t="shared" si="0"/>
        <v>-6.0590992899999918</v>
      </c>
      <c r="E25">
        <f t="shared" si="1"/>
        <v>6.0590992899999918</v>
      </c>
      <c r="F25">
        <f t="shared" si="2"/>
        <v>36.712684206078407</v>
      </c>
      <c r="I25">
        <v>87.653648689999997</v>
      </c>
    </row>
    <row r="26" spans="1:45" x14ac:dyDescent="0.45">
      <c r="A26" t="s">
        <v>19</v>
      </c>
      <c r="B26">
        <v>83.590012139999999</v>
      </c>
      <c r="C26">
        <v>81.460338680000007</v>
      </c>
      <c r="D26">
        <f t="shared" si="0"/>
        <v>-2.1296734599999922</v>
      </c>
      <c r="E26">
        <f t="shared" si="1"/>
        <v>2.1296734599999922</v>
      </c>
      <c r="F26">
        <f t="shared" si="2"/>
        <v>4.5355090462283387</v>
      </c>
      <c r="I26">
        <v>83.590012139999999</v>
      </c>
    </row>
    <row r="27" spans="1:45" x14ac:dyDescent="0.45">
      <c r="A27" t="s">
        <v>20</v>
      </c>
      <c r="B27">
        <v>84.729683660000006</v>
      </c>
      <c r="C27">
        <v>83.001458929999998</v>
      </c>
      <c r="D27">
        <f t="shared" si="0"/>
        <v>-1.728224730000008</v>
      </c>
      <c r="E27">
        <f t="shared" si="1"/>
        <v>1.728224730000008</v>
      </c>
      <c r="F27">
        <f t="shared" si="2"/>
        <v>2.9867607173836004</v>
      </c>
      <c r="I27">
        <v>84.729683660000006</v>
      </c>
    </row>
    <row r="28" spans="1:45" x14ac:dyDescent="0.45">
      <c r="A28" t="s">
        <v>21</v>
      </c>
      <c r="B28">
        <v>84.301551200000006</v>
      </c>
      <c r="C28">
        <v>82.341795390000001</v>
      </c>
      <c r="D28">
        <f t="shared" si="0"/>
        <v>-1.9597558100000043</v>
      </c>
      <c r="E28">
        <f t="shared" si="1"/>
        <v>1.9597558100000043</v>
      </c>
      <c r="F28">
        <f t="shared" si="2"/>
        <v>3.8406428348287731</v>
      </c>
      <c r="I28">
        <v>84.301551200000006</v>
      </c>
    </row>
    <row r="29" spans="1:45" x14ac:dyDescent="0.45">
      <c r="A29" t="s">
        <v>22</v>
      </c>
      <c r="B29">
        <v>84.533700749999994</v>
      </c>
      <c r="C29">
        <v>82.780403089999993</v>
      </c>
      <c r="D29">
        <f t="shared" si="0"/>
        <v>-1.7532976600000012</v>
      </c>
      <c r="E29">
        <f t="shared" si="1"/>
        <v>1.7532976600000012</v>
      </c>
      <c r="F29">
        <f t="shared" si="2"/>
        <v>3.07405268456148</v>
      </c>
      <c r="I29">
        <v>84.533700749999994</v>
      </c>
    </row>
    <row r="30" spans="1:45" x14ac:dyDescent="0.45">
      <c r="A30" t="s">
        <v>23</v>
      </c>
      <c r="B30">
        <v>88.719491950000005</v>
      </c>
      <c r="C30">
        <v>82.447185660000002</v>
      </c>
      <c r="D30">
        <f t="shared" si="0"/>
        <v>-6.2723062900000031</v>
      </c>
      <c r="E30">
        <f t="shared" si="1"/>
        <v>6.2723062900000031</v>
      </c>
      <c r="F30">
        <f t="shared" si="2"/>
        <v>39.341826195573603</v>
      </c>
      <c r="I30">
        <v>88.719491950000005</v>
      </c>
    </row>
    <row r="31" spans="1:45" x14ac:dyDescent="0.45">
      <c r="A31" t="s">
        <v>24</v>
      </c>
      <c r="B31">
        <v>84.310374960000004</v>
      </c>
      <c r="C31">
        <v>82.705386619999999</v>
      </c>
      <c r="D31">
        <f t="shared" si="0"/>
        <v>-1.6049883400000056</v>
      </c>
      <c r="E31">
        <f t="shared" si="1"/>
        <v>1.6049883400000056</v>
      </c>
      <c r="F31">
        <f t="shared" si="2"/>
        <v>2.5759875715359732</v>
      </c>
      <c r="I31">
        <v>84.310374960000004</v>
      </c>
    </row>
    <row r="32" spans="1:45" x14ac:dyDescent="0.45">
      <c r="A32" t="s">
        <v>25</v>
      </c>
      <c r="B32">
        <v>91.483094960000003</v>
      </c>
      <c r="C32">
        <v>89.375655379999998</v>
      </c>
      <c r="D32">
        <f t="shared" si="0"/>
        <v>-2.1074395800000048</v>
      </c>
      <c r="E32">
        <f t="shared" si="1"/>
        <v>2.1074395800000048</v>
      </c>
      <c r="F32">
        <f t="shared" si="2"/>
        <v>4.4413015833505964</v>
      </c>
      <c r="I32">
        <v>91.483094960000003</v>
      </c>
    </row>
    <row r="33" spans="1:9" x14ac:dyDescent="0.45">
      <c r="A33" t="s">
        <v>26</v>
      </c>
      <c r="B33">
        <v>91.176191009999997</v>
      </c>
      <c r="C33">
        <v>84.109583079999993</v>
      </c>
      <c r="D33">
        <f t="shared" si="0"/>
        <v>-7.0666079300000035</v>
      </c>
      <c r="E33">
        <f t="shared" si="1"/>
        <v>7.0666079300000035</v>
      </c>
      <c r="F33">
        <f t="shared" si="2"/>
        <v>49.936947636338935</v>
      </c>
      <c r="I33">
        <v>91.176191009999997</v>
      </c>
    </row>
    <row r="34" spans="1:9" x14ac:dyDescent="0.45">
      <c r="A34" t="s">
        <v>27</v>
      </c>
      <c r="B34">
        <v>95.317804120000005</v>
      </c>
      <c r="C34">
        <v>93.956632540000001</v>
      </c>
      <c r="D34">
        <f t="shared" ref="D34:D65" si="3">(C34-B34)</f>
        <v>-1.3611715800000042</v>
      </c>
      <c r="E34">
        <f t="shared" si="1"/>
        <v>1.3611715800000042</v>
      </c>
      <c r="F34">
        <f t="shared" si="2"/>
        <v>1.8527880701997077</v>
      </c>
      <c r="I34">
        <v>95.317804120000005</v>
      </c>
    </row>
    <row r="35" spans="1:9" x14ac:dyDescent="0.45">
      <c r="A35" t="s">
        <v>28</v>
      </c>
      <c r="B35">
        <v>92.391578170000003</v>
      </c>
      <c r="C35">
        <v>85.435365610000005</v>
      </c>
      <c r="D35">
        <f t="shared" si="3"/>
        <v>-6.9562125599999973</v>
      </c>
      <c r="E35">
        <f t="shared" si="1"/>
        <v>6.9562125599999973</v>
      </c>
      <c r="F35">
        <f t="shared" si="2"/>
        <v>48.388893179901714</v>
      </c>
      <c r="I35">
        <v>92.391578170000003</v>
      </c>
    </row>
    <row r="36" spans="1:9" x14ac:dyDescent="0.45">
      <c r="A36" t="s">
        <v>29</v>
      </c>
      <c r="B36">
        <v>93.030932199999995</v>
      </c>
      <c r="C36">
        <v>91.534884349999999</v>
      </c>
      <c r="D36">
        <f t="shared" si="3"/>
        <v>-1.4960478499999965</v>
      </c>
      <c r="E36">
        <f t="shared" si="1"/>
        <v>1.4960478499999965</v>
      </c>
      <c r="F36">
        <f t="shared" si="2"/>
        <v>2.2381591694896121</v>
      </c>
      <c r="I36">
        <v>93.030932199999995</v>
      </c>
    </row>
    <row r="37" spans="1:9" x14ac:dyDescent="0.45">
      <c r="A37" t="s">
        <v>30</v>
      </c>
      <c r="B37">
        <v>97.766808510000004</v>
      </c>
      <c r="C37">
        <v>94.192598360000005</v>
      </c>
      <c r="D37">
        <f t="shared" si="3"/>
        <v>-3.574210149999999</v>
      </c>
      <c r="E37">
        <f t="shared" si="1"/>
        <v>3.574210149999999</v>
      </c>
      <c r="F37">
        <f t="shared" si="2"/>
        <v>12.774978196363016</v>
      </c>
      <c r="I37">
        <v>97.766808510000004</v>
      </c>
    </row>
    <row r="38" spans="1:9" x14ac:dyDescent="0.45">
      <c r="A38" t="s">
        <v>31</v>
      </c>
      <c r="B38">
        <v>111.1898779</v>
      </c>
      <c r="C38">
        <v>113.59068619999999</v>
      </c>
      <c r="D38">
        <f t="shared" si="3"/>
        <v>2.4008082999999942</v>
      </c>
      <c r="E38">
        <f t="shared" si="1"/>
        <v>2.4008082999999942</v>
      </c>
      <c r="F38">
        <f t="shared" si="2"/>
        <v>5.7638804933488625</v>
      </c>
      <c r="I38">
        <v>111.1898779</v>
      </c>
    </row>
    <row r="39" spans="1:9" x14ac:dyDescent="0.45">
      <c r="A39" t="s">
        <v>127</v>
      </c>
      <c r="B39">
        <v>83.878644629999997</v>
      </c>
      <c r="C39">
        <v>82.546912309999996</v>
      </c>
      <c r="D39">
        <f t="shared" si="3"/>
        <v>-1.3317323200000004</v>
      </c>
      <c r="E39">
        <f t="shared" si="1"/>
        <v>1.3317323200000004</v>
      </c>
      <c r="F39">
        <f t="shared" si="2"/>
        <v>1.7735109721325835</v>
      </c>
      <c r="I39">
        <v>83.878644629999997</v>
      </c>
    </row>
    <row r="40" spans="1:9" x14ac:dyDescent="0.45">
      <c r="A40" t="s">
        <v>128</v>
      </c>
      <c r="B40">
        <v>90.27855572</v>
      </c>
      <c r="C40">
        <v>90.323584159999996</v>
      </c>
      <c r="D40">
        <f t="shared" si="3"/>
        <v>4.502843999999584E-2</v>
      </c>
      <c r="E40">
        <f t="shared" si="1"/>
        <v>4.502843999999584E-2</v>
      </c>
      <c r="F40">
        <f t="shared" si="2"/>
        <v>2.0275604088332254E-3</v>
      </c>
      <c r="I40">
        <v>90.27855572</v>
      </c>
    </row>
    <row r="41" spans="1:9" x14ac:dyDescent="0.45">
      <c r="A41" t="s">
        <v>32</v>
      </c>
      <c r="B41">
        <v>111.9289788</v>
      </c>
      <c r="C41">
        <v>108.02647159999999</v>
      </c>
      <c r="D41">
        <f t="shared" si="3"/>
        <v>-3.9025072000000023</v>
      </c>
      <c r="E41">
        <f t="shared" si="1"/>
        <v>3.9025072000000023</v>
      </c>
      <c r="F41">
        <f t="shared" si="2"/>
        <v>15.229562446051858</v>
      </c>
      <c r="I41">
        <v>111.9289788</v>
      </c>
    </row>
    <row r="42" spans="1:9" x14ac:dyDescent="0.45">
      <c r="A42" t="s">
        <v>33</v>
      </c>
      <c r="B42">
        <v>112.7491132</v>
      </c>
      <c r="C42">
        <v>112.1929552</v>
      </c>
      <c r="D42">
        <f t="shared" si="3"/>
        <v>-0.55615799999999638</v>
      </c>
      <c r="E42">
        <f t="shared" si="1"/>
        <v>0.55615799999999638</v>
      </c>
      <c r="F42">
        <f t="shared" si="2"/>
        <v>0.30931172096399595</v>
      </c>
      <c r="I42">
        <v>112.7491132</v>
      </c>
    </row>
    <row r="43" spans="1:9" x14ac:dyDescent="0.45">
      <c r="A43" t="s">
        <v>34</v>
      </c>
      <c r="B43">
        <v>105.94938639999999</v>
      </c>
      <c r="C43">
        <v>109.5315051</v>
      </c>
      <c r="D43">
        <f t="shared" si="3"/>
        <v>3.5821187000000094</v>
      </c>
      <c r="E43">
        <f t="shared" si="1"/>
        <v>3.5821187000000094</v>
      </c>
      <c r="F43">
        <f t="shared" si="2"/>
        <v>12.831574380889757</v>
      </c>
      <c r="I43">
        <v>105.94938639999999</v>
      </c>
    </row>
    <row r="44" spans="1:9" x14ac:dyDescent="0.45">
      <c r="A44" t="s">
        <v>35</v>
      </c>
      <c r="B44">
        <v>104.87650259999999</v>
      </c>
      <c r="C44">
        <v>106.5368989</v>
      </c>
      <c r="D44">
        <f t="shared" si="3"/>
        <v>1.6603963000000022</v>
      </c>
      <c r="E44">
        <f t="shared" si="1"/>
        <v>1.6603963000000022</v>
      </c>
      <c r="F44">
        <f t="shared" si="2"/>
        <v>2.7569158730536971</v>
      </c>
      <c r="I44">
        <v>104.87650259999999</v>
      </c>
    </row>
    <row r="45" spans="1:9" x14ac:dyDescent="0.45">
      <c r="A45" t="s">
        <v>36</v>
      </c>
      <c r="B45">
        <v>85.044258429999999</v>
      </c>
      <c r="C45">
        <v>84.315894049999997</v>
      </c>
      <c r="D45">
        <f t="shared" si="3"/>
        <v>-0.72836438000000214</v>
      </c>
      <c r="E45">
        <f t="shared" si="1"/>
        <v>0.72836438000000214</v>
      </c>
      <c r="F45">
        <f t="shared" si="2"/>
        <v>0.53051467005278752</v>
      </c>
      <c r="I45">
        <v>85.044258429999999</v>
      </c>
    </row>
    <row r="46" spans="1:9" x14ac:dyDescent="0.45">
      <c r="A46" t="s">
        <v>37</v>
      </c>
      <c r="B46">
        <v>85.370693079999995</v>
      </c>
      <c r="C46">
        <v>85.030792300000002</v>
      </c>
      <c r="D46">
        <f t="shared" si="3"/>
        <v>-0.33990077999999357</v>
      </c>
      <c r="E46">
        <f t="shared" si="1"/>
        <v>0.33990077999999357</v>
      </c>
      <c r="F46">
        <f t="shared" si="2"/>
        <v>0.11553254024460403</v>
      </c>
      <c r="I46">
        <v>85.370693079999995</v>
      </c>
    </row>
    <row r="47" spans="1:9" x14ac:dyDescent="0.45">
      <c r="A47" t="s">
        <v>38</v>
      </c>
      <c r="B47">
        <v>84.327758939999995</v>
      </c>
      <c r="C47">
        <v>83.882705430000001</v>
      </c>
      <c r="D47">
        <f t="shared" si="3"/>
        <v>-0.44505350999999393</v>
      </c>
      <c r="E47">
        <f t="shared" si="1"/>
        <v>0.44505350999999393</v>
      </c>
      <c r="F47">
        <f t="shared" si="2"/>
        <v>0.19807262676331469</v>
      </c>
      <c r="I47">
        <v>84.327758939999995</v>
      </c>
    </row>
    <row r="48" spans="1:9" x14ac:dyDescent="0.45">
      <c r="A48" t="s">
        <v>39</v>
      </c>
      <c r="B48">
        <v>85.14903151</v>
      </c>
      <c r="C48">
        <v>84.253102999999996</v>
      </c>
      <c r="D48">
        <f t="shared" si="3"/>
        <v>-0.89592851000000451</v>
      </c>
      <c r="E48">
        <f t="shared" si="1"/>
        <v>0.89592851000000451</v>
      </c>
      <c r="F48">
        <f t="shared" si="2"/>
        <v>0.80268789503082816</v>
      </c>
      <c r="I48">
        <v>85.14903151</v>
      </c>
    </row>
    <row r="49" spans="1:9" x14ac:dyDescent="0.45">
      <c r="A49" t="s">
        <v>40</v>
      </c>
      <c r="B49">
        <v>92.023344660000006</v>
      </c>
      <c r="C49">
        <v>91.749671739999997</v>
      </c>
      <c r="D49">
        <f t="shared" si="3"/>
        <v>-0.27367292000000987</v>
      </c>
      <c r="E49">
        <f t="shared" si="1"/>
        <v>0.27367292000000987</v>
      </c>
      <c r="F49">
        <f t="shared" si="2"/>
        <v>7.4896867141331799E-2</v>
      </c>
      <c r="I49">
        <v>92.023344660000006</v>
      </c>
    </row>
    <row r="50" spans="1:9" x14ac:dyDescent="0.45">
      <c r="A50" t="s">
        <v>41</v>
      </c>
      <c r="B50">
        <v>82.87431334</v>
      </c>
      <c r="C50">
        <v>84.242707159999995</v>
      </c>
      <c r="D50">
        <f t="shared" si="3"/>
        <v>1.3683938199999943</v>
      </c>
      <c r="E50">
        <f t="shared" si="1"/>
        <v>1.3683938199999943</v>
      </c>
      <c r="F50">
        <f t="shared" si="2"/>
        <v>1.8725016466141768</v>
      </c>
      <c r="I50">
        <v>82.87431334</v>
      </c>
    </row>
    <row r="51" spans="1:9" x14ac:dyDescent="0.45">
      <c r="A51" t="s">
        <v>42</v>
      </c>
      <c r="B51">
        <v>85.01360425</v>
      </c>
      <c r="C51">
        <v>85.188671909999997</v>
      </c>
      <c r="D51">
        <f t="shared" si="3"/>
        <v>0.17506765999999629</v>
      </c>
      <c r="E51">
        <f t="shared" si="1"/>
        <v>0.17506765999999629</v>
      </c>
      <c r="F51">
        <f t="shared" si="2"/>
        <v>3.0648685577874302E-2</v>
      </c>
      <c r="I51">
        <v>85.01360425</v>
      </c>
    </row>
    <row r="52" spans="1:9" x14ac:dyDescent="0.45">
      <c r="A52" t="s">
        <v>43</v>
      </c>
      <c r="B52">
        <v>83.694305810000003</v>
      </c>
      <c r="C52">
        <v>83.536115890000005</v>
      </c>
      <c r="D52">
        <f t="shared" si="3"/>
        <v>-0.1581899199999981</v>
      </c>
      <c r="E52">
        <f t="shared" si="1"/>
        <v>0.1581899199999981</v>
      </c>
      <c r="F52">
        <f t="shared" si="2"/>
        <v>2.5024050789605796E-2</v>
      </c>
      <c r="I52">
        <v>83.694305810000003</v>
      </c>
    </row>
    <row r="53" spans="1:9" x14ac:dyDescent="0.45">
      <c r="A53" t="s">
        <v>44</v>
      </c>
      <c r="B53">
        <v>82.210611540000002</v>
      </c>
      <c r="C53">
        <v>80.922410499999998</v>
      </c>
      <c r="D53">
        <f t="shared" si="3"/>
        <v>-1.2882010400000041</v>
      </c>
      <c r="E53">
        <f t="shared" si="1"/>
        <v>1.2882010400000041</v>
      </c>
      <c r="F53">
        <f t="shared" si="2"/>
        <v>1.6594619194570923</v>
      </c>
      <c r="I53">
        <v>82.210611540000002</v>
      </c>
    </row>
    <row r="54" spans="1:9" x14ac:dyDescent="0.45">
      <c r="A54" t="s">
        <v>45</v>
      </c>
      <c r="B54">
        <v>83.142563109999998</v>
      </c>
      <c r="C54">
        <v>80.779277390000004</v>
      </c>
      <c r="D54">
        <f t="shared" si="3"/>
        <v>-2.3632857199999933</v>
      </c>
      <c r="E54">
        <f t="shared" si="1"/>
        <v>2.3632857199999933</v>
      </c>
      <c r="F54">
        <f t="shared" si="2"/>
        <v>5.5851193943558863</v>
      </c>
      <c r="I54">
        <v>83.142563109999998</v>
      </c>
    </row>
    <row r="55" spans="1:9" x14ac:dyDescent="0.45">
      <c r="A55" t="s">
        <v>46</v>
      </c>
      <c r="B55">
        <v>93.888593540000002</v>
      </c>
      <c r="C55">
        <v>94.278400070000004</v>
      </c>
      <c r="D55">
        <f t="shared" si="3"/>
        <v>0.38980653000000132</v>
      </c>
      <c r="E55">
        <f t="shared" si="1"/>
        <v>0.38980653000000132</v>
      </c>
      <c r="F55">
        <f t="shared" si="2"/>
        <v>0.15194913083064193</v>
      </c>
      <c r="I55">
        <v>93.888593540000002</v>
      </c>
    </row>
    <row r="56" spans="1:9" x14ac:dyDescent="0.45">
      <c r="A56" t="s">
        <v>47</v>
      </c>
      <c r="B56">
        <v>91.595191130000003</v>
      </c>
      <c r="C56">
        <v>92.275003069999997</v>
      </c>
      <c r="D56">
        <f t="shared" si="3"/>
        <v>0.67981193999999334</v>
      </c>
      <c r="E56">
        <f t="shared" si="1"/>
        <v>0.67981193999999334</v>
      </c>
      <c r="F56">
        <f t="shared" si="2"/>
        <v>0.46214427376655454</v>
      </c>
      <c r="I56">
        <v>91.595191130000003</v>
      </c>
    </row>
    <row r="57" spans="1:9" x14ac:dyDescent="0.45">
      <c r="A57" t="s">
        <v>48</v>
      </c>
      <c r="B57">
        <v>80.717403000000004</v>
      </c>
      <c r="C57">
        <v>79.442241569999993</v>
      </c>
      <c r="D57">
        <f t="shared" si="3"/>
        <v>-1.2751614300000114</v>
      </c>
      <c r="E57">
        <f t="shared" si="1"/>
        <v>1.2751614300000114</v>
      </c>
      <c r="F57">
        <f t="shared" si="2"/>
        <v>1.626036672559674</v>
      </c>
      <c r="I57">
        <v>80.717403000000004</v>
      </c>
    </row>
    <row r="58" spans="1:9" x14ac:dyDescent="0.45">
      <c r="A58" t="s">
        <v>49</v>
      </c>
      <c r="B58">
        <v>107.1068629</v>
      </c>
      <c r="C58">
        <v>104.93915920000001</v>
      </c>
      <c r="D58">
        <f t="shared" si="3"/>
        <v>-2.1677036999999899</v>
      </c>
      <c r="E58">
        <f t="shared" si="1"/>
        <v>2.1677036999999899</v>
      </c>
      <c r="F58">
        <f t="shared" si="2"/>
        <v>4.698939330993646</v>
      </c>
      <c r="I58">
        <v>107.1068629</v>
      </c>
    </row>
    <row r="59" spans="1:9" x14ac:dyDescent="0.45">
      <c r="A59" t="s">
        <v>51</v>
      </c>
      <c r="B59">
        <v>95.941040709999996</v>
      </c>
      <c r="C59">
        <v>95.222282539999995</v>
      </c>
      <c r="D59">
        <f t="shared" si="3"/>
        <v>-0.71875817000000097</v>
      </c>
      <c r="E59">
        <f t="shared" si="1"/>
        <v>0.71875817000000097</v>
      </c>
      <c r="F59">
        <f t="shared" si="2"/>
        <v>0.51661330694175034</v>
      </c>
      <c r="I59">
        <v>95.941040709999996</v>
      </c>
    </row>
    <row r="60" spans="1:9" x14ac:dyDescent="0.45">
      <c r="A60" t="s">
        <v>52</v>
      </c>
      <c r="B60">
        <v>96.434994340000003</v>
      </c>
      <c r="C60">
        <v>97.654811910000006</v>
      </c>
      <c r="D60">
        <f t="shared" si="3"/>
        <v>1.2198175700000036</v>
      </c>
      <c r="E60">
        <f t="shared" si="1"/>
        <v>1.2198175700000036</v>
      </c>
      <c r="F60">
        <f t="shared" si="2"/>
        <v>1.4879549040807136</v>
      </c>
      <c r="I60">
        <v>96.434994340000003</v>
      </c>
    </row>
    <row r="61" spans="1:9" x14ac:dyDescent="0.45">
      <c r="A61" t="s">
        <v>53</v>
      </c>
      <c r="B61">
        <v>94.720714409999999</v>
      </c>
      <c r="C61">
        <v>94.889175390000005</v>
      </c>
      <c r="D61">
        <f t="shared" si="3"/>
        <v>0.16846098000000609</v>
      </c>
      <c r="E61">
        <f t="shared" si="1"/>
        <v>0.16846098000000609</v>
      </c>
      <c r="F61">
        <f t="shared" si="2"/>
        <v>2.8379101782562453E-2</v>
      </c>
      <c r="I61">
        <v>94.720714409999999</v>
      </c>
    </row>
    <row r="62" spans="1:9" x14ac:dyDescent="0.45">
      <c r="A62" t="s">
        <v>129</v>
      </c>
      <c r="B62">
        <v>81.928563639999993</v>
      </c>
      <c r="C62">
        <v>79.517549750000001</v>
      </c>
      <c r="D62">
        <f t="shared" si="3"/>
        <v>-2.4110138899999924</v>
      </c>
      <c r="E62">
        <f t="shared" si="1"/>
        <v>2.4110138899999924</v>
      </c>
      <c r="F62">
        <f t="shared" si="2"/>
        <v>5.8129879777728952</v>
      </c>
      <c r="I62">
        <v>81.928563639999993</v>
      </c>
    </row>
    <row r="63" spans="1:9" x14ac:dyDescent="0.45">
      <c r="A63" t="s">
        <v>130</v>
      </c>
      <c r="B63">
        <v>91.685113670000007</v>
      </c>
      <c r="C63">
        <v>91.506549160000006</v>
      </c>
      <c r="D63">
        <f t="shared" si="3"/>
        <v>-0.17856451000000106</v>
      </c>
      <c r="E63">
        <f t="shared" si="1"/>
        <v>0.17856451000000106</v>
      </c>
      <c r="F63">
        <f t="shared" si="2"/>
        <v>3.1885284231540481E-2</v>
      </c>
      <c r="I63">
        <v>91.685113670000007</v>
      </c>
    </row>
    <row r="64" spans="1:9" x14ac:dyDescent="0.45">
      <c r="A64" t="s">
        <v>54</v>
      </c>
      <c r="B64">
        <v>108.85873170000001</v>
      </c>
      <c r="C64">
        <v>112.5775</v>
      </c>
      <c r="D64">
        <f t="shared" si="3"/>
        <v>3.7187682999999936</v>
      </c>
      <c r="E64">
        <f t="shared" si="1"/>
        <v>3.7187682999999936</v>
      </c>
      <c r="F64">
        <f t="shared" si="2"/>
        <v>13.829237669084842</v>
      </c>
      <c r="I64">
        <v>108.85873170000001</v>
      </c>
    </row>
    <row r="65" spans="1:9" x14ac:dyDescent="0.45">
      <c r="A65" t="s">
        <v>55</v>
      </c>
      <c r="B65">
        <v>99.661803590000005</v>
      </c>
      <c r="C65">
        <v>103.4140498</v>
      </c>
      <c r="D65">
        <f t="shared" si="3"/>
        <v>3.7522462099999956</v>
      </c>
      <c r="E65">
        <f t="shared" ref="E65:E127" si="4">ABS(D65)</f>
        <v>3.7522462099999956</v>
      </c>
      <c r="F65">
        <f t="shared" ref="F65:F127" si="5">E65^2</f>
        <v>14.079351620459331</v>
      </c>
      <c r="I65">
        <v>99.661803590000005</v>
      </c>
    </row>
    <row r="66" spans="1:9" x14ac:dyDescent="0.45">
      <c r="A66" t="s">
        <v>56</v>
      </c>
      <c r="B66">
        <v>99.122250309999998</v>
      </c>
      <c r="C66">
        <v>103.1034277</v>
      </c>
      <c r="D66">
        <f t="shared" ref="D66:D97" si="6">(C66-B66)</f>
        <v>3.9811773899999991</v>
      </c>
      <c r="E66">
        <f t="shared" si="4"/>
        <v>3.9811773899999991</v>
      </c>
      <c r="F66">
        <f t="shared" si="5"/>
        <v>15.849773410647206</v>
      </c>
      <c r="I66">
        <v>99.122250309999998</v>
      </c>
    </row>
    <row r="67" spans="1:9" x14ac:dyDescent="0.45">
      <c r="A67" t="s">
        <v>57</v>
      </c>
      <c r="B67">
        <v>100.9525886</v>
      </c>
      <c r="C67">
        <v>103.7116923</v>
      </c>
      <c r="D67">
        <f t="shared" si="6"/>
        <v>2.7591036999999972</v>
      </c>
      <c r="E67">
        <f t="shared" si="4"/>
        <v>2.7591036999999972</v>
      </c>
      <c r="F67">
        <f t="shared" si="5"/>
        <v>7.6126532273536744</v>
      </c>
      <c r="I67">
        <v>100.9525886</v>
      </c>
    </row>
    <row r="68" spans="1:9" x14ac:dyDescent="0.45">
      <c r="A68" t="s">
        <v>58</v>
      </c>
      <c r="B68">
        <v>81.00884284</v>
      </c>
      <c r="C68">
        <v>79.441078039999994</v>
      </c>
      <c r="D68">
        <f t="shared" si="6"/>
        <v>-1.5677648000000062</v>
      </c>
      <c r="E68">
        <f t="shared" si="4"/>
        <v>1.5677648000000062</v>
      </c>
      <c r="F68">
        <f t="shared" si="5"/>
        <v>2.4578864681190593</v>
      </c>
      <c r="I68">
        <v>81.00884284</v>
      </c>
    </row>
    <row r="69" spans="1:9" x14ac:dyDescent="0.45">
      <c r="A69" t="s">
        <v>131</v>
      </c>
      <c r="B69">
        <v>89.685483469999994</v>
      </c>
      <c r="C69">
        <v>89.242081659999997</v>
      </c>
      <c r="D69">
        <f t="shared" si="6"/>
        <v>-0.44340180999999745</v>
      </c>
      <c r="E69">
        <f t="shared" si="4"/>
        <v>0.44340180999999745</v>
      </c>
      <c r="F69">
        <f t="shared" si="5"/>
        <v>0.19660516511127385</v>
      </c>
      <c r="I69">
        <v>89.685483469999994</v>
      </c>
    </row>
    <row r="70" spans="1:9" x14ac:dyDescent="0.45">
      <c r="A70" t="s">
        <v>132</v>
      </c>
      <c r="B70">
        <v>91.734347450000001</v>
      </c>
      <c r="C70">
        <v>90.784104619999994</v>
      </c>
      <c r="D70">
        <f t="shared" si="6"/>
        <v>-0.95024283000000764</v>
      </c>
      <c r="E70">
        <f t="shared" si="4"/>
        <v>0.95024283000000764</v>
      </c>
      <c r="F70">
        <f t="shared" si="5"/>
        <v>0.90296143596642342</v>
      </c>
      <c r="I70">
        <v>91.734347450000001</v>
      </c>
    </row>
    <row r="71" spans="1:9" x14ac:dyDescent="0.45">
      <c r="A71" t="s">
        <v>133</v>
      </c>
      <c r="B71">
        <v>88.787781989999999</v>
      </c>
      <c r="C71">
        <v>88.768770829999994</v>
      </c>
      <c r="D71">
        <f t="shared" si="6"/>
        <v>-1.9011160000005134E-2</v>
      </c>
      <c r="E71">
        <f t="shared" si="4"/>
        <v>1.9011160000005134E-2</v>
      </c>
      <c r="F71">
        <f t="shared" si="5"/>
        <v>3.6142420454579518E-4</v>
      </c>
      <c r="I71">
        <v>88.787781989999999</v>
      </c>
    </row>
    <row r="72" spans="1:9" x14ac:dyDescent="0.45">
      <c r="A72" t="s">
        <v>59</v>
      </c>
      <c r="B72">
        <v>95.541111400000005</v>
      </c>
      <c r="C72">
        <v>101.6506181</v>
      </c>
      <c r="D72">
        <f t="shared" si="6"/>
        <v>6.1095066999999972</v>
      </c>
      <c r="E72">
        <f t="shared" si="4"/>
        <v>6.1095066999999972</v>
      </c>
      <c r="F72">
        <f t="shared" si="5"/>
        <v>37.326072117344857</v>
      </c>
      <c r="I72">
        <v>95.541111400000005</v>
      </c>
    </row>
    <row r="73" spans="1:9" x14ac:dyDescent="0.45">
      <c r="A73" t="s">
        <v>60</v>
      </c>
      <c r="B73">
        <v>113.6297007</v>
      </c>
      <c r="C73">
        <v>113.7944</v>
      </c>
      <c r="D73">
        <f t="shared" si="6"/>
        <v>0.16469929999999522</v>
      </c>
      <c r="E73">
        <f t="shared" si="4"/>
        <v>0.16469929999999522</v>
      </c>
      <c r="F73">
        <f t="shared" si="5"/>
        <v>2.7125859420488424E-2</v>
      </c>
      <c r="I73">
        <v>113.6297007</v>
      </c>
    </row>
    <row r="74" spans="1:9" x14ac:dyDescent="0.45">
      <c r="A74" t="s">
        <v>61</v>
      </c>
      <c r="B74">
        <v>113.32402159999999</v>
      </c>
      <c r="C74">
        <v>114.5496223</v>
      </c>
      <c r="D74">
        <f t="shared" si="6"/>
        <v>1.2256007000000011</v>
      </c>
      <c r="E74">
        <f t="shared" si="4"/>
        <v>1.2256007000000011</v>
      </c>
      <c r="F74">
        <f t="shared" si="5"/>
        <v>1.5020970758404928</v>
      </c>
      <c r="I74">
        <v>113.32402159999999</v>
      </c>
    </row>
    <row r="75" spans="1:9" x14ac:dyDescent="0.45">
      <c r="A75" t="s">
        <v>62</v>
      </c>
      <c r="B75">
        <v>104.45655859999999</v>
      </c>
      <c r="C75">
        <v>99.174409990000001</v>
      </c>
      <c r="D75">
        <f t="shared" si="6"/>
        <v>-5.282148609999993</v>
      </c>
      <c r="E75">
        <f t="shared" si="4"/>
        <v>5.282148609999993</v>
      </c>
      <c r="F75">
        <f t="shared" si="5"/>
        <v>27.901093938124859</v>
      </c>
      <c r="I75">
        <v>104.45655859999999</v>
      </c>
    </row>
    <row r="76" spans="1:9" x14ac:dyDescent="0.45">
      <c r="A76" t="s">
        <v>63</v>
      </c>
      <c r="B76">
        <v>100.411658</v>
      </c>
      <c r="C76">
        <v>101.2959599</v>
      </c>
      <c r="D76">
        <f t="shared" si="6"/>
        <v>0.88430189999999698</v>
      </c>
      <c r="E76">
        <f t="shared" si="4"/>
        <v>0.88430189999999698</v>
      </c>
      <c r="F76">
        <f t="shared" si="5"/>
        <v>0.78198985034360469</v>
      </c>
      <c r="I76">
        <v>100.411658</v>
      </c>
    </row>
    <row r="77" spans="1:9" x14ac:dyDescent="0.45">
      <c r="A77" t="s">
        <v>64</v>
      </c>
      <c r="B77">
        <v>105.6510251</v>
      </c>
      <c r="C77">
        <v>106.8637552</v>
      </c>
      <c r="D77">
        <f t="shared" si="6"/>
        <v>1.2127301000000017</v>
      </c>
      <c r="E77">
        <f t="shared" si="4"/>
        <v>1.2127301000000017</v>
      </c>
      <c r="F77">
        <f t="shared" si="5"/>
        <v>1.4707142954460142</v>
      </c>
      <c r="I77">
        <v>105.6510251</v>
      </c>
    </row>
    <row r="78" spans="1:9" x14ac:dyDescent="0.45">
      <c r="A78" t="s">
        <v>65</v>
      </c>
      <c r="B78">
        <v>108.99644000000001</v>
      </c>
      <c r="C78">
        <v>107.9060738</v>
      </c>
      <c r="D78">
        <f t="shared" si="6"/>
        <v>-1.0903662000000054</v>
      </c>
      <c r="E78">
        <f t="shared" si="4"/>
        <v>1.0903662000000054</v>
      </c>
      <c r="F78">
        <f t="shared" si="5"/>
        <v>1.1888984501024518</v>
      </c>
      <c r="I78">
        <v>108.99644000000001</v>
      </c>
    </row>
    <row r="79" spans="1:9" x14ac:dyDescent="0.45">
      <c r="A79" t="s">
        <v>66</v>
      </c>
      <c r="B79">
        <v>100.68572589999999</v>
      </c>
      <c r="C79">
        <v>105.603694</v>
      </c>
      <c r="D79">
        <f t="shared" si="6"/>
        <v>4.9179681000000102</v>
      </c>
      <c r="E79">
        <f t="shared" si="4"/>
        <v>4.9179681000000102</v>
      </c>
      <c r="F79">
        <f t="shared" si="5"/>
        <v>24.18641023261771</v>
      </c>
      <c r="I79">
        <v>100.68572589999999</v>
      </c>
    </row>
    <row r="80" spans="1:9" x14ac:dyDescent="0.45">
      <c r="A80" t="s">
        <v>67</v>
      </c>
      <c r="B80">
        <v>100.4285051</v>
      </c>
      <c r="C80">
        <v>102.22845890000001</v>
      </c>
      <c r="D80">
        <f t="shared" si="6"/>
        <v>1.7999538000000115</v>
      </c>
      <c r="E80">
        <f t="shared" si="4"/>
        <v>1.7999538000000115</v>
      </c>
      <c r="F80">
        <f t="shared" si="5"/>
        <v>3.2398336821344813</v>
      </c>
      <c r="I80">
        <v>100.4285051</v>
      </c>
    </row>
    <row r="81" spans="1:9" x14ac:dyDescent="0.45">
      <c r="A81" t="s">
        <v>134</v>
      </c>
      <c r="B81">
        <v>71.467418069999994</v>
      </c>
      <c r="C81">
        <v>67.396896749999996</v>
      </c>
      <c r="D81">
        <f t="shared" si="6"/>
        <v>-4.0705213199999974</v>
      </c>
      <c r="E81">
        <f t="shared" si="4"/>
        <v>4.0705213199999974</v>
      </c>
      <c r="F81">
        <f t="shared" si="5"/>
        <v>16.56914381657452</v>
      </c>
      <c r="I81">
        <v>71.467418069999994</v>
      </c>
    </row>
    <row r="82" spans="1:9" x14ac:dyDescent="0.45">
      <c r="A82" t="s">
        <v>136</v>
      </c>
      <c r="B82">
        <v>99.468662370000004</v>
      </c>
      <c r="C82">
        <v>101.2414145</v>
      </c>
      <c r="D82">
        <f t="shared" si="6"/>
        <v>1.7727521300000006</v>
      </c>
      <c r="E82">
        <f t="shared" si="4"/>
        <v>1.7727521300000006</v>
      </c>
      <c r="F82">
        <f t="shared" si="5"/>
        <v>3.1426501144195393</v>
      </c>
      <c r="I82">
        <v>99.468662370000004</v>
      </c>
    </row>
    <row r="83" spans="1:9" x14ac:dyDescent="0.45">
      <c r="A83" t="s">
        <v>137</v>
      </c>
      <c r="B83">
        <v>103.78301209999999</v>
      </c>
      <c r="C83">
        <v>104.12412550000001</v>
      </c>
      <c r="D83">
        <f t="shared" si="6"/>
        <v>0.34111340000001178</v>
      </c>
      <c r="E83">
        <f t="shared" si="4"/>
        <v>0.34111340000001178</v>
      </c>
      <c r="F83">
        <f t="shared" si="5"/>
        <v>0.11635835165956804</v>
      </c>
      <c r="I83">
        <v>103.78301209999999</v>
      </c>
    </row>
    <row r="84" spans="1:9" x14ac:dyDescent="0.45">
      <c r="A84" t="s">
        <v>138</v>
      </c>
      <c r="B84">
        <v>104.7517476</v>
      </c>
      <c r="C84">
        <v>100.6571955</v>
      </c>
      <c r="D84">
        <f t="shared" si="6"/>
        <v>-4.0945521000000014</v>
      </c>
      <c r="E84">
        <f t="shared" si="4"/>
        <v>4.0945521000000014</v>
      </c>
      <c r="F84">
        <f t="shared" si="5"/>
        <v>16.765356899614421</v>
      </c>
      <c r="I84">
        <v>104.7517476</v>
      </c>
    </row>
    <row r="85" spans="1:9" x14ac:dyDescent="0.45">
      <c r="A85" t="s">
        <v>68</v>
      </c>
      <c r="B85">
        <v>112.71741230000001</v>
      </c>
      <c r="C85">
        <v>114.0636104</v>
      </c>
      <c r="D85">
        <f t="shared" si="6"/>
        <v>1.3461980999999952</v>
      </c>
      <c r="E85">
        <f t="shared" si="4"/>
        <v>1.3461980999999952</v>
      </c>
      <c r="F85">
        <f t="shared" si="5"/>
        <v>1.8122493244435971</v>
      </c>
      <c r="I85">
        <v>112.71741230000001</v>
      </c>
    </row>
    <row r="86" spans="1:9" x14ac:dyDescent="0.45">
      <c r="A86" t="s">
        <v>69</v>
      </c>
      <c r="B86">
        <v>79.811236109999996</v>
      </c>
      <c r="C86">
        <v>79.882712350000006</v>
      </c>
      <c r="D86">
        <f t="shared" si="6"/>
        <v>7.1476240000009739E-2</v>
      </c>
      <c r="E86">
        <f t="shared" si="4"/>
        <v>7.1476240000009739E-2</v>
      </c>
      <c r="F86">
        <f t="shared" si="5"/>
        <v>5.1088528845389921E-3</v>
      </c>
      <c r="I86">
        <v>79.811236109999996</v>
      </c>
    </row>
    <row r="87" spans="1:9" x14ac:dyDescent="0.45">
      <c r="A87" t="s">
        <v>70</v>
      </c>
      <c r="B87">
        <v>87.579713380000001</v>
      </c>
      <c r="C87">
        <v>81.426068439999995</v>
      </c>
      <c r="D87">
        <f t="shared" si="6"/>
        <v>-6.1536449400000066</v>
      </c>
      <c r="E87">
        <f t="shared" si="4"/>
        <v>6.1536449400000066</v>
      </c>
      <c r="F87">
        <f t="shared" si="5"/>
        <v>37.867346047587688</v>
      </c>
      <c r="I87">
        <v>87.579713380000001</v>
      </c>
    </row>
    <row r="88" spans="1:9" x14ac:dyDescent="0.45">
      <c r="A88" t="s">
        <v>71</v>
      </c>
      <c r="B88">
        <v>83.654989049999998</v>
      </c>
      <c r="C88">
        <v>81.589673050000002</v>
      </c>
      <c r="D88">
        <f t="shared" si="6"/>
        <v>-2.0653159999999957</v>
      </c>
      <c r="E88">
        <f t="shared" si="4"/>
        <v>2.0653159999999957</v>
      </c>
      <c r="F88">
        <f t="shared" si="5"/>
        <v>4.2655301798559826</v>
      </c>
      <c r="I88">
        <v>83.654989049999998</v>
      </c>
    </row>
    <row r="89" spans="1:9" x14ac:dyDescent="0.45">
      <c r="A89" t="s">
        <v>72</v>
      </c>
      <c r="B89">
        <v>83.519548420000007</v>
      </c>
      <c r="C89">
        <v>81.554233580000002</v>
      </c>
      <c r="D89">
        <f t="shared" si="6"/>
        <v>-1.9653148400000049</v>
      </c>
      <c r="E89">
        <f t="shared" si="4"/>
        <v>1.9653148400000049</v>
      </c>
      <c r="F89">
        <f t="shared" si="5"/>
        <v>3.862462420324245</v>
      </c>
      <c r="I89">
        <v>83.519548420000007</v>
      </c>
    </row>
    <row r="90" spans="1:9" x14ac:dyDescent="0.45">
      <c r="A90" t="s">
        <v>73</v>
      </c>
      <c r="B90">
        <v>84.7246351</v>
      </c>
      <c r="C90">
        <v>82.980038550000003</v>
      </c>
      <c r="D90">
        <f t="shared" si="6"/>
        <v>-1.7445965499999971</v>
      </c>
      <c r="E90">
        <f t="shared" si="4"/>
        <v>1.7445965499999971</v>
      </c>
      <c r="F90">
        <f t="shared" si="5"/>
        <v>3.0436171222718924</v>
      </c>
      <c r="I90">
        <v>84.7246351</v>
      </c>
    </row>
    <row r="91" spans="1:9" x14ac:dyDescent="0.45">
      <c r="A91" t="s">
        <v>74</v>
      </c>
      <c r="B91">
        <v>84.460283709999999</v>
      </c>
      <c r="C91">
        <v>82.889872789999998</v>
      </c>
      <c r="D91">
        <f t="shared" si="6"/>
        <v>-1.5704109200000005</v>
      </c>
      <c r="E91">
        <f t="shared" si="4"/>
        <v>1.5704109200000005</v>
      </c>
      <c r="F91">
        <f t="shared" si="5"/>
        <v>2.466190457655248</v>
      </c>
      <c r="I91">
        <v>84.460283709999999</v>
      </c>
    </row>
    <row r="92" spans="1:9" x14ac:dyDescent="0.45">
      <c r="A92" t="s">
        <v>75</v>
      </c>
      <c r="B92">
        <v>84.348283100000003</v>
      </c>
      <c r="C92">
        <v>82.681644370000001</v>
      </c>
      <c r="D92">
        <f t="shared" si="6"/>
        <v>-1.6666387300000025</v>
      </c>
      <c r="E92">
        <f t="shared" si="4"/>
        <v>1.6666387300000025</v>
      </c>
      <c r="F92">
        <f t="shared" si="5"/>
        <v>2.7776846563360214</v>
      </c>
      <c r="I92">
        <v>84.348283100000003</v>
      </c>
    </row>
    <row r="93" spans="1:9" x14ac:dyDescent="0.45">
      <c r="A93" t="s">
        <v>76</v>
      </c>
      <c r="B93">
        <v>84.090844270000005</v>
      </c>
      <c r="C93">
        <v>82.804044939999997</v>
      </c>
      <c r="D93">
        <f t="shared" si="6"/>
        <v>-1.286799330000008</v>
      </c>
      <c r="E93">
        <f t="shared" si="4"/>
        <v>1.286799330000008</v>
      </c>
      <c r="F93">
        <f t="shared" si="5"/>
        <v>1.6558525156884696</v>
      </c>
      <c r="I93">
        <v>84.090844270000005</v>
      </c>
    </row>
    <row r="94" spans="1:9" x14ac:dyDescent="0.45">
      <c r="A94" t="s">
        <v>77</v>
      </c>
      <c r="B94">
        <v>84.611467869999998</v>
      </c>
      <c r="C94">
        <v>82.922402989999995</v>
      </c>
      <c r="D94">
        <f t="shared" si="6"/>
        <v>-1.6890648800000037</v>
      </c>
      <c r="E94">
        <f t="shared" si="4"/>
        <v>1.6890648800000037</v>
      </c>
      <c r="F94">
        <f t="shared" si="5"/>
        <v>2.8529401688494267</v>
      </c>
      <c r="I94">
        <v>84.611467869999998</v>
      </c>
    </row>
    <row r="95" spans="1:9" x14ac:dyDescent="0.45">
      <c r="A95" t="s">
        <v>78</v>
      </c>
      <c r="B95">
        <v>95.401815450000001</v>
      </c>
      <c r="C95">
        <v>93.518241739999993</v>
      </c>
      <c r="D95">
        <f t="shared" si="6"/>
        <v>-1.8835737100000074</v>
      </c>
      <c r="E95">
        <f t="shared" si="4"/>
        <v>1.8835737100000074</v>
      </c>
      <c r="F95">
        <f t="shared" si="5"/>
        <v>3.5478499210031917</v>
      </c>
      <c r="I95">
        <v>95.401815450000001</v>
      </c>
    </row>
    <row r="96" spans="1:9" x14ac:dyDescent="0.45">
      <c r="A96" t="s">
        <v>79</v>
      </c>
      <c r="B96">
        <v>89.525864839999997</v>
      </c>
      <c r="C96">
        <v>88.075236829999994</v>
      </c>
      <c r="D96">
        <f t="shared" si="6"/>
        <v>-1.4506280100000026</v>
      </c>
      <c r="E96">
        <f t="shared" si="4"/>
        <v>1.4506280100000026</v>
      </c>
      <c r="F96">
        <f t="shared" si="5"/>
        <v>2.1043216233965678</v>
      </c>
      <c r="I96">
        <v>89.525864839999997</v>
      </c>
    </row>
    <row r="97" spans="1:9" x14ac:dyDescent="0.45">
      <c r="A97" t="s">
        <v>80</v>
      </c>
      <c r="B97">
        <v>93.885374819999996</v>
      </c>
      <c r="C97">
        <v>87.879047810000003</v>
      </c>
      <c r="D97">
        <f t="shared" si="6"/>
        <v>-6.0063270099999926</v>
      </c>
      <c r="E97">
        <f t="shared" si="4"/>
        <v>6.0063270099999926</v>
      </c>
      <c r="F97">
        <f t="shared" si="5"/>
        <v>36.075964151055452</v>
      </c>
      <c r="I97">
        <v>93.885374819999996</v>
      </c>
    </row>
    <row r="98" spans="1:9" x14ac:dyDescent="0.45">
      <c r="A98" t="s">
        <v>81</v>
      </c>
      <c r="B98">
        <v>95.384020590000006</v>
      </c>
      <c r="C98">
        <v>90.703646809999995</v>
      </c>
      <c r="D98">
        <f t="shared" ref="D98:D129" si="7">(C98-B98)</f>
        <v>-4.6803737800000107</v>
      </c>
      <c r="E98">
        <f t="shared" si="4"/>
        <v>4.6803737800000107</v>
      </c>
      <c r="F98">
        <f t="shared" si="5"/>
        <v>21.905898720511587</v>
      </c>
      <c r="I98">
        <v>95.384020590000006</v>
      </c>
    </row>
    <row r="99" spans="1:9" x14ac:dyDescent="0.45">
      <c r="A99" t="s">
        <v>82</v>
      </c>
      <c r="B99">
        <v>91.829746529999994</v>
      </c>
      <c r="C99">
        <v>100.8121278</v>
      </c>
      <c r="D99">
        <f t="shared" si="7"/>
        <v>8.9823812700000047</v>
      </c>
      <c r="E99">
        <f t="shared" si="4"/>
        <v>8.9823812700000047</v>
      </c>
      <c r="F99">
        <f t="shared" si="5"/>
        <v>80.683173279646894</v>
      </c>
      <c r="I99">
        <v>91.829746529999994</v>
      </c>
    </row>
    <row r="100" spans="1:9" x14ac:dyDescent="0.45">
      <c r="A100" t="s">
        <v>84</v>
      </c>
      <c r="B100">
        <v>111.0270579</v>
      </c>
      <c r="C100">
        <v>113.7712631</v>
      </c>
      <c r="D100">
        <f t="shared" si="7"/>
        <v>2.7442051999999961</v>
      </c>
      <c r="E100">
        <f t="shared" si="4"/>
        <v>2.7442051999999961</v>
      </c>
      <c r="F100">
        <f t="shared" si="5"/>
        <v>7.5306621797070186</v>
      </c>
      <c r="I100">
        <v>111.0270579</v>
      </c>
    </row>
    <row r="101" spans="1:9" x14ac:dyDescent="0.45">
      <c r="A101" t="s">
        <v>139</v>
      </c>
      <c r="B101">
        <v>83.683074610000006</v>
      </c>
      <c r="C101">
        <v>82.548079560000005</v>
      </c>
      <c r="D101">
        <f t="shared" si="7"/>
        <v>-1.1349950500000006</v>
      </c>
      <c r="E101">
        <f t="shared" si="4"/>
        <v>1.1349950500000006</v>
      </c>
      <c r="F101">
        <f t="shared" si="5"/>
        <v>1.2882137635245037</v>
      </c>
      <c r="I101">
        <v>83.683074610000006</v>
      </c>
    </row>
    <row r="102" spans="1:9" x14ac:dyDescent="0.45">
      <c r="A102" t="s">
        <v>140</v>
      </c>
      <c r="B102">
        <v>90.441336980000003</v>
      </c>
      <c r="C102">
        <v>90.24726124</v>
      </c>
      <c r="D102">
        <f t="shared" si="7"/>
        <v>-0.19407574000000238</v>
      </c>
      <c r="E102">
        <f t="shared" si="4"/>
        <v>0.19407574000000238</v>
      </c>
      <c r="F102">
        <f t="shared" si="5"/>
        <v>3.7665392856548525E-2</v>
      </c>
      <c r="I102">
        <v>90.441336980000003</v>
      </c>
    </row>
    <row r="103" spans="1:9" x14ac:dyDescent="0.45">
      <c r="A103" t="s">
        <v>85</v>
      </c>
      <c r="B103">
        <v>101.9461158</v>
      </c>
      <c r="C103">
        <v>100.9572079</v>
      </c>
      <c r="D103">
        <f t="shared" si="7"/>
        <v>-0.98890790000000095</v>
      </c>
      <c r="E103">
        <f t="shared" si="4"/>
        <v>0.98890790000000095</v>
      </c>
      <c r="F103">
        <f t="shared" si="5"/>
        <v>0.97793883468241183</v>
      </c>
      <c r="I103">
        <v>101.9461158</v>
      </c>
    </row>
    <row r="104" spans="1:9" x14ac:dyDescent="0.45">
      <c r="A104" t="s">
        <v>86</v>
      </c>
      <c r="B104">
        <v>106.48178350000001</v>
      </c>
      <c r="C104">
        <v>105.2386753</v>
      </c>
      <c r="D104">
        <f t="shared" si="7"/>
        <v>-1.2431082000000089</v>
      </c>
      <c r="E104">
        <f t="shared" si="4"/>
        <v>1.2431082000000089</v>
      </c>
      <c r="F104">
        <f t="shared" si="5"/>
        <v>1.5453179969072621</v>
      </c>
      <c r="I104">
        <v>106.48178350000001</v>
      </c>
    </row>
    <row r="105" spans="1:9" x14ac:dyDescent="0.45">
      <c r="A105" t="s">
        <v>87</v>
      </c>
      <c r="B105">
        <v>115.46171390000001</v>
      </c>
      <c r="C105">
        <v>112.5082154</v>
      </c>
      <c r="D105">
        <f t="shared" si="7"/>
        <v>-2.9534985000000091</v>
      </c>
      <c r="E105">
        <f t="shared" si="4"/>
        <v>2.9534985000000091</v>
      </c>
      <c r="F105">
        <f t="shared" si="5"/>
        <v>8.7231533895023041</v>
      </c>
      <c r="I105">
        <v>115.46171390000001</v>
      </c>
    </row>
    <row r="106" spans="1:9" x14ac:dyDescent="0.45">
      <c r="A106" t="s">
        <v>88</v>
      </c>
      <c r="B106">
        <v>97.147863799999996</v>
      </c>
      <c r="C106">
        <v>99.688404739999996</v>
      </c>
      <c r="D106">
        <f t="shared" si="7"/>
        <v>2.5405409399999996</v>
      </c>
      <c r="E106">
        <f t="shared" si="4"/>
        <v>2.5405409399999996</v>
      </c>
      <c r="F106">
        <f t="shared" si="5"/>
        <v>6.4543482678160817</v>
      </c>
      <c r="I106">
        <v>97.147863799999996</v>
      </c>
    </row>
    <row r="107" spans="1:9" x14ac:dyDescent="0.45">
      <c r="A107" t="s">
        <v>89</v>
      </c>
      <c r="B107">
        <v>109.6236767</v>
      </c>
      <c r="C107">
        <v>114.3129303</v>
      </c>
      <c r="D107">
        <f t="shared" si="7"/>
        <v>4.6892536000000007</v>
      </c>
      <c r="E107">
        <f t="shared" si="4"/>
        <v>4.6892536000000007</v>
      </c>
      <c r="F107">
        <f t="shared" si="5"/>
        <v>21.989099325112967</v>
      </c>
      <c r="I107">
        <v>109.6236767</v>
      </c>
    </row>
    <row r="108" spans="1:9" x14ac:dyDescent="0.45">
      <c r="A108" t="s">
        <v>90</v>
      </c>
      <c r="B108">
        <v>88.952783920000002</v>
      </c>
      <c r="C108">
        <v>87.176174189999998</v>
      </c>
      <c r="D108">
        <f t="shared" si="7"/>
        <v>-1.7766097300000041</v>
      </c>
      <c r="E108">
        <f t="shared" si="4"/>
        <v>1.7766097300000041</v>
      </c>
      <c r="F108">
        <f t="shared" si="5"/>
        <v>3.1563421327306873</v>
      </c>
      <c r="I108">
        <v>88.952783920000002</v>
      </c>
    </row>
    <row r="109" spans="1:9" x14ac:dyDescent="0.45">
      <c r="A109" t="s">
        <v>91</v>
      </c>
      <c r="B109">
        <v>84.96101754</v>
      </c>
      <c r="C109">
        <v>83.417228969999996</v>
      </c>
      <c r="D109">
        <f t="shared" si="7"/>
        <v>-1.5437885700000038</v>
      </c>
      <c r="E109">
        <f t="shared" si="4"/>
        <v>1.5437885700000038</v>
      </c>
      <c r="F109">
        <f t="shared" si="5"/>
        <v>2.3832831488626565</v>
      </c>
      <c r="I109">
        <v>84.96101754</v>
      </c>
    </row>
    <row r="110" spans="1:9" x14ac:dyDescent="0.45">
      <c r="A110" t="s">
        <v>92</v>
      </c>
      <c r="B110">
        <v>84.753510329999997</v>
      </c>
      <c r="C110">
        <v>85.298437699999994</v>
      </c>
      <c r="D110">
        <f t="shared" si="7"/>
        <v>0.54492736999999636</v>
      </c>
      <c r="E110">
        <f t="shared" si="4"/>
        <v>0.54492736999999636</v>
      </c>
      <c r="F110">
        <f t="shared" si="5"/>
        <v>0.29694583857511292</v>
      </c>
      <c r="I110">
        <v>84.753510329999997</v>
      </c>
    </row>
    <row r="111" spans="1:9" x14ac:dyDescent="0.45">
      <c r="A111" t="s">
        <v>93</v>
      </c>
      <c r="B111">
        <v>85.39669001</v>
      </c>
      <c r="C111">
        <v>85.836145849999994</v>
      </c>
      <c r="D111">
        <f t="shared" si="7"/>
        <v>0.43945583999999371</v>
      </c>
      <c r="E111">
        <f t="shared" si="4"/>
        <v>0.43945583999999371</v>
      </c>
      <c r="F111">
        <f t="shared" si="5"/>
        <v>0.19312143531010006</v>
      </c>
      <c r="I111">
        <v>85.39669001</v>
      </c>
    </row>
    <row r="112" spans="1:9" x14ac:dyDescent="0.45">
      <c r="A112" t="s">
        <v>94</v>
      </c>
      <c r="B112">
        <v>91.085218549999993</v>
      </c>
      <c r="C112">
        <v>90.563608779999996</v>
      </c>
      <c r="D112">
        <f t="shared" si="7"/>
        <v>-0.52160976999999775</v>
      </c>
      <c r="E112">
        <f t="shared" si="4"/>
        <v>0.52160976999999775</v>
      </c>
      <c r="F112">
        <f t="shared" si="5"/>
        <v>0.27207675215945054</v>
      </c>
      <c r="I112">
        <v>91.085218549999993</v>
      </c>
    </row>
    <row r="113" spans="1:9" x14ac:dyDescent="0.45">
      <c r="A113" t="s">
        <v>95</v>
      </c>
      <c r="B113">
        <v>84.944099910000006</v>
      </c>
      <c r="C113">
        <v>85.533040189999994</v>
      </c>
      <c r="D113">
        <f t="shared" si="7"/>
        <v>0.58894027999998855</v>
      </c>
      <c r="E113">
        <f t="shared" si="4"/>
        <v>0.58894027999998855</v>
      </c>
      <c r="F113">
        <f t="shared" si="5"/>
        <v>0.34685065340646493</v>
      </c>
      <c r="I113">
        <v>84.944099910000006</v>
      </c>
    </row>
    <row r="114" spans="1:9" x14ac:dyDescent="0.45">
      <c r="A114" t="s">
        <v>96</v>
      </c>
      <c r="B114">
        <v>87.896341969999995</v>
      </c>
      <c r="C114">
        <v>85.520716329999999</v>
      </c>
      <c r="D114">
        <f t="shared" si="7"/>
        <v>-2.3756256399999955</v>
      </c>
      <c r="E114">
        <f t="shared" si="4"/>
        <v>2.3756256399999955</v>
      </c>
      <c r="F114">
        <f t="shared" si="5"/>
        <v>5.6435971814253882</v>
      </c>
      <c r="I114">
        <v>87.896341969999995</v>
      </c>
    </row>
    <row r="115" spans="1:9" x14ac:dyDescent="0.45">
      <c r="A115" t="s">
        <v>97</v>
      </c>
      <c r="B115">
        <v>84.851769950000005</v>
      </c>
      <c r="C115">
        <v>84.312209949999996</v>
      </c>
      <c r="D115">
        <f t="shared" si="7"/>
        <v>-0.5395600000000087</v>
      </c>
      <c r="E115">
        <f t="shared" si="4"/>
        <v>0.5395600000000087</v>
      </c>
      <c r="F115">
        <f t="shared" si="5"/>
        <v>0.29112499360000937</v>
      </c>
      <c r="I115">
        <v>84.851769950000005</v>
      </c>
    </row>
    <row r="116" spans="1:9" x14ac:dyDescent="0.45">
      <c r="A116" t="s">
        <v>98</v>
      </c>
      <c r="B116">
        <v>83.270625719999998</v>
      </c>
      <c r="C116">
        <v>80.380349910000007</v>
      </c>
      <c r="D116">
        <f t="shared" si="7"/>
        <v>-2.8902758099999915</v>
      </c>
      <c r="E116">
        <f t="shared" si="4"/>
        <v>2.8902758099999915</v>
      </c>
      <c r="F116">
        <f t="shared" si="5"/>
        <v>8.3536942578711066</v>
      </c>
      <c r="I116">
        <v>83.270625719999998</v>
      </c>
    </row>
    <row r="117" spans="1:9" x14ac:dyDescent="0.45">
      <c r="A117" t="s">
        <v>99</v>
      </c>
      <c r="B117">
        <v>82.237559739999995</v>
      </c>
      <c r="C117">
        <v>80.436566630000002</v>
      </c>
      <c r="D117">
        <f t="shared" si="7"/>
        <v>-1.8009931099999932</v>
      </c>
      <c r="E117">
        <f t="shared" si="4"/>
        <v>1.8009931099999932</v>
      </c>
      <c r="F117">
        <f t="shared" si="5"/>
        <v>3.2435761822674474</v>
      </c>
      <c r="I117">
        <v>82.237559739999995</v>
      </c>
    </row>
    <row r="118" spans="1:9" x14ac:dyDescent="0.45">
      <c r="A118" t="s">
        <v>100</v>
      </c>
      <c r="B118">
        <v>95.057980689999994</v>
      </c>
      <c r="C118">
        <v>91.273492649999994</v>
      </c>
      <c r="D118">
        <f t="shared" si="7"/>
        <v>-3.7844880399999994</v>
      </c>
      <c r="E118">
        <f t="shared" si="4"/>
        <v>3.7844880399999994</v>
      </c>
      <c r="F118">
        <f t="shared" si="5"/>
        <v>14.322349724903036</v>
      </c>
      <c r="I118">
        <v>95.057980689999994</v>
      </c>
    </row>
    <row r="119" spans="1:9" x14ac:dyDescent="0.45">
      <c r="A119" t="s">
        <v>101</v>
      </c>
      <c r="B119">
        <v>86.351051200000001</v>
      </c>
      <c r="C119">
        <v>89.982645300000001</v>
      </c>
      <c r="D119">
        <f t="shared" si="7"/>
        <v>3.6315941000000009</v>
      </c>
      <c r="E119">
        <f t="shared" si="4"/>
        <v>3.6315941000000009</v>
      </c>
      <c r="F119">
        <f t="shared" si="5"/>
        <v>13.188475707154817</v>
      </c>
      <c r="I119">
        <v>86.351051200000001</v>
      </c>
    </row>
    <row r="120" spans="1:9" x14ac:dyDescent="0.45">
      <c r="A120" t="s">
        <v>102</v>
      </c>
      <c r="B120">
        <v>92.310979829999994</v>
      </c>
      <c r="C120">
        <v>102.5519267</v>
      </c>
      <c r="D120">
        <f t="shared" si="7"/>
        <v>10.240946870000002</v>
      </c>
      <c r="E120">
        <f t="shared" si="4"/>
        <v>10.240946870000002</v>
      </c>
      <c r="F120">
        <f t="shared" si="5"/>
        <v>104.87699279416283</v>
      </c>
      <c r="I120">
        <v>92.310979829999994</v>
      </c>
    </row>
    <row r="121" spans="1:9" x14ac:dyDescent="0.45">
      <c r="A121" t="s">
        <v>103</v>
      </c>
      <c r="B121">
        <v>92.134606250000004</v>
      </c>
      <c r="C121">
        <v>87.092638590000007</v>
      </c>
      <c r="D121">
        <f t="shared" si="7"/>
        <v>-5.0419676599999974</v>
      </c>
      <c r="E121">
        <f t="shared" si="4"/>
        <v>5.0419676599999974</v>
      </c>
      <c r="F121">
        <f t="shared" si="5"/>
        <v>25.421437884485851</v>
      </c>
      <c r="I121">
        <v>92.134606250000004</v>
      </c>
    </row>
    <row r="122" spans="1:9" x14ac:dyDescent="0.45">
      <c r="A122" t="s">
        <v>104</v>
      </c>
      <c r="B122">
        <v>92.54412963</v>
      </c>
      <c r="C122">
        <v>93.512893450000007</v>
      </c>
      <c r="D122">
        <f t="shared" si="7"/>
        <v>0.9687638200000066</v>
      </c>
      <c r="E122">
        <f t="shared" si="4"/>
        <v>0.9687638200000066</v>
      </c>
      <c r="F122">
        <f t="shared" si="5"/>
        <v>0.93850333894100524</v>
      </c>
      <c r="I122">
        <v>92.54412963</v>
      </c>
    </row>
    <row r="123" spans="1:9" x14ac:dyDescent="0.45">
      <c r="A123" t="s">
        <v>105</v>
      </c>
      <c r="B123">
        <v>92.470655780000001</v>
      </c>
      <c r="C123">
        <v>93.644945930000006</v>
      </c>
      <c r="D123">
        <f t="shared" si="7"/>
        <v>1.1742901500000045</v>
      </c>
      <c r="E123">
        <f t="shared" si="4"/>
        <v>1.1742901500000045</v>
      </c>
      <c r="F123">
        <f t="shared" si="5"/>
        <v>1.378957356387033</v>
      </c>
      <c r="I123">
        <v>92.470655780000001</v>
      </c>
    </row>
    <row r="124" spans="1:9" x14ac:dyDescent="0.45">
      <c r="A124" t="s">
        <v>106</v>
      </c>
      <c r="B124">
        <v>97.126676160000002</v>
      </c>
      <c r="C124">
        <v>94.126095090000007</v>
      </c>
      <c r="D124">
        <f t="shared" si="7"/>
        <v>-3.0005810699999955</v>
      </c>
      <c r="E124">
        <f t="shared" si="4"/>
        <v>3.0005810699999955</v>
      </c>
      <c r="F124">
        <f t="shared" si="5"/>
        <v>9.0034867576423174</v>
      </c>
      <c r="I124">
        <v>97.126676160000002</v>
      </c>
    </row>
    <row r="125" spans="1:9" x14ac:dyDescent="0.45">
      <c r="A125" t="s">
        <v>141</v>
      </c>
      <c r="B125">
        <v>81.751812380000004</v>
      </c>
      <c r="C125">
        <v>79.496838530000005</v>
      </c>
      <c r="D125">
        <f t="shared" si="7"/>
        <v>-2.2549738499999989</v>
      </c>
      <c r="E125">
        <f t="shared" si="4"/>
        <v>2.2549738499999989</v>
      </c>
      <c r="F125">
        <f t="shared" si="5"/>
        <v>5.0849070641838177</v>
      </c>
      <c r="I125">
        <v>81.751812380000004</v>
      </c>
    </row>
    <row r="126" spans="1:9" x14ac:dyDescent="0.45">
      <c r="A126" t="s">
        <v>142</v>
      </c>
      <c r="B126">
        <v>90.877196650000002</v>
      </c>
      <c r="C126">
        <v>90.562909500000004</v>
      </c>
      <c r="D126">
        <f t="shared" si="7"/>
        <v>-0.31428714999999841</v>
      </c>
      <c r="E126">
        <f t="shared" si="4"/>
        <v>0.31428714999999841</v>
      </c>
      <c r="F126">
        <f t="shared" si="5"/>
        <v>9.8776412655121493E-2</v>
      </c>
      <c r="I126">
        <v>90.877196650000002</v>
      </c>
    </row>
    <row r="127" spans="1:9" x14ac:dyDescent="0.45">
      <c r="A127" t="s">
        <v>107</v>
      </c>
      <c r="B127">
        <v>105.1212221</v>
      </c>
      <c r="C127">
        <v>102.052778</v>
      </c>
      <c r="D127">
        <f t="shared" si="7"/>
        <v>-3.0684440999999936</v>
      </c>
      <c r="E127">
        <f t="shared" si="4"/>
        <v>3.0684440999999936</v>
      </c>
      <c r="F127">
        <f t="shared" si="5"/>
        <v>9.4153491948247705</v>
      </c>
      <c r="I127">
        <v>105.1212221</v>
      </c>
    </row>
    <row r="128" spans="1:9" x14ac:dyDescent="0.45">
      <c r="A128" t="s">
        <v>108</v>
      </c>
      <c r="B128">
        <v>111.7767767</v>
      </c>
      <c r="C128">
        <v>111.9631819</v>
      </c>
      <c r="D128">
        <f t="shared" si="7"/>
        <v>0.18640519999999583</v>
      </c>
      <c r="E128">
        <f t="shared" ref="E128:E132" si="8">ABS(D128)</f>
        <v>0.18640519999999583</v>
      </c>
      <c r="F128">
        <f t="shared" ref="F128:F132" si="9">E128^2</f>
        <v>3.4746898587038444E-2</v>
      </c>
      <c r="I128">
        <v>111.7767767</v>
      </c>
    </row>
    <row r="129" spans="1:9" x14ac:dyDescent="0.45">
      <c r="A129" t="s">
        <v>109</v>
      </c>
      <c r="B129">
        <v>109.28908850000001</v>
      </c>
      <c r="C129">
        <v>111.7761265</v>
      </c>
      <c r="D129">
        <f t="shared" si="7"/>
        <v>2.4870379999999983</v>
      </c>
      <c r="E129">
        <f t="shared" si="8"/>
        <v>2.4870379999999983</v>
      </c>
      <c r="F129">
        <f t="shared" si="9"/>
        <v>6.1853580134439916</v>
      </c>
      <c r="I129">
        <v>109.28908850000001</v>
      </c>
    </row>
    <row r="130" spans="1:9" x14ac:dyDescent="0.45">
      <c r="A130" t="s">
        <v>110</v>
      </c>
      <c r="B130">
        <v>104.1100813</v>
      </c>
      <c r="C130">
        <v>102.981804</v>
      </c>
      <c r="D130">
        <f t="shared" ref="D130:D132" si="10">(C130-B130)</f>
        <v>-1.1282773000000077</v>
      </c>
      <c r="E130">
        <f t="shared" si="8"/>
        <v>1.1282773000000077</v>
      </c>
      <c r="F130">
        <f t="shared" si="9"/>
        <v>1.2730096656953074</v>
      </c>
      <c r="I130">
        <v>104.1100813</v>
      </c>
    </row>
    <row r="131" spans="1:9" x14ac:dyDescent="0.45">
      <c r="A131" t="s">
        <v>111</v>
      </c>
      <c r="B131">
        <v>80.20683124</v>
      </c>
      <c r="C131">
        <v>79.460185780000003</v>
      </c>
      <c r="D131">
        <f t="shared" si="10"/>
        <v>-0.74664545999999632</v>
      </c>
      <c r="E131">
        <f t="shared" si="8"/>
        <v>0.74664545999999632</v>
      </c>
      <c r="F131">
        <f t="shared" si="9"/>
        <v>0.55747944293860607</v>
      </c>
      <c r="I131">
        <v>80.20683124</v>
      </c>
    </row>
    <row r="132" spans="1:9" x14ac:dyDescent="0.45">
      <c r="A132" t="s">
        <v>112</v>
      </c>
      <c r="B132">
        <v>80.086143219999997</v>
      </c>
      <c r="C132">
        <v>79.122058899999999</v>
      </c>
      <c r="D132">
        <f t="shared" si="10"/>
        <v>-0.96408431999999777</v>
      </c>
      <c r="E132">
        <f t="shared" si="8"/>
        <v>0.96408431999999777</v>
      </c>
      <c r="F132">
        <f t="shared" si="9"/>
        <v>0.92945857606985816</v>
      </c>
      <c r="I132">
        <v>80.086143219999997</v>
      </c>
    </row>
    <row r="133" spans="1:9" x14ac:dyDescent="0.45">
      <c r="D133">
        <f>AVERAGE(D2:D132)</f>
        <v>-0.4969234358015267</v>
      </c>
      <c r="E133">
        <f>AVERAGE(E2:E132)</f>
        <v>2.0304163289312975</v>
      </c>
      <c r="F133">
        <f>SQRT(AVERAGE(F2:F132))</f>
        <v>2.7927083716195202</v>
      </c>
    </row>
    <row r="134" spans="1:9" x14ac:dyDescent="0.45">
      <c r="B134">
        <f>MIN(B2:B132)</f>
        <v>71.467418069999994</v>
      </c>
      <c r="C134">
        <f>MIN(C2:C132)</f>
        <v>65.134303399999993</v>
      </c>
    </row>
    <row r="135" spans="1:9" x14ac:dyDescent="0.45">
      <c r="B135">
        <f>MAX(B2:B132)</f>
        <v>115.46171390000001</v>
      </c>
      <c r="C135">
        <f>MAX(C2:C132)</f>
        <v>114.65891569999999</v>
      </c>
    </row>
  </sheetData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ChemDraw_x64.Document.6.0" shapeId="12289" r:id="rId3">
          <objectPr defaultSize="0" autoPict="0" r:id="rId4">
            <anchor moveWithCells="1" sizeWithCells="1">
              <from>
                <xdr:col>12</xdr:col>
                <xdr:colOff>185738</xdr:colOff>
                <xdr:row>12</xdr:row>
                <xdr:rowOff>171450</xdr:rowOff>
              </from>
              <to>
                <xdr:col>13</xdr:col>
                <xdr:colOff>581025</xdr:colOff>
                <xdr:row>16</xdr:row>
                <xdr:rowOff>14288</xdr:rowOff>
              </to>
            </anchor>
          </objectPr>
        </oleObject>
      </mc:Choice>
      <mc:Fallback>
        <oleObject progId="ChemDraw_x64.Document.6.0" shapeId="12289" r:id="rId3"/>
      </mc:Fallback>
    </mc:AlternateContent>
  </oleObjec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F4A28-C290-4825-AED4-DC02EF7C48B8}">
  <dimension ref="A1:AS138"/>
  <sheetViews>
    <sheetView workbookViewId="0">
      <selection activeCell="C1" sqref="C1"/>
    </sheetView>
  </sheetViews>
  <sheetFormatPr defaultRowHeight="14.25" x14ac:dyDescent="0.45"/>
  <cols>
    <col min="13" max="13" width="11.46484375" customWidth="1"/>
    <col min="14" max="14" width="11.1328125" customWidth="1"/>
  </cols>
  <sheetData>
    <row r="1" spans="1:45" s="2" customFormat="1" x14ac:dyDescent="0.45">
      <c r="A1" s="2" t="s">
        <v>6</v>
      </c>
      <c r="B1" s="2" t="s">
        <v>176</v>
      </c>
      <c r="C1" s="2" t="s">
        <v>177</v>
      </c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  <c r="I1" s="2" t="s">
        <v>5</v>
      </c>
    </row>
    <row r="2" spans="1:45" x14ac:dyDescent="0.45">
      <c r="A2" t="s">
        <v>113</v>
      </c>
      <c r="B2">
        <v>91.258685279999995</v>
      </c>
      <c r="C2">
        <v>90.775949600000004</v>
      </c>
      <c r="D2">
        <f t="shared" ref="D2:D33" si="0">(C2-B2)</f>
        <v>-0.48273567999999045</v>
      </c>
      <c r="E2">
        <f>ABS(D2)</f>
        <v>0.48273567999999045</v>
      </c>
      <c r="F2">
        <f>E2^2</f>
        <v>0.23303373674505318</v>
      </c>
      <c r="G2">
        <f>CORREL(B2:B135,C2:C135)</f>
        <v>0.82169100953917351</v>
      </c>
      <c r="H2">
        <f>G2^2</f>
        <v>0.67517611515750608</v>
      </c>
      <c r="I2">
        <v>91.258685279999995</v>
      </c>
    </row>
    <row r="3" spans="1:45" x14ac:dyDescent="0.45">
      <c r="A3" t="s">
        <v>114</v>
      </c>
      <c r="B3">
        <v>89.850270879999997</v>
      </c>
      <c r="C3">
        <v>89.244592269999998</v>
      </c>
      <c r="D3">
        <f t="shared" si="0"/>
        <v>-0.60567860999999823</v>
      </c>
      <c r="E3">
        <f t="shared" ref="E3:E65" si="1">ABS(D3)</f>
        <v>0.60567860999999823</v>
      </c>
      <c r="F3">
        <f t="shared" ref="F3:F65" si="2">E3^2</f>
        <v>0.36684657861152997</v>
      </c>
      <c r="I3">
        <v>89.850270879999997</v>
      </c>
    </row>
    <row r="4" spans="1:45" x14ac:dyDescent="0.45">
      <c r="A4" t="s">
        <v>115</v>
      </c>
      <c r="B4">
        <v>90.819145739999996</v>
      </c>
      <c r="C4">
        <v>90.469790020000005</v>
      </c>
      <c r="D4">
        <f t="shared" si="0"/>
        <v>-0.34935571999999127</v>
      </c>
      <c r="E4">
        <f t="shared" si="1"/>
        <v>0.34935571999999127</v>
      </c>
      <c r="F4">
        <f t="shared" si="2"/>
        <v>0.1220494190967123</v>
      </c>
      <c r="I4">
        <v>90.819145739999996</v>
      </c>
    </row>
    <row r="5" spans="1:45" x14ac:dyDescent="0.45">
      <c r="A5" t="s">
        <v>116</v>
      </c>
      <c r="B5">
        <v>77.926682330000006</v>
      </c>
      <c r="C5">
        <v>78.253115840000007</v>
      </c>
      <c r="D5">
        <f t="shared" si="0"/>
        <v>0.32643351000000109</v>
      </c>
      <c r="E5">
        <f t="shared" si="1"/>
        <v>0.32643351000000109</v>
      </c>
      <c r="F5">
        <f t="shared" si="2"/>
        <v>0.10655883645092082</v>
      </c>
      <c r="I5">
        <v>77.926682330000006</v>
      </c>
    </row>
    <row r="6" spans="1:45" x14ac:dyDescent="0.45">
      <c r="A6" t="s">
        <v>117</v>
      </c>
      <c r="B6">
        <v>89.077999500000004</v>
      </c>
      <c r="C6">
        <v>89.048078459999999</v>
      </c>
      <c r="D6">
        <f t="shared" si="0"/>
        <v>-2.992104000000495E-2</v>
      </c>
      <c r="E6">
        <f t="shared" si="1"/>
        <v>2.992104000000495E-2</v>
      </c>
      <c r="F6">
        <f t="shared" si="2"/>
        <v>8.9526863468189619E-4</v>
      </c>
      <c r="I6">
        <v>89.077999500000004</v>
      </c>
    </row>
    <row r="7" spans="1:45" x14ac:dyDescent="0.45">
      <c r="A7" t="s">
        <v>118</v>
      </c>
      <c r="B7">
        <v>72.180617150000003</v>
      </c>
      <c r="C7">
        <v>65.134303399999993</v>
      </c>
      <c r="D7">
        <f t="shared" si="0"/>
        <v>-7.0463137500000101</v>
      </c>
      <c r="E7">
        <f t="shared" si="1"/>
        <v>7.0463137500000101</v>
      </c>
      <c r="F7">
        <f t="shared" si="2"/>
        <v>49.650537463439207</v>
      </c>
      <c r="I7">
        <v>72.180617150000003</v>
      </c>
    </row>
    <row r="8" spans="1:45" x14ac:dyDescent="0.45">
      <c r="A8" t="s">
        <v>7</v>
      </c>
      <c r="B8">
        <v>113.1914419</v>
      </c>
      <c r="C8">
        <v>114.65891569999999</v>
      </c>
      <c r="D8">
        <f t="shared" si="0"/>
        <v>1.4674737999999934</v>
      </c>
      <c r="E8">
        <f t="shared" si="1"/>
        <v>1.4674737999999934</v>
      </c>
      <c r="F8">
        <f t="shared" si="2"/>
        <v>2.1534793536864205</v>
      </c>
      <c r="I8">
        <v>113.1914419</v>
      </c>
    </row>
    <row r="9" spans="1:45" x14ac:dyDescent="0.45">
      <c r="A9" t="s">
        <v>8</v>
      </c>
      <c r="B9">
        <v>112.3610477</v>
      </c>
      <c r="C9">
        <v>113.09976</v>
      </c>
      <c r="D9">
        <f t="shared" si="0"/>
        <v>0.7387123000000031</v>
      </c>
      <c r="E9">
        <f t="shared" si="1"/>
        <v>0.7387123000000031</v>
      </c>
      <c r="F9">
        <f t="shared" si="2"/>
        <v>0.54569586217129462</v>
      </c>
      <c r="I9">
        <v>112.3610477</v>
      </c>
    </row>
    <row r="10" spans="1:45" x14ac:dyDescent="0.45">
      <c r="A10" t="s">
        <v>9</v>
      </c>
      <c r="B10">
        <v>104.2583101</v>
      </c>
      <c r="C10">
        <v>105.58440950000001</v>
      </c>
      <c r="D10">
        <f t="shared" si="0"/>
        <v>1.3260994000000039</v>
      </c>
      <c r="E10">
        <f t="shared" si="1"/>
        <v>1.3260994000000039</v>
      </c>
      <c r="F10">
        <f t="shared" si="2"/>
        <v>1.7585396186803703</v>
      </c>
      <c r="I10">
        <v>104.2583101</v>
      </c>
    </row>
    <row r="11" spans="1:45" x14ac:dyDescent="0.45">
      <c r="A11" t="s">
        <v>10</v>
      </c>
      <c r="B11">
        <v>98.716403029999995</v>
      </c>
      <c r="C11">
        <v>100.6490429</v>
      </c>
      <c r="D11">
        <f t="shared" si="0"/>
        <v>1.9326398700000027</v>
      </c>
      <c r="E11">
        <f t="shared" si="1"/>
        <v>1.9326398700000027</v>
      </c>
      <c r="F11">
        <f t="shared" si="2"/>
        <v>3.7350968671136275</v>
      </c>
      <c r="I11">
        <v>98.716403029999995</v>
      </c>
    </row>
    <row r="12" spans="1:45" x14ac:dyDescent="0.45">
      <c r="A12" t="s">
        <v>11</v>
      </c>
      <c r="B12">
        <v>100.47319589999999</v>
      </c>
      <c r="C12">
        <v>101.1050104</v>
      </c>
      <c r="D12">
        <f t="shared" si="0"/>
        <v>0.63181450000000439</v>
      </c>
      <c r="E12">
        <f t="shared" si="1"/>
        <v>0.63181450000000439</v>
      </c>
      <c r="F12">
        <f t="shared" si="2"/>
        <v>0.39918956241025555</v>
      </c>
      <c r="I12">
        <v>100.47319589999999</v>
      </c>
    </row>
    <row r="13" spans="1:45" x14ac:dyDescent="0.45">
      <c r="A13" t="s">
        <v>12</v>
      </c>
      <c r="B13">
        <v>109.6802507</v>
      </c>
      <c r="C13">
        <v>107.90839870000001</v>
      </c>
      <c r="D13">
        <f t="shared" si="0"/>
        <v>-1.7718519999999955</v>
      </c>
      <c r="E13">
        <f t="shared" si="1"/>
        <v>1.7718519999999955</v>
      </c>
      <c r="F13">
        <f t="shared" si="2"/>
        <v>3.1394595099039844</v>
      </c>
      <c r="I13">
        <v>109.6802507</v>
      </c>
    </row>
    <row r="14" spans="1:45" x14ac:dyDescent="0.45">
      <c r="A14" t="s">
        <v>13</v>
      </c>
      <c r="B14">
        <v>104.5088185</v>
      </c>
      <c r="C14">
        <v>106.2838847</v>
      </c>
      <c r="D14">
        <f t="shared" si="0"/>
        <v>1.7750661999999977</v>
      </c>
      <c r="E14">
        <f t="shared" si="1"/>
        <v>1.7750661999999977</v>
      </c>
      <c r="F14">
        <f t="shared" si="2"/>
        <v>3.1508600143824319</v>
      </c>
      <c r="I14">
        <v>104.5088185</v>
      </c>
    </row>
    <row r="15" spans="1:45" x14ac:dyDescent="0.45">
      <c r="A15" t="s">
        <v>119</v>
      </c>
      <c r="B15">
        <v>89.575054499999993</v>
      </c>
      <c r="C15">
        <v>89.264170669999999</v>
      </c>
      <c r="D15">
        <f t="shared" si="0"/>
        <v>-0.31088382999999453</v>
      </c>
      <c r="E15">
        <f t="shared" si="1"/>
        <v>0.31088382999999453</v>
      </c>
      <c r="F15">
        <f t="shared" si="2"/>
        <v>9.6648755755465499E-2</v>
      </c>
      <c r="I15">
        <v>89.575054499999993</v>
      </c>
      <c r="AS15" s="1"/>
    </row>
    <row r="16" spans="1:45" x14ac:dyDescent="0.45">
      <c r="A16" t="s">
        <v>14</v>
      </c>
      <c r="B16">
        <v>100.46163919999999</v>
      </c>
      <c r="C16">
        <v>102.2050007</v>
      </c>
      <c r="D16">
        <f t="shared" si="0"/>
        <v>1.743361500000006</v>
      </c>
      <c r="E16">
        <f t="shared" si="1"/>
        <v>1.743361500000006</v>
      </c>
      <c r="F16">
        <f t="shared" si="2"/>
        <v>3.0393093196822711</v>
      </c>
      <c r="I16">
        <v>100.46163919999999</v>
      </c>
      <c r="AS16" s="1"/>
    </row>
    <row r="17" spans="1:45" x14ac:dyDescent="0.45">
      <c r="A17" t="s">
        <v>120</v>
      </c>
      <c r="B17">
        <v>74.143463370000006</v>
      </c>
      <c r="C17">
        <v>76.860238910000007</v>
      </c>
      <c r="D17">
        <f t="shared" si="0"/>
        <v>2.7167755400000004</v>
      </c>
      <c r="E17">
        <f t="shared" si="1"/>
        <v>2.7167755400000004</v>
      </c>
      <c r="F17">
        <f t="shared" si="2"/>
        <v>7.380869334742294</v>
      </c>
      <c r="I17">
        <v>74.143463370000006</v>
      </c>
      <c r="AS17" s="1"/>
    </row>
    <row r="18" spans="1:45" x14ac:dyDescent="0.45">
      <c r="A18" t="s">
        <v>121</v>
      </c>
      <c r="B18">
        <v>93.050602409999996</v>
      </c>
      <c r="C18">
        <v>91.496638079999997</v>
      </c>
      <c r="D18">
        <f t="shared" si="0"/>
        <v>-1.5539643299999994</v>
      </c>
      <c r="E18">
        <f t="shared" si="1"/>
        <v>1.5539643299999994</v>
      </c>
      <c r="F18">
        <f t="shared" si="2"/>
        <v>2.4148051389123473</v>
      </c>
      <c r="I18">
        <v>93.050602409999996</v>
      </c>
      <c r="AS18" s="1"/>
    </row>
    <row r="19" spans="1:45" x14ac:dyDescent="0.45">
      <c r="A19" t="s">
        <v>123</v>
      </c>
      <c r="B19">
        <v>101.6892556</v>
      </c>
      <c r="C19">
        <v>101.24506100000001</v>
      </c>
      <c r="D19">
        <f t="shared" si="0"/>
        <v>-0.44419459999998878</v>
      </c>
      <c r="E19">
        <f t="shared" si="1"/>
        <v>0.44419459999998878</v>
      </c>
      <c r="F19">
        <f t="shared" si="2"/>
        <v>0.19730884266915003</v>
      </c>
      <c r="I19">
        <v>101.6892556</v>
      </c>
      <c r="AS19" s="1"/>
    </row>
    <row r="20" spans="1:45" x14ac:dyDescent="0.45">
      <c r="A20" t="s">
        <v>124</v>
      </c>
      <c r="B20">
        <v>103.627376</v>
      </c>
      <c r="C20">
        <v>105.11332520000001</v>
      </c>
      <c r="D20">
        <f t="shared" si="0"/>
        <v>1.4859492000000074</v>
      </c>
      <c r="E20">
        <f t="shared" si="1"/>
        <v>1.4859492000000074</v>
      </c>
      <c r="F20">
        <f t="shared" si="2"/>
        <v>2.2080450249806618</v>
      </c>
      <c r="I20">
        <v>103.627376</v>
      </c>
    </row>
    <row r="21" spans="1:45" x14ac:dyDescent="0.45">
      <c r="A21" t="s">
        <v>125</v>
      </c>
      <c r="B21">
        <v>100.8654677</v>
      </c>
      <c r="C21">
        <v>100.705556</v>
      </c>
      <c r="D21">
        <f t="shared" si="0"/>
        <v>-0.15991169999999499</v>
      </c>
      <c r="E21">
        <f t="shared" si="1"/>
        <v>0.15991169999999499</v>
      </c>
      <c r="F21">
        <f t="shared" si="2"/>
        <v>2.5571751796888399E-2</v>
      </c>
      <c r="I21">
        <v>100.8654677</v>
      </c>
    </row>
    <row r="22" spans="1:45" x14ac:dyDescent="0.45">
      <c r="A22" t="s">
        <v>15</v>
      </c>
      <c r="B22">
        <v>106.2482251</v>
      </c>
      <c r="C22">
        <v>107.407538</v>
      </c>
      <c r="D22">
        <f t="shared" si="0"/>
        <v>1.1593129000000033</v>
      </c>
      <c r="E22">
        <f t="shared" si="1"/>
        <v>1.1593129000000033</v>
      </c>
      <c r="F22">
        <f t="shared" si="2"/>
        <v>1.3440064001064176</v>
      </c>
      <c r="I22">
        <v>106.2482251</v>
      </c>
    </row>
    <row r="23" spans="1:45" x14ac:dyDescent="0.45">
      <c r="A23" t="s">
        <v>16</v>
      </c>
      <c r="B23">
        <v>79.629050950000007</v>
      </c>
      <c r="C23">
        <v>79.803147780000003</v>
      </c>
      <c r="D23">
        <f t="shared" si="0"/>
        <v>0.17409682999999632</v>
      </c>
      <c r="E23">
        <f t="shared" si="1"/>
        <v>0.17409682999999632</v>
      </c>
      <c r="F23">
        <f t="shared" si="2"/>
        <v>3.0309706216047616E-2</v>
      </c>
      <c r="I23">
        <v>79.629050950000007</v>
      </c>
    </row>
    <row r="24" spans="1:45" x14ac:dyDescent="0.45">
      <c r="A24" t="s">
        <v>17</v>
      </c>
      <c r="B24">
        <v>83.026475160000004</v>
      </c>
      <c r="C24">
        <v>81.291257560000005</v>
      </c>
      <c r="D24">
        <f t="shared" si="0"/>
        <v>-1.7352175999999986</v>
      </c>
      <c r="E24">
        <f t="shared" si="1"/>
        <v>1.7352175999999986</v>
      </c>
      <c r="F24">
        <f t="shared" si="2"/>
        <v>3.010980119349755</v>
      </c>
      <c r="I24">
        <v>83.026475160000004</v>
      </c>
    </row>
    <row r="25" spans="1:45" x14ac:dyDescent="0.45">
      <c r="A25" t="s">
        <v>18</v>
      </c>
      <c r="B25">
        <v>87.653648689999997</v>
      </c>
      <c r="C25">
        <v>81.594549400000005</v>
      </c>
      <c r="D25">
        <f t="shared" si="0"/>
        <v>-6.0590992899999918</v>
      </c>
      <c r="E25">
        <f t="shared" si="1"/>
        <v>6.0590992899999918</v>
      </c>
      <c r="F25">
        <f t="shared" si="2"/>
        <v>36.712684206078407</v>
      </c>
      <c r="I25">
        <v>87.653648689999997</v>
      </c>
    </row>
    <row r="26" spans="1:45" x14ac:dyDescent="0.45">
      <c r="A26" t="s">
        <v>19</v>
      </c>
      <c r="B26">
        <v>83.590012139999999</v>
      </c>
      <c r="C26">
        <v>81.460338680000007</v>
      </c>
      <c r="D26">
        <f t="shared" si="0"/>
        <v>-2.1296734599999922</v>
      </c>
      <c r="E26">
        <f t="shared" si="1"/>
        <v>2.1296734599999922</v>
      </c>
      <c r="F26">
        <f t="shared" si="2"/>
        <v>4.5355090462283387</v>
      </c>
      <c r="I26">
        <v>83.590012139999999</v>
      </c>
    </row>
    <row r="27" spans="1:45" x14ac:dyDescent="0.45">
      <c r="A27" t="s">
        <v>20</v>
      </c>
      <c r="B27">
        <v>84.729683660000006</v>
      </c>
      <c r="C27">
        <v>83.001458929999998</v>
      </c>
      <c r="D27">
        <f t="shared" si="0"/>
        <v>-1.728224730000008</v>
      </c>
      <c r="E27">
        <f t="shared" si="1"/>
        <v>1.728224730000008</v>
      </c>
      <c r="F27">
        <f t="shared" si="2"/>
        <v>2.9867607173836004</v>
      </c>
      <c r="I27">
        <v>84.729683660000006</v>
      </c>
    </row>
    <row r="28" spans="1:45" x14ac:dyDescent="0.45">
      <c r="A28" t="s">
        <v>21</v>
      </c>
      <c r="B28">
        <v>84.301551200000006</v>
      </c>
      <c r="C28">
        <v>82.341795390000001</v>
      </c>
      <c r="D28">
        <f t="shared" si="0"/>
        <v>-1.9597558100000043</v>
      </c>
      <c r="E28">
        <f t="shared" si="1"/>
        <v>1.9597558100000043</v>
      </c>
      <c r="F28">
        <f t="shared" si="2"/>
        <v>3.8406428348287731</v>
      </c>
      <c r="I28">
        <v>84.301551200000006</v>
      </c>
    </row>
    <row r="29" spans="1:45" x14ac:dyDescent="0.45">
      <c r="A29" t="s">
        <v>22</v>
      </c>
      <c r="B29">
        <v>84.533700749999994</v>
      </c>
      <c r="C29">
        <v>82.780403089999993</v>
      </c>
      <c r="D29">
        <f t="shared" si="0"/>
        <v>-1.7532976600000012</v>
      </c>
      <c r="E29">
        <f t="shared" si="1"/>
        <v>1.7532976600000012</v>
      </c>
      <c r="F29">
        <f t="shared" si="2"/>
        <v>3.07405268456148</v>
      </c>
      <c r="I29">
        <v>84.533700749999994</v>
      </c>
    </row>
    <row r="30" spans="1:45" x14ac:dyDescent="0.45">
      <c r="A30" t="s">
        <v>23</v>
      </c>
      <c r="B30">
        <v>88.719491950000005</v>
      </c>
      <c r="C30">
        <v>82.447185660000002</v>
      </c>
      <c r="D30">
        <f t="shared" si="0"/>
        <v>-6.2723062900000031</v>
      </c>
      <c r="E30">
        <f t="shared" si="1"/>
        <v>6.2723062900000031</v>
      </c>
      <c r="F30">
        <f t="shared" si="2"/>
        <v>39.341826195573603</v>
      </c>
      <c r="I30">
        <v>88.719491950000005</v>
      </c>
    </row>
    <row r="31" spans="1:45" x14ac:dyDescent="0.45">
      <c r="A31" t="s">
        <v>24</v>
      </c>
      <c r="B31">
        <v>84.310374960000004</v>
      </c>
      <c r="C31">
        <v>82.705386619999999</v>
      </c>
      <c r="D31">
        <f t="shared" si="0"/>
        <v>-1.6049883400000056</v>
      </c>
      <c r="E31">
        <f t="shared" si="1"/>
        <v>1.6049883400000056</v>
      </c>
      <c r="F31">
        <f t="shared" si="2"/>
        <v>2.5759875715359732</v>
      </c>
      <c r="I31">
        <v>84.310374960000004</v>
      </c>
    </row>
    <row r="32" spans="1:45" x14ac:dyDescent="0.45">
      <c r="A32" t="s">
        <v>25</v>
      </c>
      <c r="B32">
        <v>91.483094960000003</v>
      </c>
      <c r="C32">
        <v>89.375655379999998</v>
      </c>
      <c r="D32">
        <f t="shared" si="0"/>
        <v>-2.1074395800000048</v>
      </c>
      <c r="E32">
        <f t="shared" si="1"/>
        <v>2.1074395800000048</v>
      </c>
      <c r="F32">
        <f t="shared" si="2"/>
        <v>4.4413015833505964</v>
      </c>
      <c r="I32">
        <v>91.483094960000003</v>
      </c>
    </row>
    <row r="33" spans="1:9" x14ac:dyDescent="0.45">
      <c r="A33" t="s">
        <v>26</v>
      </c>
      <c r="B33">
        <v>91.176191009999997</v>
      </c>
      <c r="C33">
        <v>84.109583079999993</v>
      </c>
      <c r="D33">
        <f t="shared" si="0"/>
        <v>-7.0666079300000035</v>
      </c>
      <c r="E33">
        <f t="shared" si="1"/>
        <v>7.0666079300000035</v>
      </c>
      <c r="F33">
        <f t="shared" si="2"/>
        <v>49.936947636338935</v>
      </c>
      <c r="I33">
        <v>91.176191009999997</v>
      </c>
    </row>
    <row r="34" spans="1:9" x14ac:dyDescent="0.45">
      <c r="A34" t="s">
        <v>27</v>
      </c>
      <c r="B34">
        <v>95.317804120000005</v>
      </c>
      <c r="C34">
        <v>93.956632540000001</v>
      </c>
      <c r="D34">
        <f t="shared" ref="D34:D65" si="3">(C34-B34)</f>
        <v>-1.3611715800000042</v>
      </c>
      <c r="E34">
        <f t="shared" si="1"/>
        <v>1.3611715800000042</v>
      </c>
      <c r="F34">
        <f t="shared" si="2"/>
        <v>1.8527880701997077</v>
      </c>
      <c r="I34">
        <v>95.317804120000005</v>
      </c>
    </row>
    <row r="35" spans="1:9" x14ac:dyDescent="0.45">
      <c r="A35" t="s">
        <v>28</v>
      </c>
      <c r="B35">
        <v>92.391578170000003</v>
      </c>
      <c r="C35">
        <v>85.435365610000005</v>
      </c>
      <c r="D35">
        <f t="shared" si="3"/>
        <v>-6.9562125599999973</v>
      </c>
      <c r="E35">
        <f t="shared" si="1"/>
        <v>6.9562125599999973</v>
      </c>
      <c r="F35">
        <f t="shared" si="2"/>
        <v>48.388893179901714</v>
      </c>
      <c r="I35">
        <v>92.391578170000003</v>
      </c>
    </row>
    <row r="36" spans="1:9" x14ac:dyDescent="0.45">
      <c r="A36" s="3" t="s">
        <v>126</v>
      </c>
      <c r="B36" s="3">
        <v>146.7553351</v>
      </c>
      <c r="C36" s="3">
        <v>85.966519309999995</v>
      </c>
      <c r="D36" s="3">
        <f t="shared" si="3"/>
        <v>-60.788815790000001</v>
      </c>
      <c r="E36" s="3">
        <f t="shared" si="1"/>
        <v>60.788815790000001</v>
      </c>
      <c r="F36" s="3">
        <f t="shared" si="2"/>
        <v>3695.2801251505534</v>
      </c>
      <c r="G36" s="3"/>
      <c r="H36" s="3"/>
      <c r="I36" s="3">
        <v>146.7553351</v>
      </c>
    </row>
    <row r="37" spans="1:9" x14ac:dyDescent="0.45">
      <c r="A37" t="s">
        <v>29</v>
      </c>
      <c r="B37">
        <v>93.030932199999995</v>
      </c>
      <c r="C37">
        <v>91.534884349999999</v>
      </c>
      <c r="D37">
        <f t="shared" si="3"/>
        <v>-1.4960478499999965</v>
      </c>
      <c r="E37">
        <f t="shared" si="1"/>
        <v>1.4960478499999965</v>
      </c>
      <c r="F37">
        <f t="shared" si="2"/>
        <v>2.2381591694896121</v>
      </c>
      <c r="I37">
        <v>93.030932199999995</v>
      </c>
    </row>
    <row r="38" spans="1:9" x14ac:dyDescent="0.45">
      <c r="A38" t="s">
        <v>30</v>
      </c>
      <c r="B38">
        <v>97.766808510000004</v>
      </c>
      <c r="C38">
        <v>94.192598360000005</v>
      </c>
      <c r="D38">
        <f t="shared" si="3"/>
        <v>-3.574210149999999</v>
      </c>
      <c r="E38">
        <f t="shared" si="1"/>
        <v>3.574210149999999</v>
      </c>
      <c r="F38">
        <f t="shared" si="2"/>
        <v>12.774978196363016</v>
      </c>
      <c r="I38">
        <v>97.766808510000004</v>
      </c>
    </row>
    <row r="39" spans="1:9" x14ac:dyDescent="0.45">
      <c r="A39" t="s">
        <v>31</v>
      </c>
      <c r="B39">
        <v>111.1898779</v>
      </c>
      <c r="C39">
        <v>113.59068619999999</v>
      </c>
      <c r="D39">
        <f t="shared" si="3"/>
        <v>2.4008082999999942</v>
      </c>
      <c r="E39">
        <f t="shared" si="1"/>
        <v>2.4008082999999942</v>
      </c>
      <c r="F39">
        <f t="shared" si="2"/>
        <v>5.7638804933488625</v>
      </c>
      <c r="I39">
        <v>111.1898779</v>
      </c>
    </row>
    <row r="40" spans="1:9" x14ac:dyDescent="0.45">
      <c r="A40" t="s">
        <v>127</v>
      </c>
      <c r="B40">
        <v>83.878644629999997</v>
      </c>
      <c r="C40">
        <v>82.546912309999996</v>
      </c>
      <c r="D40">
        <f t="shared" si="3"/>
        <v>-1.3317323200000004</v>
      </c>
      <c r="E40">
        <f t="shared" si="1"/>
        <v>1.3317323200000004</v>
      </c>
      <c r="F40">
        <f t="shared" si="2"/>
        <v>1.7735109721325835</v>
      </c>
      <c r="I40">
        <v>83.878644629999997</v>
      </c>
    </row>
    <row r="41" spans="1:9" x14ac:dyDescent="0.45">
      <c r="A41" t="s">
        <v>128</v>
      </c>
      <c r="B41">
        <v>90.27855572</v>
      </c>
      <c r="C41">
        <v>90.323584159999996</v>
      </c>
      <c r="D41">
        <f t="shared" si="3"/>
        <v>4.502843999999584E-2</v>
      </c>
      <c r="E41">
        <f t="shared" si="1"/>
        <v>4.502843999999584E-2</v>
      </c>
      <c r="F41">
        <f t="shared" si="2"/>
        <v>2.0275604088332254E-3</v>
      </c>
      <c r="I41">
        <v>90.27855572</v>
      </c>
    </row>
    <row r="42" spans="1:9" x14ac:dyDescent="0.45">
      <c r="A42" t="s">
        <v>32</v>
      </c>
      <c r="B42">
        <v>111.9289788</v>
      </c>
      <c r="C42">
        <v>108.02647159999999</v>
      </c>
      <c r="D42">
        <f t="shared" si="3"/>
        <v>-3.9025072000000023</v>
      </c>
      <c r="E42">
        <f t="shared" si="1"/>
        <v>3.9025072000000023</v>
      </c>
      <c r="F42">
        <f t="shared" si="2"/>
        <v>15.229562446051858</v>
      </c>
      <c r="I42">
        <v>111.9289788</v>
      </c>
    </row>
    <row r="43" spans="1:9" x14ac:dyDescent="0.45">
      <c r="A43" t="s">
        <v>33</v>
      </c>
      <c r="B43">
        <v>112.7491132</v>
      </c>
      <c r="C43">
        <v>112.1929552</v>
      </c>
      <c r="D43">
        <f t="shared" si="3"/>
        <v>-0.55615799999999638</v>
      </c>
      <c r="E43">
        <f t="shared" si="1"/>
        <v>0.55615799999999638</v>
      </c>
      <c r="F43">
        <f t="shared" si="2"/>
        <v>0.30931172096399595</v>
      </c>
      <c r="I43">
        <v>112.7491132</v>
      </c>
    </row>
    <row r="44" spans="1:9" x14ac:dyDescent="0.45">
      <c r="A44" t="s">
        <v>34</v>
      </c>
      <c r="B44">
        <v>105.94938639999999</v>
      </c>
      <c r="C44">
        <v>109.5315051</v>
      </c>
      <c r="D44">
        <f t="shared" si="3"/>
        <v>3.5821187000000094</v>
      </c>
      <c r="E44">
        <f t="shared" si="1"/>
        <v>3.5821187000000094</v>
      </c>
      <c r="F44">
        <f t="shared" si="2"/>
        <v>12.831574380889757</v>
      </c>
      <c r="I44">
        <v>105.94938639999999</v>
      </c>
    </row>
    <row r="45" spans="1:9" x14ac:dyDescent="0.45">
      <c r="A45" t="s">
        <v>35</v>
      </c>
      <c r="B45">
        <v>104.87650259999999</v>
      </c>
      <c r="C45">
        <v>106.5368989</v>
      </c>
      <c r="D45">
        <f t="shared" si="3"/>
        <v>1.6603963000000022</v>
      </c>
      <c r="E45">
        <f t="shared" si="1"/>
        <v>1.6603963000000022</v>
      </c>
      <c r="F45">
        <f t="shared" si="2"/>
        <v>2.7569158730536971</v>
      </c>
      <c r="I45">
        <v>104.87650259999999</v>
      </c>
    </row>
    <row r="46" spans="1:9" x14ac:dyDescent="0.45">
      <c r="A46" t="s">
        <v>36</v>
      </c>
      <c r="B46">
        <v>85.044258429999999</v>
      </c>
      <c r="C46">
        <v>84.315894049999997</v>
      </c>
      <c r="D46">
        <f t="shared" si="3"/>
        <v>-0.72836438000000214</v>
      </c>
      <c r="E46">
        <f t="shared" si="1"/>
        <v>0.72836438000000214</v>
      </c>
      <c r="F46">
        <f t="shared" si="2"/>
        <v>0.53051467005278752</v>
      </c>
      <c r="I46">
        <v>85.044258429999999</v>
      </c>
    </row>
    <row r="47" spans="1:9" x14ac:dyDescent="0.45">
      <c r="A47" t="s">
        <v>37</v>
      </c>
      <c r="B47">
        <v>85.370693079999995</v>
      </c>
      <c r="C47">
        <v>85.030792300000002</v>
      </c>
      <c r="D47">
        <f t="shared" si="3"/>
        <v>-0.33990077999999357</v>
      </c>
      <c r="E47">
        <f t="shared" si="1"/>
        <v>0.33990077999999357</v>
      </c>
      <c r="F47">
        <f t="shared" si="2"/>
        <v>0.11553254024460403</v>
      </c>
      <c r="I47">
        <v>85.370693079999995</v>
      </c>
    </row>
    <row r="48" spans="1:9" x14ac:dyDescent="0.45">
      <c r="A48" t="s">
        <v>38</v>
      </c>
      <c r="B48">
        <v>84.327758939999995</v>
      </c>
      <c r="C48">
        <v>83.882705430000001</v>
      </c>
      <c r="D48">
        <f t="shared" si="3"/>
        <v>-0.44505350999999393</v>
      </c>
      <c r="E48">
        <f t="shared" si="1"/>
        <v>0.44505350999999393</v>
      </c>
      <c r="F48">
        <f t="shared" si="2"/>
        <v>0.19807262676331469</v>
      </c>
      <c r="I48">
        <v>84.327758939999995</v>
      </c>
    </row>
    <row r="49" spans="1:9" x14ac:dyDescent="0.45">
      <c r="A49" t="s">
        <v>39</v>
      </c>
      <c r="B49">
        <v>85.14903151</v>
      </c>
      <c r="C49">
        <v>84.253102999999996</v>
      </c>
      <c r="D49">
        <f t="shared" si="3"/>
        <v>-0.89592851000000451</v>
      </c>
      <c r="E49">
        <f t="shared" si="1"/>
        <v>0.89592851000000451</v>
      </c>
      <c r="F49">
        <f t="shared" si="2"/>
        <v>0.80268789503082816</v>
      </c>
      <c r="I49">
        <v>85.14903151</v>
      </c>
    </row>
    <row r="50" spans="1:9" x14ac:dyDescent="0.45">
      <c r="A50" t="s">
        <v>40</v>
      </c>
      <c r="B50">
        <v>92.023344660000006</v>
      </c>
      <c r="C50">
        <v>91.749671739999997</v>
      </c>
      <c r="D50">
        <f t="shared" si="3"/>
        <v>-0.27367292000000987</v>
      </c>
      <c r="E50">
        <f t="shared" si="1"/>
        <v>0.27367292000000987</v>
      </c>
      <c r="F50">
        <f t="shared" si="2"/>
        <v>7.4896867141331799E-2</v>
      </c>
      <c r="I50">
        <v>92.023344660000006</v>
      </c>
    </row>
    <row r="51" spans="1:9" x14ac:dyDescent="0.45">
      <c r="A51" t="s">
        <v>41</v>
      </c>
      <c r="B51">
        <v>82.87431334</v>
      </c>
      <c r="C51">
        <v>84.242707159999995</v>
      </c>
      <c r="D51">
        <f t="shared" si="3"/>
        <v>1.3683938199999943</v>
      </c>
      <c r="E51">
        <f t="shared" si="1"/>
        <v>1.3683938199999943</v>
      </c>
      <c r="F51">
        <f t="shared" si="2"/>
        <v>1.8725016466141768</v>
      </c>
      <c r="I51">
        <v>82.87431334</v>
      </c>
    </row>
    <row r="52" spans="1:9" x14ac:dyDescent="0.45">
      <c r="A52" t="s">
        <v>42</v>
      </c>
      <c r="B52">
        <v>85.01360425</v>
      </c>
      <c r="C52">
        <v>85.188671909999997</v>
      </c>
      <c r="D52">
        <f t="shared" si="3"/>
        <v>0.17506765999999629</v>
      </c>
      <c r="E52">
        <f t="shared" si="1"/>
        <v>0.17506765999999629</v>
      </c>
      <c r="F52">
        <f t="shared" si="2"/>
        <v>3.0648685577874302E-2</v>
      </c>
      <c r="I52">
        <v>85.01360425</v>
      </c>
    </row>
    <row r="53" spans="1:9" x14ac:dyDescent="0.45">
      <c r="A53" t="s">
        <v>43</v>
      </c>
      <c r="B53">
        <v>83.694305810000003</v>
      </c>
      <c r="C53">
        <v>83.536115890000005</v>
      </c>
      <c r="D53">
        <f t="shared" si="3"/>
        <v>-0.1581899199999981</v>
      </c>
      <c r="E53">
        <f t="shared" si="1"/>
        <v>0.1581899199999981</v>
      </c>
      <c r="F53">
        <f t="shared" si="2"/>
        <v>2.5024050789605796E-2</v>
      </c>
      <c r="I53">
        <v>83.694305810000003</v>
      </c>
    </row>
    <row r="54" spans="1:9" x14ac:dyDescent="0.45">
      <c r="A54" t="s">
        <v>44</v>
      </c>
      <c r="B54">
        <v>82.210611540000002</v>
      </c>
      <c r="C54">
        <v>80.922410499999998</v>
      </c>
      <c r="D54">
        <f t="shared" si="3"/>
        <v>-1.2882010400000041</v>
      </c>
      <c r="E54">
        <f t="shared" si="1"/>
        <v>1.2882010400000041</v>
      </c>
      <c r="F54">
        <f t="shared" si="2"/>
        <v>1.6594619194570923</v>
      </c>
      <c r="I54">
        <v>82.210611540000002</v>
      </c>
    </row>
    <row r="55" spans="1:9" x14ac:dyDescent="0.45">
      <c r="A55" t="s">
        <v>45</v>
      </c>
      <c r="B55">
        <v>83.142563109999998</v>
      </c>
      <c r="C55">
        <v>80.779277390000004</v>
      </c>
      <c r="D55">
        <f t="shared" si="3"/>
        <v>-2.3632857199999933</v>
      </c>
      <c r="E55">
        <f t="shared" si="1"/>
        <v>2.3632857199999933</v>
      </c>
      <c r="F55">
        <f t="shared" si="2"/>
        <v>5.5851193943558863</v>
      </c>
      <c r="I55">
        <v>83.142563109999998</v>
      </c>
    </row>
    <row r="56" spans="1:9" x14ac:dyDescent="0.45">
      <c r="A56" t="s">
        <v>46</v>
      </c>
      <c r="B56">
        <v>93.888593540000002</v>
      </c>
      <c r="C56">
        <v>94.278400070000004</v>
      </c>
      <c r="D56">
        <f t="shared" si="3"/>
        <v>0.38980653000000132</v>
      </c>
      <c r="E56">
        <f t="shared" si="1"/>
        <v>0.38980653000000132</v>
      </c>
      <c r="F56">
        <f t="shared" si="2"/>
        <v>0.15194913083064193</v>
      </c>
      <c r="I56">
        <v>93.888593540000002</v>
      </c>
    </row>
    <row r="57" spans="1:9" x14ac:dyDescent="0.45">
      <c r="A57" t="s">
        <v>47</v>
      </c>
      <c r="B57">
        <v>91.595191130000003</v>
      </c>
      <c r="C57">
        <v>92.275003069999997</v>
      </c>
      <c r="D57">
        <f t="shared" si="3"/>
        <v>0.67981193999999334</v>
      </c>
      <c r="E57">
        <f t="shared" si="1"/>
        <v>0.67981193999999334</v>
      </c>
      <c r="F57">
        <f t="shared" si="2"/>
        <v>0.46214427376655454</v>
      </c>
      <c r="I57">
        <v>91.595191130000003</v>
      </c>
    </row>
    <row r="58" spans="1:9" x14ac:dyDescent="0.45">
      <c r="A58" t="s">
        <v>48</v>
      </c>
      <c r="B58">
        <v>80.717403000000004</v>
      </c>
      <c r="C58">
        <v>79.442241569999993</v>
      </c>
      <c r="D58">
        <f t="shared" si="3"/>
        <v>-1.2751614300000114</v>
      </c>
      <c r="E58">
        <f t="shared" si="1"/>
        <v>1.2751614300000114</v>
      </c>
      <c r="F58">
        <f t="shared" si="2"/>
        <v>1.626036672559674</v>
      </c>
      <c r="I58">
        <v>80.717403000000004</v>
      </c>
    </row>
    <row r="59" spans="1:9" x14ac:dyDescent="0.45">
      <c r="A59" t="s">
        <v>49</v>
      </c>
      <c r="B59">
        <v>107.1068629</v>
      </c>
      <c r="C59">
        <v>104.93915920000001</v>
      </c>
      <c r="D59">
        <f t="shared" si="3"/>
        <v>-2.1677036999999899</v>
      </c>
      <c r="E59">
        <f t="shared" si="1"/>
        <v>2.1677036999999899</v>
      </c>
      <c r="F59">
        <f t="shared" si="2"/>
        <v>4.698939330993646</v>
      </c>
      <c r="I59">
        <v>107.1068629</v>
      </c>
    </row>
    <row r="60" spans="1:9" x14ac:dyDescent="0.45">
      <c r="A60" s="3" t="s">
        <v>50</v>
      </c>
      <c r="B60" s="3">
        <v>89.265178539999994</v>
      </c>
      <c r="C60" s="3">
        <v>48.045113980000004</v>
      </c>
      <c r="D60" s="3">
        <f t="shared" si="3"/>
        <v>-41.22006455999999</v>
      </c>
      <c r="E60" s="3">
        <f t="shared" si="1"/>
        <v>41.22006455999999</v>
      </c>
      <c r="F60" s="3">
        <f t="shared" si="2"/>
        <v>1699.0937223305673</v>
      </c>
      <c r="G60" s="3"/>
      <c r="H60" s="3"/>
      <c r="I60" s="3">
        <v>89.265178539999994</v>
      </c>
    </row>
    <row r="61" spans="1:9" x14ac:dyDescent="0.45">
      <c r="A61" t="s">
        <v>51</v>
      </c>
      <c r="B61">
        <v>95.941040709999996</v>
      </c>
      <c r="C61">
        <v>95.222282539999995</v>
      </c>
      <c r="D61">
        <f t="shared" si="3"/>
        <v>-0.71875817000000097</v>
      </c>
      <c r="E61">
        <f t="shared" si="1"/>
        <v>0.71875817000000097</v>
      </c>
      <c r="F61">
        <f t="shared" si="2"/>
        <v>0.51661330694175034</v>
      </c>
      <c r="I61">
        <v>95.941040709999996</v>
      </c>
    </row>
    <row r="62" spans="1:9" x14ac:dyDescent="0.45">
      <c r="A62" t="s">
        <v>52</v>
      </c>
      <c r="B62">
        <v>96.434994340000003</v>
      </c>
      <c r="C62">
        <v>97.654811910000006</v>
      </c>
      <c r="D62">
        <f t="shared" si="3"/>
        <v>1.2198175700000036</v>
      </c>
      <c r="E62">
        <f t="shared" si="1"/>
        <v>1.2198175700000036</v>
      </c>
      <c r="F62">
        <f t="shared" si="2"/>
        <v>1.4879549040807136</v>
      </c>
      <c r="I62">
        <v>96.434994340000003</v>
      </c>
    </row>
    <row r="63" spans="1:9" x14ac:dyDescent="0.45">
      <c r="A63" t="s">
        <v>53</v>
      </c>
      <c r="B63">
        <v>94.720714409999999</v>
      </c>
      <c r="C63">
        <v>94.889175390000005</v>
      </c>
      <c r="D63">
        <f t="shared" si="3"/>
        <v>0.16846098000000609</v>
      </c>
      <c r="E63">
        <f t="shared" si="1"/>
        <v>0.16846098000000609</v>
      </c>
      <c r="F63">
        <f t="shared" si="2"/>
        <v>2.8379101782562453E-2</v>
      </c>
      <c r="I63">
        <v>94.720714409999999</v>
      </c>
    </row>
    <row r="64" spans="1:9" x14ac:dyDescent="0.45">
      <c r="A64" t="s">
        <v>129</v>
      </c>
      <c r="B64">
        <v>81.928563639999993</v>
      </c>
      <c r="C64">
        <v>79.517549750000001</v>
      </c>
      <c r="D64">
        <f t="shared" si="3"/>
        <v>-2.4110138899999924</v>
      </c>
      <c r="E64">
        <f t="shared" si="1"/>
        <v>2.4110138899999924</v>
      </c>
      <c r="F64">
        <f t="shared" si="2"/>
        <v>5.8129879777728952</v>
      </c>
      <c r="I64">
        <v>81.928563639999993</v>
      </c>
    </row>
    <row r="65" spans="1:9" x14ac:dyDescent="0.45">
      <c r="A65" t="s">
        <v>130</v>
      </c>
      <c r="B65">
        <v>91.685113670000007</v>
      </c>
      <c r="C65">
        <v>91.506549160000006</v>
      </c>
      <c r="D65">
        <f t="shared" si="3"/>
        <v>-0.17856451000000106</v>
      </c>
      <c r="E65">
        <f t="shared" si="1"/>
        <v>0.17856451000000106</v>
      </c>
      <c r="F65">
        <f t="shared" si="2"/>
        <v>3.1885284231540481E-2</v>
      </c>
      <c r="I65">
        <v>91.685113670000007</v>
      </c>
    </row>
    <row r="66" spans="1:9" x14ac:dyDescent="0.45">
      <c r="A66" t="s">
        <v>54</v>
      </c>
      <c r="B66">
        <v>108.85873170000001</v>
      </c>
      <c r="C66">
        <v>112.5775</v>
      </c>
      <c r="D66">
        <f t="shared" ref="D66:D97" si="4">(C66-B66)</f>
        <v>3.7187682999999936</v>
      </c>
      <c r="E66">
        <f t="shared" ref="E66:E128" si="5">ABS(D66)</f>
        <v>3.7187682999999936</v>
      </c>
      <c r="F66">
        <f t="shared" ref="F66:F128" si="6">E66^2</f>
        <v>13.829237669084842</v>
      </c>
      <c r="I66">
        <v>108.85873170000001</v>
      </c>
    </row>
    <row r="67" spans="1:9" x14ac:dyDescent="0.45">
      <c r="A67" t="s">
        <v>55</v>
      </c>
      <c r="B67">
        <v>99.661803590000005</v>
      </c>
      <c r="C67">
        <v>103.4140498</v>
      </c>
      <c r="D67">
        <f t="shared" si="4"/>
        <v>3.7522462099999956</v>
      </c>
      <c r="E67">
        <f t="shared" si="5"/>
        <v>3.7522462099999956</v>
      </c>
      <c r="F67">
        <f t="shared" si="6"/>
        <v>14.079351620459331</v>
      </c>
      <c r="I67">
        <v>99.661803590000005</v>
      </c>
    </row>
    <row r="68" spans="1:9" x14ac:dyDescent="0.45">
      <c r="A68" t="s">
        <v>56</v>
      </c>
      <c r="B68">
        <v>99.122250309999998</v>
      </c>
      <c r="C68">
        <v>103.1034277</v>
      </c>
      <c r="D68">
        <f t="shared" si="4"/>
        <v>3.9811773899999991</v>
      </c>
      <c r="E68">
        <f t="shared" si="5"/>
        <v>3.9811773899999991</v>
      </c>
      <c r="F68">
        <f t="shared" si="6"/>
        <v>15.849773410647206</v>
      </c>
      <c r="I68">
        <v>99.122250309999998</v>
      </c>
    </row>
    <row r="69" spans="1:9" x14ac:dyDescent="0.45">
      <c r="A69" t="s">
        <v>57</v>
      </c>
      <c r="B69">
        <v>100.9525886</v>
      </c>
      <c r="C69">
        <v>103.7116923</v>
      </c>
      <c r="D69">
        <f t="shared" si="4"/>
        <v>2.7591036999999972</v>
      </c>
      <c r="E69">
        <f t="shared" si="5"/>
        <v>2.7591036999999972</v>
      </c>
      <c r="F69">
        <f t="shared" si="6"/>
        <v>7.6126532273536744</v>
      </c>
      <c r="I69">
        <v>100.9525886</v>
      </c>
    </row>
    <row r="70" spans="1:9" x14ac:dyDescent="0.45">
      <c r="A70" t="s">
        <v>58</v>
      </c>
      <c r="B70">
        <v>81.00884284</v>
      </c>
      <c r="C70">
        <v>79.441078039999994</v>
      </c>
      <c r="D70">
        <f t="shared" si="4"/>
        <v>-1.5677648000000062</v>
      </c>
      <c r="E70">
        <f t="shared" si="5"/>
        <v>1.5677648000000062</v>
      </c>
      <c r="F70">
        <f t="shared" si="6"/>
        <v>2.4578864681190593</v>
      </c>
      <c r="I70">
        <v>81.00884284</v>
      </c>
    </row>
    <row r="71" spans="1:9" x14ac:dyDescent="0.45">
      <c r="A71" t="s">
        <v>131</v>
      </c>
      <c r="B71">
        <v>89.685483469999994</v>
      </c>
      <c r="C71">
        <v>89.242081659999997</v>
      </c>
      <c r="D71">
        <f t="shared" si="4"/>
        <v>-0.44340180999999745</v>
      </c>
      <c r="E71">
        <f t="shared" si="5"/>
        <v>0.44340180999999745</v>
      </c>
      <c r="F71">
        <f t="shared" si="6"/>
        <v>0.19660516511127385</v>
      </c>
      <c r="I71">
        <v>89.685483469999994</v>
      </c>
    </row>
    <row r="72" spans="1:9" x14ac:dyDescent="0.45">
      <c r="A72" t="s">
        <v>132</v>
      </c>
      <c r="B72">
        <v>91.734347450000001</v>
      </c>
      <c r="C72">
        <v>90.784104619999994</v>
      </c>
      <c r="D72">
        <f t="shared" si="4"/>
        <v>-0.95024283000000764</v>
      </c>
      <c r="E72">
        <f t="shared" si="5"/>
        <v>0.95024283000000764</v>
      </c>
      <c r="F72">
        <f t="shared" si="6"/>
        <v>0.90296143596642342</v>
      </c>
      <c r="I72">
        <v>91.734347450000001</v>
      </c>
    </row>
    <row r="73" spans="1:9" x14ac:dyDescent="0.45">
      <c r="A73" t="s">
        <v>133</v>
      </c>
      <c r="B73">
        <v>88.787781989999999</v>
      </c>
      <c r="C73">
        <v>88.768770829999994</v>
      </c>
      <c r="D73">
        <f t="shared" si="4"/>
        <v>-1.9011160000005134E-2</v>
      </c>
      <c r="E73">
        <f t="shared" si="5"/>
        <v>1.9011160000005134E-2</v>
      </c>
      <c r="F73">
        <f t="shared" si="6"/>
        <v>3.6142420454579518E-4</v>
      </c>
      <c r="I73">
        <v>88.787781989999999</v>
      </c>
    </row>
    <row r="74" spans="1:9" x14ac:dyDescent="0.45">
      <c r="A74" t="s">
        <v>59</v>
      </c>
      <c r="B74">
        <v>95.541111400000005</v>
      </c>
      <c r="C74">
        <v>101.6506181</v>
      </c>
      <c r="D74">
        <f t="shared" si="4"/>
        <v>6.1095066999999972</v>
      </c>
      <c r="E74">
        <f t="shared" si="5"/>
        <v>6.1095066999999972</v>
      </c>
      <c r="F74">
        <f t="shared" si="6"/>
        <v>37.326072117344857</v>
      </c>
      <c r="I74">
        <v>95.541111400000005</v>
      </c>
    </row>
    <row r="75" spans="1:9" x14ac:dyDescent="0.45">
      <c r="A75" t="s">
        <v>60</v>
      </c>
      <c r="B75">
        <v>113.6297007</v>
      </c>
      <c r="C75">
        <v>113.7944</v>
      </c>
      <c r="D75">
        <f t="shared" si="4"/>
        <v>0.16469929999999522</v>
      </c>
      <c r="E75">
        <f t="shared" si="5"/>
        <v>0.16469929999999522</v>
      </c>
      <c r="F75">
        <f t="shared" si="6"/>
        <v>2.7125859420488424E-2</v>
      </c>
      <c r="I75">
        <v>113.6297007</v>
      </c>
    </row>
    <row r="76" spans="1:9" x14ac:dyDescent="0.45">
      <c r="A76" t="s">
        <v>61</v>
      </c>
      <c r="B76">
        <v>113.32402159999999</v>
      </c>
      <c r="C76">
        <v>114.5496223</v>
      </c>
      <c r="D76">
        <f t="shared" si="4"/>
        <v>1.2256007000000011</v>
      </c>
      <c r="E76">
        <f t="shared" si="5"/>
        <v>1.2256007000000011</v>
      </c>
      <c r="F76">
        <f t="shared" si="6"/>
        <v>1.5020970758404928</v>
      </c>
      <c r="I76">
        <v>113.32402159999999</v>
      </c>
    </row>
    <row r="77" spans="1:9" x14ac:dyDescent="0.45">
      <c r="A77" t="s">
        <v>62</v>
      </c>
      <c r="B77">
        <v>104.45655859999999</v>
      </c>
      <c r="C77">
        <v>99.174409990000001</v>
      </c>
      <c r="D77">
        <f t="shared" si="4"/>
        <v>-5.282148609999993</v>
      </c>
      <c r="E77">
        <f t="shared" si="5"/>
        <v>5.282148609999993</v>
      </c>
      <c r="F77">
        <f t="shared" si="6"/>
        <v>27.901093938124859</v>
      </c>
      <c r="I77">
        <v>104.45655859999999</v>
      </c>
    </row>
    <row r="78" spans="1:9" x14ac:dyDescent="0.45">
      <c r="A78" t="s">
        <v>63</v>
      </c>
      <c r="B78">
        <v>100.411658</v>
      </c>
      <c r="C78">
        <v>101.2959599</v>
      </c>
      <c r="D78">
        <f t="shared" si="4"/>
        <v>0.88430189999999698</v>
      </c>
      <c r="E78">
        <f t="shared" si="5"/>
        <v>0.88430189999999698</v>
      </c>
      <c r="F78">
        <f t="shared" si="6"/>
        <v>0.78198985034360469</v>
      </c>
      <c r="I78">
        <v>100.411658</v>
      </c>
    </row>
    <row r="79" spans="1:9" x14ac:dyDescent="0.45">
      <c r="A79" t="s">
        <v>64</v>
      </c>
      <c r="B79">
        <v>105.6510251</v>
      </c>
      <c r="C79">
        <v>106.8637552</v>
      </c>
      <c r="D79">
        <f t="shared" si="4"/>
        <v>1.2127301000000017</v>
      </c>
      <c r="E79">
        <f t="shared" si="5"/>
        <v>1.2127301000000017</v>
      </c>
      <c r="F79">
        <f t="shared" si="6"/>
        <v>1.4707142954460142</v>
      </c>
      <c r="I79">
        <v>105.6510251</v>
      </c>
    </row>
    <row r="80" spans="1:9" x14ac:dyDescent="0.45">
      <c r="A80" t="s">
        <v>65</v>
      </c>
      <c r="B80">
        <v>108.99644000000001</v>
      </c>
      <c r="C80">
        <v>107.9060738</v>
      </c>
      <c r="D80">
        <f t="shared" si="4"/>
        <v>-1.0903662000000054</v>
      </c>
      <c r="E80">
        <f t="shared" si="5"/>
        <v>1.0903662000000054</v>
      </c>
      <c r="F80">
        <f t="shared" si="6"/>
        <v>1.1888984501024518</v>
      </c>
      <c r="I80">
        <v>108.99644000000001</v>
      </c>
    </row>
    <row r="81" spans="1:9" x14ac:dyDescent="0.45">
      <c r="A81" t="s">
        <v>66</v>
      </c>
      <c r="B81">
        <v>100.68572589999999</v>
      </c>
      <c r="C81">
        <v>105.603694</v>
      </c>
      <c r="D81">
        <f t="shared" si="4"/>
        <v>4.9179681000000102</v>
      </c>
      <c r="E81">
        <f t="shared" si="5"/>
        <v>4.9179681000000102</v>
      </c>
      <c r="F81">
        <f t="shared" si="6"/>
        <v>24.18641023261771</v>
      </c>
      <c r="I81">
        <v>100.68572589999999</v>
      </c>
    </row>
    <row r="82" spans="1:9" x14ac:dyDescent="0.45">
      <c r="A82" t="s">
        <v>67</v>
      </c>
      <c r="B82">
        <v>100.4285051</v>
      </c>
      <c r="C82">
        <v>102.22845890000001</v>
      </c>
      <c r="D82">
        <f t="shared" si="4"/>
        <v>1.7999538000000115</v>
      </c>
      <c r="E82">
        <f t="shared" si="5"/>
        <v>1.7999538000000115</v>
      </c>
      <c r="F82">
        <f t="shared" si="6"/>
        <v>3.2398336821344813</v>
      </c>
      <c r="I82">
        <v>100.4285051</v>
      </c>
    </row>
    <row r="83" spans="1:9" x14ac:dyDescent="0.45">
      <c r="A83" t="s">
        <v>134</v>
      </c>
      <c r="B83">
        <v>71.467418069999994</v>
      </c>
      <c r="C83">
        <v>67.396896749999996</v>
      </c>
      <c r="D83">
        <f t="shared" si="4"/>
        <v>-4.0705213199999974</v>
      </c>
      <c r="E83">
        <f t="shared" si="5"/>
        <v>4.0705213199999974</v>
      </c>
      <c r="F83">
        <f t="shared" si="6"/>
        <v>16.56914381657452</v>
      </c>
      <c r="I83">
        <v>71.467418069999994</v>
      </c>
    </row>
    <row r="84" spans="1:9" x14ac:dyDescent="0.45">
      <c r="A84" t="s">
        <v>136</v>
      </c>
      <c r="B84">
        <v>99.468662370000004</v>
      </c>
      <c r="C84">
        <v>101.2414145</v>
      </c>
      <c r="D84">
        <f t="shared" si="4"/>
        <v>1.7727521300000006</v>
      </c>
      <c r="E84">
        <f t="shared" si="5"/>
        <v>1.7727521300000006</v>
      </c>
      <c r="F84">
        <f t="shared" si="6"/>
        <v>3.1426501144195393</v>
      </c>
      <c r="I84">
        <v>99.468662370000004</v>
      </c>
    </row>
    <row r="85" spans="1:9" x14ac:dyDescent="0.45">
      <c r="A85" t="s">
        <v>137</v>
      </c>
      <c r="B85">
        <v>103.78301209999999</v>
      </c>
      <c r="C85">
        <v>104.12412550000001</v>
      </c>
      <c r="D85">
        <f t="shared" si="4"/>
        <v>0.34111340000001178</v>
      </c>
      <c r="E85">
        <f t="shared" si="5"/>
        <v>0.34111340000001178</v>
      </c>
      <c r="F85">
        <f t="shared" si="6"/>
        <v>0.11635835165956804</v>
      </c>
      <c r="I85">
        <v>103.78301209999999</v>
      </c>
    </row>
    <row r="86" spans="1:9" x14ac:dyDescent="0.45">
      <c r="A86" t="s">
        <v>138</v>
      </c>
      <c r="B86">
        <v>104.7517476</v>
      </c>
      <c r="C86">
        <v>100.6571955</v>
      </c>
      <c r="D86">
        <f t="shared" si="4"/>
        <v>-4.0945521000000014</v>
      </c>
      <c r="E86">
        <f t="shared" si="5"/>
        <v>4.0945521000000014</v>
      </c>
      <c r="F86">
        <f t="shared" si="6"/>
        <v>16.765356899614421</v>
      </c>
      <c r="I86">
        <v>104.7517476</v>
      </c>
    </row>
    <row r="87" spans="1:9" x14ac:dyDescent="0.45">
      <c r="A87" t="s">
        <v>68</v>
      </c>
      <c r="B87">
        <v>112.71741230000001</v>
      </c>
      <c r="C87">
        <v>114.0636104</v>
      </c>
      <c r="D87">
        <f t="shared" si="4"/>
        <v>1.3461980999999952</v>
      </c>
      <c r="E87">
        <f t="shared" si="5"/>
        <v>1.3461980999999952</v>
      </c>
      <c r="F87">
        <f t="shared" si="6"/>
        <v>1.8122493244435971</v>
      </c>
      <c r="I87">
        <v>112.71741230000001</v>
      </c>
    </row>
    <row r="88" spans="1:9" x14ac:dyDescent="0.45">
      <c r="A88" t="s">
        <v>69</v>
      </c>
      <c r="B88">
        <v>79.811236109999996</v>
      </c>
      <c r="C88">
        <v>79.882712350000006</v>
      </c>
      <c r="D88">
        <f t="shared" si="4"/>
        <v>7.1476240000009739E-2</v>
      </c>
      <c r="E88">
        <f t="shared" si="5"/>
        <v>7.1476240000009739E-2</v>
      </c>
      <c r="F88">
        <f t="shared" si="6"/>
        <v>5.1088528845389921E-3</v>
      </c>
      <c r="I88">
        <v>79.811236109999996</v>
      </c>
    </row>
    <row r="89" spans="1:9" x14ac:dyDescent="0.45">
      <c r="A89" t="s">
        <v>70</v>
      </c>
      <c r="B89">
        <v>87.579713380000001</v>
      </c>
      <c r="C89">
        <v>81.426068439999995</v>
      </c>
      <c r="D89">
        <f t="shared" si="4"/>
        <v>-6.1536449400000066</v>
      </c>
      <c r="E89">
        <f t="shared" si="5"/>
        <v>6.1536449400000066</v>
      </c>
      <c r="F89">
        <f t="shared" si="6"/>
        <v>37.867346047587688</v>
      </c>
      <c r="I89">
        <v>87.579713380000001</v>
      </c>
    </row>
    <row r="90" spans="1:9" x14ac:dyDescent="0.45">
      <c r="A90" t="s">
        <v>71</v>
      </c>
      <c r="B90">
        <v>83.654989049999998</v>
      </c>
      <c r="C90">
        <v>81.589673050000002</v>
      </c>
      <c r="D90">
        <f t="shared" si="4"/>
        <v>-2.0653159999999957</v>
      </c>
      <c r="E90">
        <f t="shared" si="5"/>
        <v>2.0653159999999957</v>
      </c>
      <c r="F90">
        <f t="shared" si="6"/>
        <v>4.2655301798559826</v>
      </c>
      <c r="I90">
        <v>83.654989049999998</v>
      </c>
    </row>
    <row r="91" spans="1:9" x14ac:dyDescent="0.45">
      <c r="A91" t="s">
        <v>72</v>
      </c>
      <c r="B91">
        <v>83.519548420000007</v>
      </c>
      <c r="C91">
        <v>81.554233580000002</v>
      </c>
      <c r="D91">
        <f t="shared" si="4"/>
        <v>-1.9653148400000049</v>
      </c>
      <c r="E91">
        <f t="shared" si="5"/>
        <v>1.9653148400000049</v>
      </c>
      <c r="F91">
        <f t="shared" si="6"/>
        <v>3.862462420324245</v>
      </c>
      <c r="I91">
        <v>83.519548420000007</v>
      </c>
    </row>
    <row r="92" spans="1:9" x14ac:dyDescent="0.45">
      <c r="A92" t="s">
        <v>73</v>
      </c>
      <c r="B92">
        <v>84.7246351</v>
      </c>
      <c r="C92">
        <v>82.980038550000003</v>
      </c>
      <c r="D92">
        <f t="shared" si="4"/>
        <v>-1.7445965499999971</v>
      </c>
      <c r="E92">
        <f t="shared" si="5"/>
        <v>1.7445965499999971</v>
      </c>
      <c r="F92">
        <f t="shared" si="6"/>
        <v>3.0436171222718924</v>
      </c>
      <c r="I92">
        <v>84.7246351</v>
      </c>
    </row>
    <row r="93" spans="1:9" x14ac:dyDescent="0.45">
      <c r="A93" t="s">
        <v>74</v>
      </c>
      <c r="B93">
        <v>84.460283709999999</v>
      </c>
      <c r="C93">
        <v>82.889872789999998</v>
      </c>
      <c r="D93">
        <f t="shared" si="4"/>
        <v>-1.5704109200000005</v>
      </c>
      <c r="E93">
        <f t="shared" si="5"/>
        <v>1.5704109200000005</v>
      </c>
      <c r="F93">
        <f t="shared" si="6"/>
        <v>2.466190457655248</v>
      </c>
      <c r="I93">
        <v>84.460283709999999</v>
      </c>
    </row>
    <row r="94" spans="1:9" x14ac:dyDescent="0.45">
      <c r="A94" t="s">
        <v>75</v>
      </c>
      <c r="B94">
        <v>84.348283100000003</v>
      </c>
      <c r="C94">
        <v>82.681644370000001</v>
      </c>
      <c r="D94">
        <f t="shared" si="4"/>
        <v>-1.6666387300000025</v>
      </c>
      <c r="E94">
        <f t="shared" si="5"/>
        <v>1.6666387300000025</v>
      </c>
      <c r="F94">
        <f t="shared" si="6"/>
        <v>2.7776846563360214</v>
      </c>
      <c r="I94">
        <v>84.348283100000003</v>
      </c>
    </row>
    <row r="95" spans="1:9" x14ac:dyDescent="0.45">
      <c r="A95" t="s">
        <v>76</v>
      </c>
      <c r="B95">
        <v>84.090844270000005</v>
      </c>
      <c r="C95">
        <v>82.804044939999997</v>
      </c>
      <c r="D95">
        <f t="shared" si="4"/>
        <v>-1.286799330000008</v>
      </c>
      <c r="E95">
        <f t="shared" si="5"/>
        <v>1.286799330000008</v>
      </c>
      <c r="F95">
        <f t="shared" si="6"/>
        <v>1.6558525156884696</v>
      </c>
      <c r="I95">
        <v>84.090844270000005</v>
      </c>
    </row>
    <row r="96" spans="1:9" x14ac:dyDescent="0.45">
      <c r="A96" t="s">
        <v>77</v>
      </c>
      <c r="B96">
        <v>84.611467869999998</v>
      </c>
      <c r="C96">
        <v>82.922402989999995</v>
      </c>
      <c r="D96">
        <f t="shared" si="4"/>
        <v>-1.6890648800000037</v>
      </c>
      <c r="E96">
        <f t="shared" si="5"/>
        <v>1.6890648800000037</v>
      </c>
      <c r="F96">
        <f t="shared" si="6"/>
        <v>2.8529401688494267</v>
      </c>
      <c r="I96">
        <v>84.611467869999998</v>
      </c>
    </row>
    <row r="97" spans="1:9" x14ac:dyDescent="0.45">
      <c r="A97" t="s">
        <v>78</v>
      </c>
      <c r="B97">
        <v>95.401815450000001</v>
      </c>
      <c r="C97">
        <v>93.518241739999993</v>
      </c>
      <c r="D97">
        <f t="shared" si="4"/>
        <v>-1.8835737100000074</v>
      </c>
      <c r="E97">
        <f t="shared" si="5"/>
        <v>1.8835737100000074</v>
      </c>
      <c r="F97">
        <f t="shared" si="6"/>
        <v>3.5478499210031917</v>
      </c>
      <c r="I97">
        <v>95.401815450000001</v>
      </c>
    </row>
    <row r="98" spans="1:9" x14ac:dyDescent="0.45">
      <c r="A98" t="s">
        <v>79</v>
      </c>
      <c r="B98">
        <v>89.525864839999997</v>
      </c>
      <c r="C98">
        <v>88.075236829999994</v>
      </c>
      <c r="D98">
        <f t="shared" ref="D98:D129" si="7">(C98-B98)</f>
        <v>-1.4506280100000026</v>
      </c>
      <c r="E98">
        <f t="shared" si="5"/>
        <v>1.4506280100000026</v>
      </c>
      <c r="F98">
        <f t="shared" si="6"/>
        <v>2.1043216233965678</v>
      </c>
      <c r="I98">
        <v>89.525864839999997</v>
      </c>
    </row>
    <row r="99" spans="1:9" x14ac:dyDescent="0.45">
      <c r="A99" t="s">
        <v>80</v>
      </c>
      <c r="B99">
        <v>93.885374819999996</v>
      </c>
      <c r="C99">
        <v>87.879047810000003</v>
      </c>
      <c r="D99">
        <f t="shared" si="7"/>
        <v>-6.0063270099999926</v>
      </c>
      <c r="E99">
        <f t="shared" si="5"/>
        <v>6.0063270099999926</v>
      </c>
      <c r="F99">
        <f t="shared" si="6"/>
        <v>36.075964151055452</v>
      </c>
      <c r="I99">
        <v>93.885374819999996</v>
      </c>
    </row>
    <row r="100" spans="1:9" x14ac:dyDescent="0.45">
      <c r="A100" t="s">
        <v>81</v>
      </c>
      <c r="B100">
        <v>95.384020590000006</v>
      </c>
      <c r="C100">
        <v>90.703646809999995</v>
      </c>
      <c r="D100">
        <f t="shared" si="7"/>
        <v>-4.6803737800000107</v>
      </c>
      <c r="E100">
        <f t="shared" si="5"/>
        <v>4.6803737800000107</v>
      </c>
      <c r="F100">
        <f t="shared" si="6"/>
        <v>21.905898720511587</v>
      </c>
      <c r="I100">
        <v>95.384020590000006</v>
      </c>
    </row>
    <row r="101" spans="1:9" x14ac:dyDescent="0.45">
      <c r="A101" t="s">
        <v>82</v>
      </c>
      <c r="B101">
        <v>91.829746529999994</v>
      </c>
      <c r="C101">
        <v>100.8121278</v>
      </c>
      <c r="D101">
        <f t="shared" si="7"/>
        <v>8.9823812700000047</v>
      </c>
      <c r="E101">
        <f t="shared" si="5"/>
        <v>8.9823812700000047</v>
      </c>
      <c r="F101">
        <f t="shared" si="6"/>
        <v>80.683173279646894</v>
      </c>
      <c r="I101">
        <v>91.829746529999994</v>
      </c>
    </row>
    <row r="102" spans="1:9" x14ac:dyDescent="0.45">
      <c r="A102" s="3" t="s">
        <v>83</v>
      </c>
      <c r="B102" s="3">
        <v>93.854560219999996</v>
      </c>
      <c r="C102" s="3">
        <v>76.357872999999998</v>
      </c>
      <c r="D102" s="3">
        <f t="shared" si="7"/>
        <v>-17.496687219999998</v>
      </c>
      <c r="E102" s="3">
        <f t="shared" si="5"/>
        <v>17.496687219999998</v>
      </c>
      <c r="F102" s="3">
        <f t="shared" si="6"/>
        <v>306.13406367451125</v>
      </c>
      <c r="G102" s="3"/>
      <c r="H102" s="3"/>
      <c r="I102" s="3">
        <v>93.854560219999996</v>
      </c>
    </row>
    <row r="103" spans="1:9" x14ac:dyDescent="0.45">
      <c r="A103" t="s">
        <v>84</v>
      </c>
      <c r="B103">
        <v>111.0270579</v>
      </c>
      <c r="C103">
        <v>113.7712631</v>
      </c>
      <c r="D103">
        <f t="shared" si="7"/>
        <v>2.7442051999999961</v>
      </c>
      <c r="E103">
        <f t="shared" si="5"/>
        <v>2.7442051999999961</v>
      </c>
      <c r="F103">
        <f t="shared" si="6"/>
        <v>7.5306621797070186</v>
      </c>
      <c r="I103">
        <v>111.0270579</v>
      </c>
    </row>
    <row r="104" spans="1:9" x14ac:dyDescent="0.45">
      <c r="A104" t="s">
        <v>139</v>
      </c>
      <c r="B104">
        <v>83.683074610000006</v>
      </c>
      <c r="C104">
        <v>82.548079560000005</v>
      </c>
      <c r="D104">
        <f t="shared" si="7"/>
        <v>-1.1349950500000006</v>
      </c>
      <c r="E104">
        <f t="shared" si="5"/>
        <v>1.1349950500000006</v>
      </c>
      <c r="F104">
        <f t="shared" si="6"/>
        <v>1.2882137635245037</v>
      </c>
      <c r="I104">
        <v>83.683074610000006</v>
      </c>
    </row>
    <row r="105" spans="1:9" x14ac:dyDescent="0.45">
      <c r="A105" t="s">
        <v>140</v>
      </c>
      <c r="B105">
        <v>90.441336980000003</v>
      </c>
      <c r="C105">
        <v>90.24726124</v>
      </c>
      <c r="D105">
        <f t="shared" si="7"/>
        <v>-0.19407574000000238</v>
      </c>
      <c r="E105">
        <f t="shared" si="5"/>
        <v>0.19407574000000238</v>
      </c>
      <c r="F105">
        <f t="shared" si="6"/>
        <v>3.7665392856548525E-2</v>
      </c>
      <c r="I105">
        <v>90.441336980000003</v>
      </c>
    </row>
    <row r="106" spans="1:9" x14ac:dyDescent="0.45">
      <c r="A106" t="s">
        <v>85</v>
      </c>
      <c r="B106">
        <v>101.9461158</v>
      </c>
      <c r="C106">
        <v>100.9572079</v>
      </c>
      <c r="D106">
        <f t="shared" si="7"/>
        <v>-0.98890790000000095</v>
      </c>
      <c r="E106">
        <f t="shared" si="5"/>
        <v>0.98890790000000095</v>
      </c>
      <c r="F106">
        <f t="shared" si="6"/>
        <v>0.97793883468241183</v>
      </c>
      <c r="I106">
        <v>101.9461158</v>
      </c>
    </row>
    <row r="107" spans="1:9" x14ac:dyDescent="0.45">
      <c r="A107" t="s">
        <v>86</v>
      </c>
      <c r="B107">
        <v>106.48178350000001</v>
      </c>
      <c r="C107">
        <v>105.2386753</v>
      </c>
      <c r="D107">
        <f t="shared" si="7"/>
        <v>-1.2431082000000089</v>
      </c>
      <c r="E107">
        <f t="shared" si="5"/>
        <v>1.2431082000000089</v>
      </c>
      <c r="F107">
        <f t="shared" si="6"/>
        <v>1.5453179969072621</v>
      </c>
      <c r="I107">
        <v>106.48178350000001</v>
      </c>
    </row>
    <row r="108" spans="1:9" x14ac:dyDescent="0.45">
      <c r="A108" t="s">
        <v>87</v>
      </c>
      <c r="B108">
        <v>115.46171390000001</v>
      </c>
      <c r="C108">
        <v>112.5082154</v>
      </c>
      <c r="D108">
        <f t="shared" si="7"/>
        <v>-2.9534985000000091</v>
      </c>
      <c r="E108">
        <f t="shared" si="5"/>
        <v>2.9534985000000091</v>
      </c>
      <c r="F108">
        <f t="shared" si="6"/>
        <v>8.7231533895023041</v>
      </c>
      <c r="I108">
        <v>115.46171390000001</v>
      </c>
    </row>
    <row r="109" spans="1:9" x14ac:dyDescent="0.45">
      <c r="A109" t="s">
        <v>88</v>
      </c>
      <c r="B109">
        <v>97.147863799999996</v>
      </c>
      <c r="C109">
        <v>99.688404739999996</v>
      </c>
      <c r="D109">
        <f t="shared" si="7"/>
        <v>2.5405409399999996</v>
      </c>
      <c r="E109">
        <f t="shared" si="5"/>
        <v>2.5405409399999996</v>
      </c>
      <c r="F109">
        <f t="shared" si="6"/>
        <v>6.4543482678160817</v>
      </c>
      <c r="I109">
        <v>97.147863799999996</v>
      </c>
    </row>
    <row r="110" spans="1:9" x14ac:dyDescent="0.45">
      <c r="A110" t="s">
        <v>89</v>
      </c>
      <c r="B110">
        <v>109.6236767</v>
      </c>
      <c r="C110">
        <v>114.3129303</v>
      </c>
      <c r="D110">
        <f t="shared" si="7"/>
        <v>4.6892536000000007</v>
      </c>
      <c r="E110">
        <f t="shared" si="5"/>
        <v>4.6892536000000007</v>
      </c>
      <c r="F110">
        <f t="shared" si="6"/>
        <v>21.989099325112967</v>
      </c>
      <c r="I110">
        <v>109.6236767</v>
      </c>
    </row>
    <row r="111" spans="1:9" x14ac:dyDescent="0.45">
      <c r="A111" t="s">
        <v>90</v>
      </c>
      <c r="B111">
        <v>88.952783920000002</v>
      </c>
      <c r="C111">
        <v>87.176174189999998</v>
      </c>
      <c r="D111">
        <f t="shared" si="7"/>
        <v>-1.7766097300000041</v>
      </c>
      <c r="E111">
        <f t="shared" si="5"/>
        <v>1.7766097300000041</v>
      </c>
      <c r="F111">
        <f t="shared" si="6"/>
        <v>3.1563421327306873</v>
      </c>
      <c r="I111">
        <v>88.952783920000002</v>
      </c>
    </row>
    <row r="112" spans="1:9" x14ac:dyDescent="0.45">
      <c r="A112" t="s">
        <v>91</v>
      </c>
      <c r="B112">
        <v>84.96101754</v>
      </c>
      <c r="C112">
        <v>83.417228969999996</v>
      </c>
      <c r="D112">
        <f t="shared" si="7"/>
        <v>-1.5437885700000038</v>
      </c>
      <c r="E112">
        <f t="shared" si="5"/>
        <v>1.5437885700000038</v>
      </c>
      <c r="F112">
        <f t="shared" si="6"/>
        <v>2.3832831488626565</v>
      </c>
      <c r="I112">
        <v>84.96101754</v>
      </c>
    </row>
    <row r="113" spans="1:9" x14ac:dyDescent="0.45">
      <c r="A113" t="s">
        <v>92</v>
      </c>
      <c r="B113">
        <v>84.753510329999997</v>
      </c>
      <c r="C113">
        <v>85.298437699999994</v>
      </c>
      <c r="D113">
        <f t="shared" si="7"/>
        <v>0.54492736999999636</v>
      </c>
      <c r="E113">
        <f t="shared" si="5"/>
        <v>0.54492736999999636</v>
      </c>
      <c r="F113">
        <f t="shared" si="6"/>
        <v>0.29694583857511292</v>
      </c>
      <c r="I113">
        <v>84.753510329999997</v>
      </c>
    </row>
    <row r="114" spans="1:9" x14ac:dyDescent="0.45">
      <c r="A114" t="s">
        <v>93</v>
      </c>
      <c r="B114">
        <v>85.39669001</v>
      </c>
      <c r="C114">
        <v>85.836145849999994</v>
      </c>
      <c r="D114">
        <f t="shared" si="7"/>
        <v>0.43945583999999371</v>
      </c>
      <c r="E114">
        <f t="shared" si="5"/>
        <v>0.43945583999999371</v>
      </c>
      <c r="F114">
        <f t="shared" si="6"/>
        <v>0.19312143531010006</v>
      </c>
      <c r="I114">
        <v>85.39669001</v>
      </c>
    </row>
    <row r="115" spans="1:9" x14ac:dyDescent="0.45">
      <c r="A115" t="s">
        <v>94</v>
      </c>
      <c r="B115">
        <v>91.085218549999993</v>
      </c>
      <c r="C115">
        <v>90.563608779999996</v>
      </c>
      <c r="D115">
        <f t="shared" si="7"/>
        <v>-0.52160976999999775</v>
      </c>
      <c r="E115">
        <f t="shared" si="5"/>
        <v>0.52160976999999775</v>
      </c>
      <c r="F115">
        <f t="shared" si="6"/>
        <v>0.27207675215945054</v>
      </c>
      <c r="I115">
        <v>91.085218549999993</v>
      </c>
    </row>
    <row r="116" spans="1:9" x14ac:dyDescent="0.45">
      <c r="A116" t="s">
        <v>95</v>
      </c>
      <c r="B116">
        <v>84.944099910000006</v>
      </c>
      <c r="C116">
        <v>85.533040189999994</v>
      </c>
      <c r="D116">
        <f t="shared" si="7"/>
        <v>0.58894027999998855</v>
      </c>
      <c r="E116">
        <f t="shared" si="5"/>
        <v>0.58894027999998855</v>
      </c>
      <c r="F116">
        <f t="shared" si="6"/>
        <v>0.34685065340646493</v>
      </c>
      <c r="I116">
        <v>84.944099910000006</v>
      </c>
    </row>
    <row r="117" spans="1:9" x14ac:dyDescent="0.45">
      <c r="A117" t="s">
        <v>96</v>
      </c>
      <c r="B117">
        <v>87.896341969999995</v>
      </c>
      <c r="C117">
        <v>85.520716329999999</v>
      </c>
      <c r="D117">
        <f t="shared" si="7"/>
        <v>-2.3756256399999955</v>
      </c>
      <c r="E117">
        <f t="shared" si="5"/>
        <v>2.3756256399999955</v>
      </c>
      <c r="F117">
        <f t="shared" si="6"/>
        <v>5.6435971814253882</v>
      </c>
      <c r="I117">
        <v>87.896341969999995</v>
      </c>
    </row>
    <row r="118" spans="1:9" x14ac:dyDescent="0.45">
      <c r="A118" t="s">
        <v>97</v>
      </c>
      <c r="B118">
        <v>84.851769950000005</v>
      </c>
      <c r="C118">
        <v>84.312209949999996</v>
      </c>
      <c r="D118">
        <f t="shared" si="7"/>
        <v>-0.5395600000000087</v>
      </c>
      <c r="E118">
        <f t="shared" si="5"/>
        <v>0.5395600000000087</v>
      </c>
      <c r="F118">
        <f t="shared" si="6"/>
        <v>0.29112499360000937</v>
      </c>
      <c r="I118">
        <v>84.851769950000005</v>
      </c>
    </row>
    <row r="119" spans="1:9" x14ac:dyDescent="0.45">
      <c r="A119" t="s">
        <v>98</v>
      </c>
      <c r="B119">
        <v>83.270625719999998</v>
      </c>
      <c r="C119">
        <v>80.380349910000007</v>
      </c>
      <c r="D119">
        <f t="shared" si="7"/>
        <v>-2.8902758099999915</v>
      </c>
      <c r="E119">
        <f t="shared" si="5"/>
        <v>2.8902758099999915</v>
      </c>
      <c r="F119">
        <f t="shared" si="6"/>
        <v>8.3536942578711066</v>
      </c>
      <c r="I119">
        <v>83.270625719999998</v>
      </c>
    </row>
    <row r="120" spans="1:9" x14ac:dyDescent="0.45">
      <c r="A120" t="s">
        <v>99</v>
      </c>
      <c r="B120">
        <v>82.237559739999995</v>
      </c>
      <c r="C120">
        <v>80.436566630000002</v>
      </c>
      <c r="D120">
        <f t="shared" si="7"/>
        <v>-1.8009931099999932</v>
      </c>
      <c r="E120">
        <f t="shared" si="5"/>
        <v>1.8009931099999932</v>
      </c>
      <c r="F120">
        <f t="shared" si="6"/>
        <v>3.2435761822674474</v>
      </c>
      <c r="I120">
        <v>82.237559739999995</v>
      </c>
    </row>
    <row r="121" spans="1:9" x14ac:dyDescent="0.45">
      <c r="A121" t="s">
        <v>100</v>
      </c>
      <c r="B121">
        <v>95.057980689999994</v>
      </c>
      <c r="C121">
        <v>91.273492649999994</v>
      </c>
      <c r="D121">
        <f t="shared" si="7"/>
        <v>-3.7844880399999994</v>
      </c>
      <c r="E121">
        <f t="shared" si="5"/>
        <v>3.7844880399999994</v>
      </c>
      <c r="F121">
        <f t="shared" si="6"/>
        <v>14.322349724903036</v>
      </c>
      <c r="I121">
        <v>95.057980689999994</v>
      </c>
    </row>
    <row r="122" spans="1:9" x14ac:dyDescent="0.45">
      <c r="A122" t="s">
        <v>101</v>
      </c>
      <c r="B122">
        <v>86.351051200000001</v>
      </c>
      <c r="C122">
        <v>89.982645300000001</v>
      </c>
      <c r="D122">
        <f t="shared" si="7"/>
        <v>3.6315941000000009</v>
      </c>
      <c r="E122">
        <f t="shared" si="5"/>
        <v>3.6315941000000009</v>
      </c>
      <c r="F122">
        <f t="shared" si="6"/>
        <v>13.188475707154817</v>
      </c>
      <c r="I122">
        <v>86.351051200000001</v>
      </c>
    </row>
    <row r="123" spans="1:9" x14ac:dyDescent="0.45">
      <c r="A123" t="s">
        <v>102</v>
      </c>
      <c r="B123">
        <v>92.310979829999994</v>
      </c>
      <c r="C123">
        <v>102.5519267</v>
      </c>
      <c r="D123">
        <f t="shared" si="7"/>
        <v>10.240946870000002</v>
      </c>
      <c r="E123">
        <f t="shared" si="5"/>
        <v>10.240946870000002</v>
      </c>
      <c r="F123">
        <f t="shared" si="6"/>
        <v>104.87699279416283</v>
      </c>
      <c r="I123">
        <v>92.310979829999994</v>
      </c>
    </row>
    <row r="124" spans="1:9" x14ac:dyDescent="0.45">
      <c r="A124" t="s">
        <v>103</v>
      </c>
      <c r="B124">
        <v>92.134606250000004</v>
      </c>
      <c r="C124">
        <v>87.092638590000007</v>
      </c>
      <c r="D124">
        <f t="shared" si="7"/>
        <v>-5.0419676599999974</v>
      </c>
      <c r="E124">
        <f t="shared" si="5"/>
        <v>5.0419676599999974</v>
      </c>
      <c r="F124">
        <f t="shared" si="6"/>
        <v>25.421437884485851</v>
      </c>
      <c r="I124">
        <v>92.134606250000004</v>
      </c>
    </row>
    <row r="125" spans="1:9" x14ac:dyDescent="0.45">
      <c r="A125" t="s">
        <v>104</v>
      </c>
      <c r="B125">
        <v>92.54412963</v>
      </c>
      <c r="C125">
        <v>93.512893450000007</v>
      </c>
      <c r="D125">
        <f t="shared" si="7"/>
        <v>0.9687638200000066</v>
      </c>
      <c r="E125">
        <f t="shared" si="5"/>
        <v>0.9687638200000066</v>
      </c>
      <c r="F125">
        <f t="shared" si="6"/>
        <v>0.93850333894100524</v>
      </c>
      <c r="I125">
        <v>92.54412963</v>
      </c>
    </row>
    <row r="126" spans="1:9" x14ac:dyDescent="0.45">
      <c r="A126" t="s">
        <v>105</v>
      </c>
      <c r="B126">
        <v>92.470655780000001</v>
      </c>
      <c r="C126">
        <v>93.644945930000006</v>
      </c>
      <c r="D126">
        <f t="shared" si="7"/>
        <v>1.1742901500000045</v>
      </c>
      <c r="E126">
        <f t="shared" si="5"/>
        <v>1.1742901500000045</v>
      </c>
      <c r="F126">
        <f t="shared" si="6"/>
        <v>1.378957356387033</v>
      </c>
      <c r="I126">
        <v>92.470655780000001</v>
      </c>
    </row>
    <row r="127" spans="1:9" x14ac:dyDescent="0.45">
      <c r="A127" t="s">
        <v>106</v>
      </c>
      <c r="B127">
        <v>97.126676160000002</v>
      </c>
      <c r="C127">
        <v>94.126095090000007</v>
      </c>
      <c r="D127">
        <f t="shared" si="7"/>
        <v>-3.0005810699999955</v>
      </c>
      <c r="E127">
        <f t="shared" si="5"/>
        <v>3.0005810699999955</v>
      </c>
      <c r="F127">
        <f t="shared" si="6"/>
        <v>9.0034867576423174</v>
      </c>
      <c r="I127">
        <v>97.126676160000002</v>
      </c>
    </row>
    <row r="128" spans="1:9" x14ac:dyDescent="0.45">
      <c r="A128" t="s">
        <v>141</v>
      </c>
      <c r="B128">
        <v>81.751812380000004</v>
      </c>
      <c r="C128">
        <v>79.496838530000005</v>
      </c>
      <c r="D128">
        <f t="shared" si="7"/>
        <v>-2.2549738499999989</v>
      </c>
      <c r="E128">
        <f t="shared" si="5"/>
        <v>2.2549738499999989</v>
      </c>
      <c r="F128">
        <f t="shared" si="6"/>
        <v>5.0849070641838177</v>
      </c>
      <c r="I128">
        <v>81.751812380000004</v>
      </c>
    </row>
    <row r="129" spans="1:9" x14ac:dyDescent="0.45">
      <c r="A129" t="s">
        <v>142</v>
      </c>
      <c r="B129">
        <v>90.877196650000002</v>
      </c>
      <c r="C129">
        <v>90.562909500000004</v>
      </c>
      <c r="D129">
        <f t="shared" si="7"/>
        <v>-0.31428714999999841</v>
      </c>
      <c r="E129">
        <f t="shared" ref="E129:E135" si="8">ABS(D129)</f>
        <v>0.31428714999999841</v>
      </c>
      <c r="F129">
        <f t="shared" ref="F129:F135" si="9">E129^2</f>
        <v>9.8776412655121493E-2</v>
      </c>
      <c r="I129">
        <v>90.877196650000002</v>
      </c>
    </row>
    <row r="130" spans="1:9" x14ac:dyDescent="0.45">
      <c r="A130" t="s">
        <v>107</v>
      </c>
      <c r="B130">
        <v>105.1212221</v>
      </c>
      <c r="C130">
        <v>102.052778</v>
      </c>
      <c r="D130">
        <f t="shared" ref="D130:D135" si="10">(C130-B130)</f>
        <v>-3.0684440999999936</v>
      </c>
      <c r="E130">
        <f t="shared" si="8"/>
        <v>3.0684440999999936</v>
      </c>
      <c r="F130">
        <f t="shared" si="9"/>
        <v>9.4153491948247705</v>
      </c>
      <c r="I130">
        <v>105.1212221</v>
      </c>
    </row>
    <row r="131" spans="1:9" x14ac:dyDescent="0.45">
      <c r="A131" t="s">
        <v>108</v>
      </c>
      <c r="B131">
        <v>111.7767767</v>
      </c>
      <c r="C131">
        <v>111.9631819</v>
      </c>
      <c r="D131">
        <f t="shared" si="10"/>
        <v>0.18640519999999583</v>
      </c>
      <c r="E131">
        <f t="shared" si="8"/>
        <v>0.18640519999999583</v>
      </c>
      <c r="F131">
        <f t="shared" si="9"/>
        <v>3.4746898587038444E-2</v>
      </c>
      <c r="I131">
        <v>111.7767767</v>
      </c>
    </row>
    <row r="132" spans="1:9" x14ac:dyDescent="0.45">
      <c r="A132" t="s">
        <v>109</v>
      </c>
      <c r="B132">
        <v>109.28908850000001</v>
      </c>
      <c r="C132">
        <v>111.7761265</v>
      </c>
      <c r="D132">
        <f t="shared" si="10"/>
        <v>2.4870379999999983</v>
      </c>
      <c r="E132">
        <f t="shared" si="8"/>
        <v>2.4870379999999983</v>
      </c>
      <c r="F132">
        <f t="shared" si="9"/>
        <v>6.1853580134439916</v>
      </c>
      <c r="I132">
        <v>109.28908850000001</v>
      </c>
    </row>
    <row r="133" spans="1:9" x14ac:dyDescent="0.45">
      <c r="A133" t="s">
        <v>110</v>
      </c>
      <c r="B133">
        <v>104.1100813</v>
      </c>
      <c r="C133">
        <v>102.981804</v>
      </c>
      <c r="D133">
        <f t="shared" si="10"/>
        <v>-1.1282773000000077</v>
      </c>
      <c r="E133">
        <f t="shared" si="8"/>
        <v>1.1282773000000077</v>
      </c>
      <c r="F133">
        <f t="shared" si="9"/>
        <v>1.2730096656953074</v>
      </c>
      <c r="I133">
        <v>104.1100813</v>
      </c>
    </row>
    <row r="134" spans="1:9" x14ac:dyDescent="0.45">
      <c r="A134" t="s">
        <v>111</v>
      </c>
      <c r="B134">
        <v>80.20683124</v>
      </c>
      <c r="C134">
        <v>79.460185780000003</v>
      </c>
      <c r="D134">
        <f t="shared" si="10"/>
        <v>-0.74664545999999632</v>
      </c>
      <c r="E134">
        <f t="shared" si="8"/>
        <v>0.74664545999999632</v>
      </c>
      <c r="F134">
        <f t="shared" si="9"/>
        <v>0.55747944293860607</v>
      </c>
      <c r="I134">
        <v>80.20683124</v>
      </c>
    </row>
    <row r="135" spans="1:9" x14ac:dyDescent="0.45">
      <c r="A135" t="s">
        <v>112</v>
      </c>
      <c r="B135">
        <v>80.086143219999997</v>
      </c>
      <c r="C135">
        <v>79.122058899999999</v>
      </c>
      <c r="D135">
        <f t="shared" si="10"/>
        <v>-0.96408431999999777</v>
      </c>
      <c r="E135">
        <f t="shared" si="8"/>
        <v>0.96408431999999777</v>
      </c>
      <c r="F135">
        <f t="shared" si="9"/>
        <v>0.92945857606985816</v>
      </c>
      <c r="I135">
        <v>80.086143219999997</v>
      </c>
    </row>
    <row r="136" spans="1:9" x14ac:dyDescent="0.45">
      <c r="D136">
        <f>AVERAGE(D2:D135)</f>
        <v>-1.3776308780597026</v>
      </c>
      <c r="E136">
        <f>AVERAGE(E2:E135)</f>
        <v>2.8767918407462689</v>
      </c>
      <c r="F136">
        <f>SQRT(AVERAGE(F2:F135))</f>
        <v>7.082775900692317</v>
      </c>
    </row>
    <row r="137" spans="1:9" x14ac:dyDescent="0.45">
      <c r="B137">
        <f>MIN(B2:B135)</f>
        <v>71.467418069999994</v>
      </c>
      <c r="C137">
        <f>MIN(C2:C135)</f>
        <v>48.045113980000004</v>
      </c>
      <c r="I137">
        <f>MIN(I2:I135)</f>
        <v>71.467418069999994</v>
      </c>
    </row>
    <row r="138" spans="1:9" x14ac:dyDescent="0.45">
      <c r="B138">
        <f>MAX(B2:B135)</f>
        <v>146.7553351</v>
      </c>
      <c r="C138">
        <f>MAX(C2:C135)</f>
        <v>114.65891569999999</v>
      </c>
      <c r="I138">
        <f>MAX(I2:I135)</f>
        <v>146.7553351</v>
      </c>
    </row>
  </sheetData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ChemDraw_x64.Document.6.0" shapeId="7169" r:id="rId3">
          <objectPr defaultSize="0" autoPict="0" r:id="rId4">
            <anchor moveWithCells="1" sizeWithCells="1">
              <from>
                <xdr:col>13</xdr:col>
                <xdr:colOff>276225</xdr:colOff>
                <xdr:row>12</xdr:row>
                <xdr:rowOff>133350</xdr:rowOff>
              </from>
              <to>
                <xdr:col>15</xdr:col>
                <xdr:colOff>47625</xdr:colOff>
                <xdr:row>15</xdr:row>
                <xdr:rowOff>157163</xdr:rowOff>
              </to>
            </anchor>
          </objectPr>
        </oleObject>
      </mc:Choice>
      <mc:Fallback>
        <oleObject progId="ChemDraw_x64.Document.6.0" shapeId="7169" r:id="rId3"/>
      </mc:Fallback>
    </mc:AlternateContent>
  </oleObjec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C0CB5-9902-49CC-AB75-6A9899676EBE}">
  <dimension ref="A1:AU20"/>
  <sheetViews>
    <sheetView topLeftCell="AD1" workbookViewId="0">
      <selection activeCell="M1" sqref="M1"/>
    </sheetView>
  </sheetViews>
  <sheetFormatPr defaultRowHeight="14.25" x14ac:dyDescent="0.45"/>
  <sheetData>
    <row r="1" spans="1:47" s="2" customFormat="1" x14ac:dyDescent="0.45">
      <c r="A1" s="2" t="s">
        <v>6</v>
      </c>
      <c r="B1" s="2" t="s">
        <v>150</v>
      </c>
      <c r="C1" s="2" t="s">
        <v>152</v>
      </c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  <c r="I1" s="2" t="s">
        <v>5</v>
      </c>
      <c r="L1" s="2" t="s">
        <v>6</v>
      </c>
      <c r="M1" s="2" t="s">
        <v>159</v>
      </c>
      <c r="N1" s="2" t="s">
        <v>162</v>
      </c>
      <c r="O1" s="2" t="s">
        <v>0</v>
      </c>
      <c r="P1" s="2" t="s">
        <v>1</v>
      </c>
      <c r="Q1" s="2" t="s">
        <v>2</v>
      </c>
      <c r="R1" s="2" t="s">
        <v>3</v>
      </c>
      <c r="S1" s="2" t="s">
        <v>4</v>
      </c>
      <c r="T1" s="2" t="s">
        <v>5</v>
      </c>
      <c r="Z1" s="2" t="s">
        <v>6</v>
      </c>
      <c r="AA1" s="2" t="s">
        <v>160</v>
      </c>
      <c r="AB1" s="2" t="s">
        <v>163</v>
      </c>
      <c r="AC1" s="2" t="s">
        <v>0</v>
      </c>
      <c r="AD1" s="2" t="s">
        <v>1</v>
      </c>
      <c r="AE1" s="2" t="s">
        <v>2</v>
      </c>
      <c r="AF1" s="2" t="s">
        <v>3</v>
      </c>
      <c r="AG1" s="2" t="s">
        <v>4</v>
      </c>
      <c r="AH1" s="2" t="s">
        <v>5</v>
      </c>
      <c r="AM1" s="2" t="s">
        <v>6</v>
      </c>
      <c r="AN1" s="2" t="s">
        <v>161</v>
      </c>
      <c r="AO1" s="2" t="s">
        <v>164</v>
      </c>
      <c r="AP1" s="2" t="s">
        <v>0</v>
      </c>
      <c r="AQ1" s="2" t="s">
        <v>1</v>
      </c>
      <c r="AR1" s="2" t="s">
        <v>2</v>
      </c>
      <c r="AS1" s="2" t="s">
        <v>3</v>
      </c>
      <c r="AT1" s="2" t="s">
        <v>4</v>
      </c>
      <c r="AU1" s="2" t="s">
        <v>5</v>
      </c>
    </row>
    <row r="2" spans="1:47" x14ac:dyDescent="0.45">
      <c r="A2" t="s">
        <v>19</v>
      </c>
      <c r="B2">
        <v>115.8390974</v>
      </c>
      <c r="C2">
        <v>117.1961364</v>
      </c>
      <c r="D2">
        <f t="shared" ref="D2:D17" si="0">(C2-B2)</f>
        <v>1.3570390000000003</v>
      </c>
      <c r="E2">
        <f>ABS(D2)</f>
        <v>1.3570390000000003</v>
      </c>
      <c r="F2">
        <f>E2^2</f>
        <v>1.8415548475210008</v>
      </c>
      <c r="G2">
        <f>CORREL(B2:B17, C2:C17)</f>
        <v>0.91444321928153027</v>
      </c>
      <c r="H2">
        <f>G2^2</f>
        <v>0.83620640128996881</v>
      </c>
      <c r="I2">
        <v>115.8390974</v>
      </c>
      <c r="L2" t="s">
        <v>19</v>
      </c>
      <c r="M2">
        <v>83.590012139999999</v>
      </c>
      <c r="N2">
        <v>81.460338680000007</v>
      </c>
      <c r="O2">
        <f>(N2-M2)</f>
        <v>-2.1296734599999922</v>
      </c>
      <c r="P2">
        <f>ABS(O2)</f>
        <v>2.1296734599999922</v>
      </c>
      <c r="Q2">
        <f>P2^2</f>
        <v>4.5355090462283387</v>
      </c>
      <c r="R2">
        <f>CORREL(M2:M17, N2:N17)</f>
        <v>0.84417463051334785</v>
      </c>
      <c r="S2">
        <f>R2^2</f>
        <v>0.71263080680234736</v>
      </c>
      <c r="T2">
        <v>83.590012139999999</v>
      </c>
      <c r="Z2" t="s">
        <v>19</v>
      </c>
      <c r="AA2">
        <v>147.2255767</v>
      </c>
      <c r="AB2">
        <v>151.9346596</v>
      </c>
      <c r="AC2">
        <f>(AB2-AA2)</f>
        <v>4.7090828999999985</v>
      </c>
      <c r="AD2">
        <f>ABS(AC2)</f>
        <v>4.7090828999999985</v>
      </c>
      <c r="AE2">
        <f>AD2^2</f>
        <v>22.175461759072395</v>
      </c>
      <c r="AF2">
        <f>CORREL(AA2:AA17, AB2:AB17)</f>
        <v>0.68427623089512135</v>
      </c>
      <c r="AG2">
        <f>AF2^2</f>
        <v>0.46823396016803343</v>
      </c>
      <c r="AH2">
        <v>147.2255767</v>
      </c>
      <c r="AM2" t="s">
        <v>19</v>
      </c>
      <c r="AN2">
        <v>129.0952829</v>
      </c>
      <c r="AO2">
        <v>126.562999</v>
      </c>
      <c r="AP2">
        <f>(AO2-AN2)</f>
        <v>-2.5322838999999959</v>
      </c>
      <c r="AQ2">
        <f>ABS(AP2)</f>
        <v>2.5322838999999959</v>
      </c>
      <c r="AR2">
        <f>AQ2^2</f>
        <v>6.4124617501991894</v>
      </c>
      <c r="AS2">
        <f>CORREL(AN2:AN17, AO2:AO17)</f>
        <v>0.70134320226773494</v>
      </c>
      <c r="AT2">
        <f>AS2^2</f>
        <v>0.491882287367161</v>
      </c>
      <c r="AU2">
        <v>129.0952829</v>
      </c>
    </row>
    <row r="3" spans="1:47" x14ac:dyDescent="0.45">
      <c r="A3" t="s">
        <v>20</v>
      </c>
      <c r="B3">
        <v>116.5496658</v>
      </c>
      <c r="C3">
        <v>117.57884079999999</v>
      </c>
      <c r="D3">
        <f t="shared" si="0"/>
        <v>1.0291749999999951</v>
      </c>
      <c r="E3">
        <f t="shared" ref="E3:E17" si="1">ABS(D3)</f>
        <v>1.0291749999999951</v>
      </c>
      <c r="F3">
        <f t="shared" ref="F3:F17" si="2">E3^2</f>
        <v>1.0592011806249899</v>
      </c>
      <c r="I3">
        <v>116.5496658</v>
      </c>
      <c r="L3" t="s">
        <v>20</v>
      </c>
      <c r="M3">
        <v>84.729683660000006</v>
      </c>
      <c r="N3">
        <v>83.001458929999998</v>
      </c>
      <c r="O3">
        <f t="shared" ref="O3:O17" si="3">(N3-M3)</f>
        <v>-1.728224730000008</v>
      </c>
      <c r="P3">
        <f t="shared" ref="P3:P17" si="4">ABS(O3)</f>
        <v>1.728224730000008</v>
      </c>
      <c r="Q3">
        <f t="shared" ref="Q3:Q17" si="5">P3^2</f>
        <v>2.9867607173836004</v>
      </c>
      <c r="T3">
        <v>84.729683660000006</v>
      </c>
      <c r="Z3" t="s">
        <v>20</v>
      </c>
      <c r="AA3">
        <v>134.10633680000001</v>
      </c>
      <c r="AB3">
        <v>136.11987450000001</v>
      </c>
      <c r="AC3">
        <f t="shared" ref="AC3:AC17" si="6">(AB3-AA3)</f>
        <v>2.0135377000000005</v>
      </c>
      <c r="AD3">
        <f t="shared" ref="AD3:AD17" si="7">ABS(AC3)</f>
        <v>2.0135377000000005</v>
      </c>
      <c r="AE3">
        <f t="shared" ref="AE3:AE17" si="8">AD3^2</f>
        <v>4.0543340693212926</v>
      </c>
      <c r="AH3">
        <v>134.10633680000001</v>
      </c>
      <c r="AM3" t="s">
        <v>20</v>
      </c>
      <c r="AN3">
        <v>140.47496369999999</v>
      </c>
      <c r="AO3">
        <v>140.2879805</v>
      </c>
      <c r="AP3">
        <f t="shared" ref="AP3:AP17" si="9">(AO3-AN3)</f>
        <v>-0.18698319999998603</v>
      </c>
      <c r="AQ3">
        <f t="shared" ref="AQ3:AQ17" si="10">ABS(AP3)</f>
        <v>0.18698319999998603</v>
      </c>
      <c r="AR3">
        <f t="shared" ref="AR3:AR17" si="11">AQ3^2</f>
        <v>3.4962717082234772E-2</v>
      </c>
      <c r="AU3">
        <v>140.47496369999999</v>
      </c>
    </row>
    <row r="4" spans="1:47" x14ac:dyDescent="0.45">
      <c r="A4" t="s">
        <v>21</v>
      </c>
      <c r="B4">
        <v>115.77441</v>
      </c>
      <c r="C4">
        <v>117.6378775</v>
      </c>
      <c r="D4">
        <f t="shared" si="0"/>
        <v>1.8634674999999987</v>
      </c>
      <c r="E4">
        <f t="shared" si="1"/>
        <v>1.8634674999999987</v>
      </c>
      <c r="F4">
        <f t="shared" si="2"/>
        <v>3.4725111235562451</v>
      </c>
      <c r="I4">
        <v>115.77441</v>
      </c>
      <c r="L4" t="s">
        <v>21</v>
      </c>
      <c r="M4">
        <v>84.301551200000006</v>
      </c>
      <c r="N4">
        <v>82.341795390000001</v>
      </c>
      <c r="O4">
        <f t="shared" si="3"/>
        <v>-1.9597558100000043</v>
      </c>
      <c r="P4">
        <f t="shared" si="4"/>
        <v>1.9597558100000043</v>
      </c>
      <c r="Q4">
        <f t="shared" si="5"/>
        <v>3.8406428348287731</v>
      </c>
      <c r="T4">
        <v>84.301551200000006</v>
      </c>
      <c r="Z4" t="s">
        <v>21</v>
      </c>
      <c r="AA4">
        <v>131.36235769999999</v>
      </c>
      <c r="AB4">
        <v>109.6614016</v>
      </c>
      <c r="AC4">
        <f t="shared" si="6"/>
        <v>-21.700956099999985</v>
      </c>
      <c r="AD4">
        <f t="shared" si="7"/>
        <v>21.700956099999985</v>
      </c>
      <c r="AE4">
        <f t="shared" si="8"/>
        <v>470.93149565412654</v>
      </c>
      <c r="AH4">
        <v>131.36235769999999</v>
      </c>
      <c r="AM4" t="s">
        <v>21</v>
      </c>
      <c r="AN4">
        <v>144.0303193</v>
      </c>
      <c r="AO4">
        <v>167.00772269999999</v>
      </c>
      <c r="AP4">
        <f t="shared" si="9"/>
        <v>22.977403399999986</v>
      </c>
      <c r="AQ4">
        <f t="shared" si="10"/>
        <v>22.977403399999986</v>
      </c>
      <c r="AR4">
        <f t="shared" si="11"/>
        <v>527.96106700633095</v>
      </c>
      <c r="AU4">
        <v>144.0303193</v>
      </c>
    </row>
    <row r="5" spans="1:47" x14ac:dyDescent="0.45">
      <c r="A5" t="s">
        <v>22</v>
      </c>
      <c r="B5">
        <v>116.382017</v>
      </c>
      <c r="C5">
        <v>117.94548930000001</v>
      </c>
      <c r="D5">
        <f t="shared" si="0"/>
        <v>1.5634723000000008</v>
      </c>
      <c r="E5">
        <f t="shared" si="1"/>
        <v>1.5634723000000008</v>
      </c>
      <c r="F5">
        <f t="shared" si="2"/>
        <v>2.4444456328672923</v>
      </c>
      <c r="I5">
        <v>116.382017</v>
      </c>
      <c r="L5" t="s">
        <v>22</v>
      </c>
      <c r="M5">
        <v>84.533700749999994</v>
      </c>
      <c r="N5">
        <v>82.780403089999993</v>
      </c>
      <c r="O5">
        <f t="shared" si="3"/>
        <v>-1.7532976600000012</v>
      </c>
      <c r="P5">
        <f t="shared" si="4"/>
        <v>1.7532976600000012</v>
      </c>
      <c r="Q5">
        <f t="shared" si="5"/>
        <v>3.07405268456148</v>
      </c>
      <c r="T5">
        <v>84.533700749999994</v>
      </c>
      <c r="Z5" t="s">
        <v>22</v>
      </c>
      <c r="AA5">
        <v>137.97371419999999</v>
      </c>
      <c r="AB5">
        <v>138.00867109999999</v>
      </c>
      <c r="AC5">
        <f t="shared" si="6"/>
        <v>3.4956899999997404E-2</v>
      </c>
      <c r="AD5">
        <f t="shared" si="7"/>
        <v>3.4956899999997404E-2</v>
      </c>
      <c r="AE5">
        <f t="shared" si="8"/>
        <v>1.2219848576098184E-3</v>
      </c>
      <c r="AH5">
        <v>137.97371419999999</v>
      </c>
      <c r="AM5" t="s">
        <v>22</v>
      </c>
      <c r="AN5">
        <v>137.36758639999999</v>
      </c>
      <c r="AO5">
        <v>138.65702039999999</v>
      </c>
      <c r="AP5">
        <f t="shared" si="9"/>
        <v>1.289434</v>
      </c>
      <c r="AQ5">
        <f t="shared" si="10"/>
        <v>1.289434</v>
      </c>
      <c r="AR5">
        <f t="shared" si="11"/>
        <v>1.662640040356</v>
      </c>
      <c r="AU5">
        <v>137.36758639999999</v>
      </c>
    </row>
    <row r="6" spans="1:47" x14ac:dyDescent="0.45">
      <c r="A6" t="s">
        <v>23</v>
      </c>
      <c r="B6">
        <v>127.6767846</v>
      </c>
      <c r="C6">
        <v>120.8588051</v>
      </c>
      <c r="D6">
        <f t="shared" si="0"/>
        <v>-6.817979500000007</v>
      </c>
      <c r="E6">
        <f t="shared" si="1"/>
        <v>6.817979500000007</v>
      </c>
      <c r="F6">
        <f t="shared" si="2"/>
        <v>46.484844462420348</v>
      </c>
      <c r="I6">
        <v>127.6767846</v>
      </c>
      <c r="L6" t="s">
        <v>23</v>
      </c>
      <c r="M6">
        <v>88.719491950000005</v>
      </c>
      <c r="N6">
        <v>82.447185660000002</v>
      </c>
      <c r="O6">
        <f t="shared" si="3"/>
        <v>-6.2723062900000031</v>
      </c>
      <c r="P6">
        <f t="shared" si="4"/>
        <v>6.2723062900000031</v>
      </c>
      <c r="Q6">
        <f t="shared" si="5"/>
        <v>39.341826195573603</v>
      </c>
      <c r="T6">
        <v>88.719491950000005</v>
      </c>
      <c r="Z6" t="s">
        <v>23</v>
      </c>
      <c r="AA6">
        <v>166.5459267</v>
      </c>
      <c r="AB6">
        <v>158.3128782</v>
      </c>
      <c r="AC6">
        <f t="shared" si="6"/>
        <v>-8.2330484999999953</v>
      </c>
      <c r="AD6">
        <f t="shared" si="7"/>
        <v>8.2330484999999953</v>
      </c>
      <c r="AE6">
        <f t="shared" si="8"/>
        <v>67.783087603352172</v>
      </c>
      <c r="AH6">
        <v>166.5459267</v>
      </c>
      <c r="AM6" t="s">
        <v>23</v>
      </c>
      <c r="AN6">
        <v>104.549626</v>
      </c>
      <c r="AO6">
        <v>112.4689686</v>
      </c>
      <c r="AP6">
        <f t="shared" si="9"/>
        <v>7.9193425999999931</v>
      </c>
      <c r="AQ6">
        <f t="shared" si="10"/>
        <v>7.9193425999999931</v>
      </c>
      <c r="AR6">
        <f t="shared" si="11"/>
        <v>62.715987216174653</v>
      </c>
      <c r="AU6">
        <v>104.549626</v>
      </c>
    </row>
    <row r="7" spans="1:47" x14ac:dyDescent="0.45">
      <c r="A7" t="s">
        <v>24</v>
      </c>
      <c r="B7">
        <v>117.2586891</v>
      </c>
      <c r="C7">
        <v>118.24185129999999</v>
      </c>
      <c r="D7">
        <f t="shared" si="0"/>
        <v>0.98316219999999532</v>
      </c>
      <c r="E7">
        <f t="shared" si="1"/>
        <v>0.98316219999999532</v>
      </c>
      <c r="F7">
        <f t="shared" si="2"/>
        <v>0.96660791150883085</v>
      </c>
      <c r="I7">
        <v>117.2586891</v>
      </c>
      <c r="L7" t="s">
        <v>24</v>
      </c>
      <c r="M7">
        <v>84.310374960000004</v>
      </c>
      <c r="N7">
        <v>82.705386619999999</v>
      </c>
      <c r="O7">
        <f t="shared" si="3"/>
        <v>-1.6049883400000056</v>
      </c>
      <c r="P7">
        <f t="shared" si="4"/>
        <v>1.6049883400000056</v>
      </c>
      <c r="Q7">
        <f t="shared" si="5"/>
        <v>2.5759875715359732</v>
      </c>
      <c r="T7">
        <v>84.310374960000004</v>
      </c>
      <c r="Z7" t="s">
        <v>24</v>
      </c>
      <c r="AA7">
        <v>125.41894739999999</v>
      </c>
      <c r="AB7">
        <v>145.66505979999999</v>
      </c>
      <c r="AC7">
        <f t="shared" si="6"/>
        <v>20.246112400000001</v>
      </c>
      <c r="AD7">
        <f t="shared" si="7"/>
        <v>20.246112400000001</v>
      </c>
      <c r="AE7">
        <f t="shared" si="8"/>
        <v>409.90506731343379</v>
      </c>
      <c r="AH7">
        <v>125.41894739999999</v>
      </c>
      <c r="AM7" t="s">
        <v>24</v>
      </c>
      <c r="AN7">
        <v>149.6626646</v>
      </c>
      <c r="AO7">
        <v>127.1186393</v>
      </c>
      <c r="AP7">
        <f t="shared" si="9"/>
        <v>-22.544025300000001</v>
      </c>
      <c r="AQ7">
        <f t="shared" si="10"/>
        <v>22.544025300000001</v>
      </c>
      <c r="AR7">
        <f t="shared" si="11"/>
        <v>508.23307672704016</v>
      </c>
      <c r="AU7">
        <v>149.6626646</v>
      </c>
    </row>
    <row r="8" spans="1:47" x14ac:dyDescent="0.45">
      <c r="A8" t="s">
        <v>48</v>
      </c>
      <c r="B8">
        <v>115.7075437</v>
      </c>
      <c r="C8">
        <v>117.14522119999999</v>
      </c>
      <c r="D8">
        <f t="shared" si="0"/>
        <v>1.4376774999999924</v>
      </c>
      <c r="E8">
        <f t="shared" si="1"/>
        <v>1.4376774999999924</v>
      </c>
      <c r="F8">
        <f t="shared" si="2"/>
        <v>2.0669165940062282</v>
      </c>
      <c r="I8">
        <v>115.7075437</v>
      </c>
      <c r="L8" t="s">
        <v>48</v>
      </c>
      <c r="M8">
        <v>80.717403000000004</v>
      </c>
      <c r="N8">
        <v>79.442241569999993</v>
      </c>
      <c r="O8">
        <f t="shared" si="3"/>
        <v>-1.2751614300000114</v>
      </c>
      <c r="P8">
        <f t="shared" si="4"/>
        <v>1.2751614300000114</v>
      </c>
      <c r="Q8">
        <f t="shared" si="5"/>
        <v>1.626036672559674</v>
      </c>
      <c r="T8">
        <v>80.717403000000004</v>
      </c>
      <c r="Z8" t="s">
        <v>48</v>
      </c>
      <c r="AA8">
        <v>132.99519570000001</v>
      </c>
      <c r="AB8">
        <v>127.6885339</v>
      </c>
      <c r="AC8">
        <f t="shared" si="6"/>
        <v>-5.3066618000000148</v>
      </c>
      <c r="AD8">
        <f t="shared" si="7"/>
        <v>5.3066618000000148</v>
      </c>
      <c r="AE8">
        <f t="shared" si="8"/>
        <v>28.160659459579396</v>
      </c>
      <c r="AH8">
        <v>132.99519570000001</v>
      </c>
      <c r="AM8" t="s">
        <v>48</v>
      </c>
      <c r="AN8">
        <v>145.83506819999999</v>
      </c>
      <c r="AO8">
        <v>152.83479460000001</v>
      </c>
      <c r="AP8">
        <f t="shared" si="9"/>
        <v>6.9997264000000143</v>
      </c>
      <c r="AQ8">
        <f t="shared" si="10"/>
        <v>6.9997264000000143</v>
      </c>
      <c r="AR8">
        <f t="shared" si="11"/>
        <v>48.996169674857164</v>
      </c>
      <c r="AU8">
        <v>145.83506819999999</v>
      </c>
    </row>
    <row r="9" spans="1:47" x14ac:dyDescent="0.45">
      <c r="A9" t="s">
        <v>58</v>
      </c>
      <c r="B9">
        <v>115.73702249999999</v>
      </c>
      <c r="C9">
        <v>117.24809209999999</v>
      </c>
      <c r="D9">
        <f t="shared" si="0"/>
        <v>1.511069599999999</v>
      </c>
      <c r="E9">
        <f t="shared" si="1"/>
        <v>1.511069599999999</v>
      </c>
      <c r="F9">
        <f t="shared" si="2"/>
        <v>2.2833313360441569</v>
      </c>
      <c r="I9">
        <v>115.73702249999999</v>
      </c>
      <c r="L9" t="s">
        <v>58</v>
      </c>
      <c r="M9">
        <v>81.00884284</v>
      </c>
      <c r="N9">
        <v>79.441078039999994</v>
      </c>
      <c r="O9">
        <f t="shared" si="3"/>
        <v>-1.5677648000000062</v>
      </c>
      <c r="P9">
        <f t="shared" si="4"/>
        <v>1.5677648000000062</v>
      </c>
      <c r="Q9">
        <f t="shared" si="5"/>
        <v>2.4578864681190593</v>
      </c>
      <c r="T9">
        <v>81.00884284</v>
      </c>
      <c r="Z9" t="s">
        <v>58</v>
      </c>
      <c r="AA9">
        <v>145.5841355</v>
      </c>
      <c r="AB9">
        <v>149.2756009</v>
      </c>
      <c r="AC9">
        <f t="shared" si="6"/>
        <v>3.6914653999999985</v>
      </c>
      <c r="AD9">
        <f t="shared" si="7"/>
        <v>3.6914653999999985</v>
      </c>
      <c r="AE9">
        <f t="shared" si="8"/>
        <v>13.626916799397149</v>
      </c>
      <c r="AH9">
        <v>145.5841355</v>
      </c>
      <c r="AM9" t="s">
        <v>58</v>
      </c>
      <c r="AN9">
        <v>132.8022905</v>
      </c>
      <c r="AO9">
        <v>131.2494423</v>
      </c>
      <c r="AP9">
        <f t="shared" si="9"/>
        <v>-1.5528481999999997</v>
      </c>
      <c r="AQ9">
        <f t="shared" si="10"/>
        <v>1.5528481999999997</v>
      </c>
      <c r="AR9">
        <f t="shared" si="11"/>
        <v>2.4113375322432389</v>
      </c>
      <c r="AU9">
        <v>132.8022905</v>
      </c>
    </row>
    <row r="10" spans="1:47" x14ac:dyDescent="0.45">
      <c r="A10" t="s">
        <v>72</v>
      </c>
      <c r="B10">
        <v>115.9921307</v>
      </c>
      <c r="C10">
        <v>117.48587120000001</v>
      </c>
      <c r="D10">
        <f t="shared" si="0"/>
        <v>1.4937405000000012</v>
      </c>
      <c r="E10">
        <f t="shared" si="1"/>
        <v>1.4937405000000012</v>
      </c>
      <c r="F10">
        <f t="shared" si="2"/>
        <v>2.2312606813402538</v>
      </c>
      <c r="I10">
        <v>115.9921307</v>
      </c>
      <c r="L10" t="s">
        <v>72</v>
      </c>
      <c r="M10">
        <v>83.519548420000007</v>
      </c>
      <c r="N10">
        <v>81.554233580000002</v>
      </c>
      <c r="O10">
        <f t="shared" si="3"/>
        <v>-1.9653148400000049</v>
      </c>
      <c r="P10">
        <f t="shared" si="4"/>
        <v>1.9653148400000049</v>
      </c>
      <c r="Q10">
        <f t="shared" si="5"/>
        <v>3.862462420324245</v>
      </c>
      <c r="T10">
        <v>83.519548420000007</v>
      </c>
      <c r="Z10" t="s">
        <v>72</v>
      </c>
      <c r="AA10">
        <v>134.2149622</v>
      </c>
      <c r="AB10">
        <v>130.1671097</v>
      </c>
      <c r="AC10">
        <f t="shared" si="6"/>
        <v>-4.0478525000000047</v>
      </c>
      <c r="AD10">
        <f t="shared" si="7"/>
        <v>4.0478525000000047</v>
      </c>
      <c r="AE10">
        <f t="shared" si="8"/>
        <v>16.385109861756288</v>
      </c>
      <c r="AH10">
        <v>134.2149622</v>
      </c>
      <c r="AM10" t="s">
        <v>72</v>
      </c>
      <c r="AN10">
        <v>142.22196640000001</v>
      </c>
      <c r="AO10">
        <v>147.9607092</v>
      </c>
      <c r="AP10">
        <f t="shared" si="9"/>
        <v>5.7387427999999829</v>
      </c>
      <c r="AQ10">
        <f t="shared" si="10"/>
        <v>5.7387427999999829</v>
      </c>
      <c r="AR10">
        <f t="shared" si="11"/>
        <v>32.933168924551644</v>
      </c>
      <c r="AU10">
        <v>142.22196640000001</v>
      </c>
    </row>
    <row r="11" spans="1:47" x14ac:dyDescent="0.45">
      <c r="A11" t="s">
        <v>73</v>
      </c>
      <c r="B11">
        <v>116.5260638</v>
      </c>
      <c r="C11">
        <v>117.7240797</v>
      </c>
      <c r="D11">
        <f t="shared" si="0"/>
        <v>1.1980159000000015</v>
      </c>
      <c r="E11">
        <f t="shared" si="1"/>
        <v>1.1980159000000015</v>
      </c>
      <c r="F11">
        <f t="shared" si="2"/>
        <v>1.4352420966528134</v>
      </c>
      <c r="I11">
        <v>116.5260638</v>
      </c>
      <c r="L11" t="s">
        <v>73</v>
      </c>
      <c r="M11">
        <v>84.7246351</v>
      </c>
      <c r="N11">
        <v>82.980038550000003</v>
      </c>
      <c r="O11">
        <f t="shared" si="3"/>
        <v>-1.7445965499999971</v>
      </c>
      <c r="P11">
        <f t="shared" si="4"/>
        <v>1.7445965499999971</v>
      </c>
      <c r="Q11">
        <f t="shared" si="5"/>
        <v>3.0436171222718924</v>
      </c>
      <c r="T11">
        <v>84.7246351</v>
      </c>
      <c r="Z11" t="s">
        <v>73</v>
      </c>
      <c r="AA11">
        <v>131.34146630000001</v>
      </c>
      <c r="AB11">
        <v>132.2376884</v>
      </c>
      <c r="AC11">
        <f t="shared" si="6"/>
        <v>0.89622209999998859</v>
      </c>
      <c r="AD11">
        <f t="shared" si="7"/>
        <v>0.89622209999998859</v>
      </c>
      <c r="AE11">
        <f t="shared" si="8"/>
        <v>0.80321405252838951</v>
      </c>
      <c r="AH11">
        <v>131.34146630000001</v>
      </c>
      <c r="AM11" t="s">
        <v>73</v>
      </c>
      <c r="AN11">
        <v>143.23970370000001</v>
      </c>
      <c r="AO11">
        <v>143.6943742</v>
      </c>
      <c r="AP11">
        <f t="shared" si="9"/>
        <v>0.45467049999999176</v>
      </c>
      <c r="AQ11">
        <f t="shared" si="10"/>
        <v>0.45467049999999176</v>
      </c>
      <c r="AR11">
        <f t="shared" si="11"/>
        <v>0.20672526357024251</v>
      </c>
      <c r="AU11">
        <v>143.23970370000001</v>
      </c>
    </row>
    <row r="12" spans="1:47" x14ac:dyDescent="0.45">
      <c r="A12" t="s">
        <v>74</v>
      </c>
      <c r="B12">
        <v>116.27313839999999</v>
      </c>
      <c r="C12">
        <v>117.58145930000001</v>
      </c>
      <c r="D12">
        <f t="shared" si="0"/>
        <v>1.3083209000000124</v>
      </c>
      <c r="E12">
        <f t="shared" si="1"/>
        <v>1.3083209000000124</v>
      </c>
      <c r="F12">
        <f t="shared" si="2"/>
        <v>1.7117035773768425</v>
      </c>
      <c r="I12">
        <v>116.27313839999999</v>
      </c>
      <c r="L12" t="s">
        <v>74</v>
      </c>
      <c r="M12">
        <v>84.460283709999999</v>
      </c>
      <c r="N12">
        <v>82.889872789999998</v>
      </c>
      <c r="O12">
        <f t="shared" si="3"/>
        <v>-1.5704109200000005</v>
      </c>
      <c r="P12">
        <f t="shared" si="4"/>
        <v>1.5704109200000005</v>
      </c>
      <c r="Q12">
        <f t="shared" si="5"/>
        <v>2.466190457655248</v>
      </c>
      <c r="T12">
        <v>84.460283709999999</v>
      </c>
      <c r="Z12" t="s">
        <v>74</v>
      </c>
      <c r="AA12">
        <v>130.9559892</v>
      </c>
      <c r="AB12">
        <v>135.80124169999999</v>
      </c>
      <c r="AC12">
        <f t="shared" si="6"/>
        <v>4.8452524999999866</v>
      </c>
      <c r="AD12">
        <f t="shared" si="7"/>
        <v>4.8452524999999866</v>
      </c>
      <c r="AE12">
        <f t="shared" si="8"/>
        <v>23.476471788756122</v>
      </c>
      <c r="AH12">
        <v>130.9559892</v>
      </c>
      <c r="AM12" t="s">
        <v>74</v>
      </c>
      <c r="AN12">
        <v>144.50904969999999</v>
      </c>
      <c r="AO12">
        <v>140.63056019999999</v>
      </c>
      <c r="AP12">
        <f t="shared" si="9"/>
        <v>-3.8784895000000006</v>
      </c>
      <c r="AQ12">
        <f t="shared" si="10"/>
        <v>3.8784895000000006</v>
      </c>
      <c r="AR12">
        <f t="shared" si="11"/>
        <v>15.042680801610254</v>
      </c>
      <c r="AU12">
        <v>144.50904969999999</v>
      </c>
    </row>
    <row r="13" spans="1:47" x14ac:dyDescent="0.45">
      <c r="A13" t="s">
        <v>75</v>
      </c>
      <c r="B13">
        <v>117.2999927</v>
      </c>
      <c r="C13">
        <v>119.10044360000001</v>
      </c>
      <c r="D13">
        <f t="shared" si="0"/>
        <v>1.8004509000000013</v>
      </c>
      <c r="E13">
        <f t="shared" si="1"/>
        <v>1.8004509000000013</v>
      </c>
      <c r="F13">
        <f t="shared" si="2"/>
        <v>3.2416234433108149</v>
      </c>
      <c r="I13">
        <v>117.2999927</v>
      </c>
      <c r="L13" t="s">
        <v>75</v>
      </c>
      <c r="M13">
        <v>84.348283100000003</v>
      </c>
      <c r="N13">
        <v>82.681644370000001</v>
      </c>
      <c r="O13">
        <f t="shared" si="3"/>
        <v>-1.6666387300000025</v>
      </c>
      <c r="P13">
        <f t="shared" si="4"/>
        <v>1.6666387300000025</v>
      </c>
      <c r="Q13">
        <f t="shared" si="5"/>
        <v>2.7776846563360214</v>
      </c>
      <c r="T13">
        <v>84.348283100000003</v>
      </c>
      <c r="Z13" t="s">
        <v>75</v>
      </c>
      <c r="AA13">
        <v>133.53523809999999</v>
      </c>
      <c r="AB13">
        <v>131.9047363</v>
      </c>
      <c r="AC13">
        <f t="shared" si="6"/>
        <v>-1.6305017999999905</v>
      </c>
      <c r="AD13">
        <f t="shared" si="7"/>
        <v>1.6305017999999905</v>
      </c>
      <c r="AE13">
        <f t="shared" si="8"/>
        <v>2.6585361198032089</v>
      </c>
      <c r="AH13">
        <v>133.53523809999999</v>
      </c>
      <c r="AM13" t="s">
        <v>75</v>
      </c>
      <c r="AN13">
        <v>139.37298609999999</v>
      </c>
      <c r="AO13">
        <v>142.75427529999999</v>
      </c>
      <c r="AP13">
        <f t="shared" si="9"/>
        <v>3.3812891999999977</v>
      </c>
      <c r="AQ13">
        <f t="shared" si="10"/>
        <v>3.3812891999999977</v>
      </c>
      <c r="AR13">
        <f t="shared" si="11"/>
        <v>11.433116654036624</v>
      </c>
      <c r="AU13">
        <v>139.37298609999999</v>
      </c>
    </row>
    <row r="14" spans="1:47" x14ac:dyDescent="0.45">
      <c r="A14" t="s">
        <v>76</v>
      </c>
      <c r="B14">
        <v>116.52079329999999</v>
      </c>
      <c r="C14">
        <v>118.08166129999999</v>
      </c>
      <c r="D14">
        <f t="shared" si="0"/>
        <v>1.5608679999999993</v>
      </c>
      <c r="E14">
        <f t="shared" si="1"/>
        <v>1.5608679999999993</v>
      </c>
      <c r="F14">
        <f t="shared" si="2"/>
        <v>2.4363089134239977</v>
      </c>
      <c r="I14">
        <v>116.52079329999999</v>
      </c>
      <c r="L14" t="s">
        <v>76</v>
      </c>
      <c r="M14">
        <v>84.090844270000005</v>
      </c>
      <c r="N14">
        <v>82.804044939999997</v>
      </c>
      <c r="O14">
        <f t="shared" si="3"/>
        <v>-1.286799330000008</v>
      </c>
      <c r="P14">
        <f t="shared" si="4"/>
        <v>1.286799330000008</v>
      </c>
      <c r="Q14">
        <f t="shared" si="5"/>
        <v>1.6558525156884696</v>
      </c>
      <c r="T14">
        <v>84.090844270000005</v>
      </c>
      <c r="Z14" t="s">
        <v>76</v>
      </c>
      <c r="AA14">
        <v>147.30211499999999</v>
      </c>
      <c r="AB14">
        <v>158.0168754</v>
      </c>
      <c r="AC14">
        <f t="shared" si="6"/>
        <v>10.714760400000017</v>
      </c>
      <c r="AD14">
        <f t="shared" si="7"/>
        <v>10.714760400000017</v>
      </c>
      <c r="AE14">
        <f t="shared" si="8"/>
        <v>114.80609042940853</v>
      </c>
      <c r="AH14">
        <v>147.30211499999999</v>
      </c>
      <c r="AM14" t="s">
        <v>76</v>
      </c>
      <c r="AN14">
        <v>127.08427260000001</v>
      </c>
      <c r="AO14">
        <v>119.17906670000001</v>
      </c>
      <c r="AP14">
        <f t="shared" si="9"/>
        <v>-7.9052058999999986</v>
      </c>
      <c r="AQ14">
        <f t="shared" si="10"/>
        <v>7.9052058999999986</v>
      </c>
      <c r="AR14">
        <f t="shared" si="11"/>
        <v>62.492280321394787</v>
      </c>
      <c r="AU14">
        <v>127.08427260000001</v>
      </c>
    </row>
    <row r="15" spans="1:47" x14ac:dyDescent="0.45">
      <c r="A15" t="s">
        <v>77</v>
      </c>
      <c r="B15">
        <v>115.90619220000001</v>
      </c>
      <c r="C15">
        <v>117.8863844</v>
      </c>
      <c r="D15">
        <f t="shared" si="0"/>
        <v>1.9801921999999905</v>
      </c>
      <c r="E15">
        <f t="shared" si="1"/>
        <v>1.9801921999999905</v>
      </c>
      <c r="F15">
        <f t="shared" si="2"/>
        <v>3.9211611489408025</v>
      </c>
      <c r="I15">
        <v>115.90619220000001</v>
      </c>
      <c r="L15" t="s">
        <v>77</v>
      </c>
      <c r="M15">
        <v>84.611467869999998</v>
      </c>
      <c r="N15">
        <v>82.922402989999995</v>
      </c>
      <c r="O15">
        <f t="shared" si="3"/>
        <v>-1.6890648800000037</v>
      </c>
      <c r="P15">
        <f t="shared" si="4"/>
        <v>1.6890648800000037</v>
      </c>
      <c r="Q15">
        <f t="shared" si="5"/>
        <v>2.8529401688494267</v>
      </c>
      <c r="T15">
        <v>84.611467869999998</v>
      </c>
      <c r="Z15" t="s">
        <v>77</v>
      </c>
      <c r="AA15">
        <v>133.53992880000001</v>
      </c>
      <c r="AB15">
        <v>140.99184149999999</v>
      </c>
      <c r="AC15">
        <f t="shared" si="6"/>
        <v>7.4519126999999798</v>
      </c>
      <c r="AD15">
        <f t="shared" si="7"/>
        <v>7.4519126999999798</v>
      </c>
      <c r="AE15">
        <f t="shared" si="8"/>
        <v>55.531002888420993</v>
      </c>
      <c r="AH15">
        <v>133.53992880000001</v>
      </c>
      <c r="AM15" t="s">
        <v>77</v>
      </c>
      <c r="AN15">
        <v>141.77016</v>
      </c>
      <c r="AO15">
        <v>132.14704119999999</v>
      </c>
      <c r="AP15">
        <f t="shared" si="9"/>
        <v>-9.6231188000000145</v>
      </c>
      <c r="AQ15">
        <f t="shared" si="10"/>
        <v>9.6231188000000145</v>
      </c>
      <c r="AR15">
        <f t="shared" si="11"/>
        <v>92.604415438913719</v>
      </c>
      <c r="AU15">
        <v>141.77016</v>
      </c>
    </row>
    <row r="16" spans="1:47" x14ac:dyDescent="0.45">
      <c r="A16" t="s">
        <v>111</v>
      </c>
      <c r="B16">
        <v>115.4784104</v>
      </c>
      <c r="C16">
        <v>117.54952369999999</v>
      </c>
      <c r="D16">
        <f t="shared" si="0"/>
        <v>2.0711132999999933</v>
      </c>
      <c r="E16">
        <f t="shared" si="1"/>
        <v>2.0711132999999933</v>
      </c>
      <c r="F16">
        <f t="shared" si="2"/>
        <v>4.2895103014368621</v>
      </c>
      <c r="I16">
        <v>115.4784104</v>
      </c>
      <c r="L16" t="s">
        <v>111</v>
      </c>
      <c r="M16">
        <v>80.20683124</v>
      </c>
      <c r="N16">
        <v>79.460185780000003</v>
      </c>
      <c r="O16">
        <f t="shared" si="3"/>
        <v>-0.74664545999999632</v>
      </c>
      <c r="P16">
        <f t="shared" si="4"/>
        <v>0.74664545999999632</v>
      </c>
      <c r="Q16">
        <f t="shared" si="5"/>
        <v>0.55747944293860607</v>
      </c>
      <c r="T16">
        <v>80.20683124</v>
      </c>
      <c r="Z16" t="s">
        <v>111</v>
      </c>
      <c r="AA16">
        <v>134.2226762</v>
      </c>
      <c r="AB16">
        <v>126.06595540000001</v>
      </c>
      <c r="AC16">
        <f t="shared" si="6"/>
        <v>-8.156720799999988</v>
      </c>
      <c r="AD16">
        <f t="shared" si="7"/>
        <v>8.156720799999988</v>
      </c>
      <c r="AE16">
        <f t="shared" si="8"/>
        <v>66.532094209152447</v>
      </c>
      <c r="AH16">
        <v>134.2226762</v>
      </c>
      <c r="AM16" t="s">
        <v>111</v>
      </c>
      <c r="AN16">
        <v>145.0859226</v>
      </c>
      <c r="AO16">
        <v>154.4146619</v>
      </c>
      <c r="AP16">
        <f t="shared" si="9"/>
        <v>9.3287392999999952</v>
      </c>
      <c r="AQ16">
        <f t="shared" si="10"/>
        <v>9.3287392999999952</v>
      </c>
      <c r="AR16">
        <f t="shared" si="11"/>
        <v>87.025376927364405</v>
      </c>
      <c r="AU16">
        <v>145.0859226</v>
      </c>
    </row>
    <row r="17" spans="1:47" x14ac:dyDescent="0.45">
      <c r="A17" t="s">
        <v>112</v>
      </c>
      <c r="B17">
        <v>115.35504299999999</v>
      </c>
      <c r="C17">
        <v>117.0308453</v>
      </c>
      <c r="D17">
        <f t="shared" si="0"/>
        <v>1.6758023000000009</v>
      </c>
      <c r="E17">
        <f t="shared" si="1"/>
        <v>1.6758023000000009</v>
      </c>
      <c r="F17">
        <f t="shared" si="2"/>
        <v>2.8083133486852927</v>
      </c>
      <c r="I17">
        <v>115.35504299999999</v>
      </c>
      <c r="L17" t="s">
        <v>112</v>
      </c>
      <c r="M17">
        <v>80.086143219999997</v>
      </c>
      <c r="N17">
        <v>79.122058899999999</v>
      </c>
      <c r="O17">
        <f t="shared" si="3"/>
        <v>-0.96408431999999777</v>
      </c>
      <c r="P17">
        <f t="shared" si="4"/>
        <v>0.96408431999999777</v>
      </c>
      <c r="Q17">
        <f t="shared" si="5"/>
        <v>0.92945857606985816</v>
      </c>
      <c r="T17">
        <v>80.086143219999997</v>
      </c>
      <c r="Z17" t="s">
        <v>112</v>
      </c>
      <c r="AA17">
        <v>142.26802240000001</v>
      </c>
      <c r="AB17">
        <v>140.55200199999999</v>
      </c>
      <c r="AC17">
        <f t="shared" si="6"/>
        <v>-1.7160204000000192</v>
      </c>
      <c r="AD17">
        <f t="shared" si="7"/>
        <v>1.7160204000000192</v>
      </c>
      <c r="AE17">
        <f t="shared" si="8"/>
        <v>2.9447260132162261</v>
      </c>
      <c r="AH17">
        <v>142.26802240000001</v>
      </c>
      <c r="AM17" t="s">
        <v>112</v>
      </c>
      <c r="AN17">
        <v>137.3919894</v>
      </c>
      <c r="AO17">
        <v>140.30798160000001</v>
      </c>
      <c r="AP17">
        <f t="shared" si="9"/>
        <v>2.9159922000000051</v>
      </c>
      <c r="AQ17">
        <f t="shared" si="10"/>
        <v>2.9159922000000051</v>
      </c>
      <c r="AR17">
        <f t="shared" si="11"/>
        <v>8.5030105104608698</v>
      </c>
      <c r="AU17">
        <v>137.3919894</v>
      </c>
    </row>
    <row r="18" spans="1:47" x14ac:dyDescent="0.45">
      <c r="D18">
        <f>AVERAGE(D2:D17)</f>
        <v>1.0009742249999984</v>
      </c>
      <c r="E18">
        <f>AVERAGE(E2:E17)</f>
        <v>1.8532216624999993</v>
      </c>
      <c r="F18">
        <f>SQRT(AVERAGE(F2:F17))</f>
        <v>2.27341341103687</v>
      </c>
      <c r="O18">
        <f>AVERAGE(O2:O17)</f>
        <v>-1.8702954718750027</v>
      </c>
      <c r="P18">
        <f>AVERAGE(P2:P17)</f>
        <v>1.8702954718750027</v>
      </c>
      <c r="Q18">
        <f>SQRT(AVERAGE(Q2:Q17))</f>
        <v>2.2161958897924086</v>
      </c>
      <c r="AD18">
        <f>AVERAGE(AD2:AD17)</f>
        <v>6.5871915562499979</v>
      </c>
      <c r="AE18">
        <f>SQRT(AVERAGE(AE2:AE17))</f>
        <v>9.0130998066917254</v>
      </c>
      <c r="AQ18">
        <f>AVERAGE(AQ2:AQ17)</f>
        <v>6.8267684499999977</v>
      </c>
      <c r="AR18">
        <f>SQRT(AVERAGE(AR2:AR17))</f>
        <v>9.5808026722261967</v>
      </c>
    </row>
    <row r="19" spans="1:47" x14ac:dyDescent="0.45">
      <c r="B19">
        <f>MIN(B2:B17)</f>
        <v>115.35504299999999</v>
      </c>
      <c r="C19">
        <f>MIN(C2:C17)</f>
        <v>117.0308453</v>
      </c>
      <c r="M19">
        <f>MIN(M2:M17)</f>
        <v>80.086143219999997</v>
      </c>
      <c r="N19">
        <f>MIN(N2:N17)</f>
        <v>79.122058899999999</v>
      </c>
      <c r="AA19">
        <f>MIN(AA2:AA17)</f>
        <v>125.41894739999999</v>
      </c>
      <c r="AB19">
        <f>MIN(AB2:AB17)</f>
        <v>109.6614016</v>
      </c>
      <c r="AN19">
        <f>MIN(AN2:AN17)</f>
        <v>104.549626</v>
      </c>
      <c r="AO19">
        <f>MIN(AO2:AO17)</f>
        <v>112.4689686</v>
      </c>
    </row>
    <row r="20" spans="1:47" x14ac:dyDescent="0.45">
      <c r="B20">
        <f>MAX(B2:B17)</f>
        <v>127.6767846</v>
      </c>
      <c r="C20">
        <f>MAX(C2:C17)</f>
        <v>120.8588051</v>
      </c>
      <c r="M20">
        <f>MAX(M2:M17)</f>
        <v>88.719491950000005</v>
      </c>
      <c r="N20">
        <f>MAX(N2:N17)</f>
        <v>83.001458929999998</v>
      </c>
      <c r="AA20">
        <f>MAX(AA2:AA17)</f>
        <v>166.5459267</v>
      </c>
      <c r="AB20">
        <f>MAX(AB2:AB17)</f>
        <v>158.3128782</v>
      </c>
      <c r="AN20">
        <f>MAX(AN2:AN17)</f>
        <v>149.6626646</v>
      </c>
      <c r="AO20">
        <f>MAX(AO2:AO17)</f>
        <v>167.00772269999999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6B386-7D58-4DF0-8099-6E41FE81D8C8}">
  <dimension ref="A1:AU20"/>
  <sheetViews>
    <sheetView topLeftCell="Z1" workbookViewId="0">
      <selection activeCell="Z1" sqref="A1:XFD1"/>
    </sheetView>
  </sheetViews>
  <sheetFormatPr defaultRowHeight="14.25" x14ac:dyDescent="0.45"/>
  <sheetData>
    <row r="1" spans="1:47" s="2" customFormat="1" x14ac:dyDescent="0.45">
      <c r="A1" s="2" t="s">
        <v>6</v>
      </c>
      <c r="B1" s="2" t="s">
        <v>150</v>
      </c>
      <c r="C1" s="2" t="s">
        <v>152</v>
      </c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  <c r="I1" s="2" t="s">
        <v>5</v>
      </c>
      <c r="L1" s="2" t="s">
        <v>6</v>
      </c>
      <c r="M1" s="2" t="s">
        <v>165</v>
      </c>
      <c r="N1" s="2" t="s">
        <v>166</v>
      </c>
      <c r="O1" s="2" t="s">
        <v>0</v>
      </c>
      <c r="P1" s="2" t="s">
        <v>1</v>
      </c>
      <c r="Q1" s="2" t="s">
        <v>2</v>
      </c>
      <c r="R1" s="2" t="s">
        <v>3</v>
      </c>
      <c r="S1" s="2" t="s">
        <v>4</v>
      </c>
      <c r="T1" s="2" t="s">
        <v>5</v>
      </c>
      <c r="Z1" s="2" t="s">
        <v>6</v>
      </c>
      <c r="AA1" s="2" t="s">
        <v>167</v>
      </c>
      <c r="AB1" s="2" t="s">
        <v>168</v>
      </c>
      <c r="AC1" s="2" t="s">
        <v>0</v>
      </c>
      <c r="AD1" s="2" t="s">
        <v>1</v>
      </c>
      <c r="AE1" s="2" t="s">
        <v>2</v>
      </c>
      <c r="AF1" s="2" t="s">
        <v>3</v>
      </c>
      <c r="AG1" s="2" t="s">
        <v>4</v>
      </c>
      <c r="AH1" s="2" t="s">
        <v>5</v>
      </c>
      <c r="AM1" s="2" t="s">
        <v>6</v>
      </c>
      <c r="AN1" s="2" t="s">
        <v>169</v>
      </c>
      <c r="AO1" s="2" t="s">
        <v>170</v>
      </c>
      <c r="AP1" s="2" t="s">
        <v>0</v>
      </c>
      <c r="AQ1" s="2" t="s">
        <v>1</v>
      </c>
      <c r="AR1" s="2" t="s">
        <v>2</v>
      </c>
      <c r="AS1" s="2" t="s">
        <v>3</v>
      </c>
      <c r="AT1" s="2" t="s">
        <v>4</v>
      </c>
      <c r="AU1" s="2" t="s">
        <v>5</v>
      </c>
    </row>
    <row r="2" spans="1:47" x14ac:dyDescent="0.45">
      <c r="A2" t="s">
        <v>36</v>
      </c>
      <c r="B2">
        <v>117.7519717</v>
      </c>
      <c r="C2">
        <v>118.3646542</v>
      </c>
      <c r="D2">
        <f t="shared" ref="D2:D17" si="0">(C2-B2)</f>
        <v>0.61268250000000535</v>
      </c>
      <c r="E2">
        <f>ABS(D2)</f>
        <v>0.61268250000000535</v>
      </c>
      <c r="F2">
        <f>E2^2</f>
        <v>0.37537984580625655</v>
      </c>
      <c r="G2">
        <f>CORREL(B2:B17, C2:C17)</f>
        <v>0.54964025546583672</v>
      </c>
      <c r="H2">
        <f>G2^2</f>
        <v>0.30210441042855024</v>
      </c>
      <c r="I2">
        <v>117.7519717</v>
      </c>
      <c r="L2" t="s">
        <v>36</v>
      </c>
      <c r="M2">
        <v>85.044258429999999</v>
      </c>
      <c r="N2">
        <v>84.315894049999997</v>
      </c>
      <c r="O2">
        <f>(N2-M2)</f>
        <v>-0.72836438000000214</v>
      </c>
      <c r="P2">
        <f>ABS(O2)</f>
        <v>0.72836438000000214</v>
      </c>
      <c r="Q2">
        <f>P2^2</f>
        <v>0.53051467005278752</v>
      </c>
      <c r="R2">
        <f>CORREL(M2:M17, N2:N17)</f>
        <v>0.93014235431343084</v>
      </c>
      <c r="S2">
        <f>R2^2</f>
        <v>0.86516479928773193</v>
      </c>
      <c r="T2">
        <v>85.044258429999999</v>
      </c>
      <c r="Z2" t="s">
        <v>36</v>
      </c>
      <c r="AA2">
        <v>121.2004554</v>
      </c>
      <c r="AB2">
        <v>113.9491232</v>
      </c>
      <c r="AC2">
        <f>(AB2-AA2)</f>
        <v>-7.2513321999999931</v>
      </c>
      <c r="AD2">
        <f>ABS(AC2)</f>
        <v>7.2513321999999931</v>
      </c>
      <c r="AE2">
        <f>AD2^2</f>
        <v>52.58181867475674</v>
      </c>
      <c r="AF2">
        <f>CORREL(AA2:AA17, AB2:AB17)</f>
        <v>0.77884186741971129</v>
      </c>
      <c r="AG2">
        <f>AF2^2</f>
        <v>0.60659465444582317</v>
      </c>
      <c r="AH2">
        <v>121.2004554</v>
      </c>
      <c r="AM2" t="s">
        <v>36</v>
      </c>
      <c r="AN2">
        <v>153.2023786</v>
      </c>
      <c r="AO2">
        <v>159.64336130000001</v>
      </c>
      <c r="AP2">
        <f>(AO2-AN2)</f>
        <v>6.4409827000000064</v>
      </c>
      <c r="AQ2">
        <f>ABS(AP2)</f>
        <v>6.4409827000000064</v>
      </c>
      <c r="AR2">
        <f>AQ2^2</f>
        <v>41.486258141699373</v>
      </c>
      <c r="AS2">
        <f>CORREL(AN2:AN17, AO2:AO17)</f>
        <v>0.80825266594246958</v>
      </c>
      <c r="AT2">
        <f>AS2^2</f>
        <v>0.65327237200310928</v>
      </c>
      <c r="AU2">
        <v>153.2023786</v>
      </c>
    </row>
    <row r="3" spans="1:47" x14ac:dyDescent="0.45">
      <c r="A3" t="s">
        <v>37</v>
      </c>
      <c r="B3">
        <v>119.0737026</v>
      </c>
      <c r="C3">
        <v>120.1669679</v>
      </c>
      <c r="D3">
        <f t="shared" si="0"/>
        <v>1.0932652999999988</v>
      </c>
      <c r="E3">
        <f t="shared" ref="E3:E17" si="1">ABS(D3)</f>
        <v>1.0932652999999988</v>
      </c>
      <c r="F3">
        <f t="shared" ref="F3:F17" si="2">E3^2</f>
        <v>1.1952290161840873</v>
      </c>
      <c r="I3">
        <v>119.0737026</v>
      </c>
      <c r="L3" t="s">
        <v>37</v>
      </c>
      <c r="M3">
        <v>85.370693079999995</v>
      </c>
      <c r="N3">
        <v>85.030792300000002</v>
      </c>
      <c r="O3">
        <f t="shared" ref="O3:O17" si="3">(N3-M3)</f>
        <v>-0.33990077999999357</v>
      </c>
      <c r="P3">
        <f t="shared" ref="P3:P17" si="4">ABS(O3)</f>
        <v>0.33990077999999357</v>
      </c>
      <c r="Q3">
        <f t="shared" ref="Q3:Q17" si="5">P3^2</f>
        <v>0.11553254024460403</v>
      </c>
      <c r="T3">
        <v>85.370693079999995</v>
      </c>
      <c r="Z3" t="s">
        <v>37</v>
      </c>
      <c r="AA3">
        <v>134.97255430000001</v>
      </c>
      <c r="AB3">
        <v>132.88440220000001</v>
      </c>
      <c r="AC3">
        <f t="shared" ref="AC3:AC17" si="6">(AB3-AA3)</f>
        <v>-2.0881521000000021</v>
      </c>
      <c r="AD3">
        <f t="shared" ref="AD3:AD17" si="7">ABS(AC3)</f>
        <v>2.0881521000000021</v>
      </c>
      <c r="AE3">
        <f t="shared" ref="AE3:AE17" si="8">AD3^2</f>
        <v>4.3603791927344187</v>
      </c>
      <c r="AH3">
        <v>134.97255430000001</v>
      </c>
      <c r="AM3" t="s">
        <v>37</v>
      </c>
      <c r="AN3">
        <v>139.5846027</v>
      </c>
      <c r="AO3">
        <v>141.8810574</v>
      </c>
      <c r="AP3">
        <f t="shared" ref="AP3:AP17" si="9">(AO3-AN3)</f>
        <v>2.2964546999999982</v>
      </c>
      <c r="AQ3">
        <f t="shared" ref="AQ3:AQ17" si="10">ABS(AP3)</f>
        <v>2.2964546999999982</v>
      </c>
      <c r="AR3">
        <f t="shared" ref="AR3:AR17" si="11">AQ3^2</f>
        <v>5.2737041891520819</v>
      </c>
      <c r="AU3">
        <v>139.5846027</v>
      </c>
    </row>
    <row r="4" spans="1:47" x14ac:dyDescent="0.45">
      <c r="A4" t="s">
        <v>38</v>
      </c>
      <c r="B4">
        <v>117.0203386</v>
      </c>
      <c r="C4">
        <v>117.1232371</v>
      </c>
      <c r="D4">
        <f t="shared" si="0"/>
        <v>0.1028984999999949</v>
      </c>
      <c r="E4">
        <f t="shared" si="1"/>
        <v>0.1028984999999949</v>
      </c>
      <c r="F4">
        <f t="shared" si="2"/>
        <v>1.0588101302248951E-2</v>
      </c>
      <c r="I4">
        <v>117.0203386</v>
      </c>
      <c r="L4" t="s">
        <v>38</v>
      </c>
      <c r="M4">
        <v>84.327758939999995</v>
      </c>
      <c r="N4">
        <v>83.882705430000001</v>
      </c>
      <c r="O4">
        <f t="shared" si="3"/>
        <v>-0.44505350999999393</v>
      </c>
      <c r="P4">
        <f t="shared" si="4"/>
        <v>0.44505350999999393</v>
      </c>
      <c r="Q4">
        <f t="shared" si="5"/>
        <v>0.19807262676331469</v>
      </c>
      <c r="T4">
        <v>84.327758939999995</v>
      </c>
      <c r="Z4" t="s">
        <v>38</v>
      </c>
      <c r="AA4">
        <v>126.22751479999999</v>
      </c>
      <c r="AB4">
        <v>132.81226599999999</v>
      </c>
      <c r="AC4">
        <f t="shared" si="6"/>
        <v>6.5847511999999995</v>
      </c>
      <c r="AD4">
        <f t="shared" si="7"/>
        <v>6.5847511999999995</v>
      </c>
      <c r="AE4">
        <f t="shared" si="8"/>
        <v>43.358948365901433</v>
      </c>
      <c r="AH4">
        <v>126.22751479999999</v>
      </c>
      <c r="AM4" t="s">
        <v>38</v>
      </c>
      <c r="AN4">
        <v>149.07712140000001</v>
      </c>
      <c r="AO4">
        <v>143.16980380000001</v>
      </c>
      <c r="AP4">
        <f t="shared" si="9"/>
        <v>-5.9073175999999989</v>
      </c>
      <c r="AQ4">
        <f t="shared" si="10"/>
        <v>5.9073175999999989</v>
      </c>
      <c r="AR4">
        <f t="shared" si="11"/>
        <v>34.896401227269749</v>
      </c>
      <c r="AU4">
        <v>149.07712140000001</v>
      </c>
    </row>
    <row r="5" spans="1:47" x14ac:dyDescent="0.45">
      <c r="A5" t="s">
        <v>39</v>
      </c>
      <c r="B5">
        <v>117.55285670000001</v>
      </c>
      <c r="C5">
        <v>117.40173900000001</v>
      </c>
      <c r="D5">
        <f t="shared" si="0"/>
        <v>-0.15111770000000035</v>
      </c>
      <c r="E5">
        <f t="shared" si="1"/>
        <v>0.15111770000000035</v>
      </c>
      <c r="F5">
        <f t="shared" si="2"/>
        <v>2.2836559253290107E-2</v>
      </c>
      <c r="I5">
        <v>117.55285670000001</v>
      </c>
      <c r="L5" t="s">
        <v>39</v>
      </c>
      <c r="M5">
        <v>85.14903151</v>
      </c>
      <c r="N5">
        <v>84.253102999999996</v>
      </c>
      <c r="O5">
        <f t="shared" si="3"/>
        <v>-0.89592851000000451</v>
      </c>
      <c r="P5">
        <f t="shared" si="4"/>
        <v>0.89592851000000451</v>
      </c>
      <c r="Q5">
        <f t="shared" si="5"/>
        <v>0.80268789503082816</v>
      </c>
      <c r="T5">
        <v>85.14903151</v>
      </c>
      <c r="Z5" t="s">
        <v>39</v>
      </c>
      <c r="AA5">
        <v>151.3036439</v>
      </c>
      <c r="AB5">
        <v>134.2930854</v>
      </c>
      <c r="AC5">
        <f t="shared" si="6"/>
        <v>-17.010558500000002</v>
      </c>
      <c r="AD5">
        <f t="shared" si="7"/>
        <v>17.010558500000002</v>
      </c>
      <c r="AE5">
        <f t="shared" si="8"/>
        <v>289.35910048192233</v>
      </c>
      <c r="AH5">
        <v>151.3036439</v>
      </c>
      <c r="AM5" t="s">
        <v>39</v>
      </c>
      <c r="AN5">
        <v>123.5455255</v>
      </c>
      <c r="AO5">
        <v>141.41591550000001</v>
      </c>
      <c r="AP5">
        <f t="shared" si="9"/>
        <v>17.870390000000015</v>
      </c>
      <c r="AQ5">
        <f t="shared" si="10"/>
        <v>17.870390000000015</v>
      </c>
      <c r="AR5">
        <f t="shared" si="11"/>
        <v>319.35083875210051</v>
      </c>
      <c r="AU5">
        <v>123.5455255</v>
      </c>
    </row>
    <row r="6" spans="1:47" x14ac:dyDescent="0.45">
      <c r="A6" t="s">
        <v>40</v>
      </c>
      <c r="B6">
        <v>119.0532348</v>
      </c>
      <c r="C6">
        <v>118.8006431</v>
      </c>
      <c r="D6">
        <f t="shared" si="0"/>
        <v>-0.25259169999999642</v>
      </c>
      <c r="E6">
        <f t="shared" si="1"/>
        <v>0.25259169999999642</v>
      </c>
      <c r="F6">
        <f t="shared" si="2"/>
        <v>6.3802566908888192E-2</v>
      </c>
      <c r="I6">
        <v>119.0532348</v>
      </c>
      <c r="L6" t="s">
        <v>40</v>
      </c>
      <c r="M6">
        <v>92.023344660000006</v>
      </c>
      <c r="N6">
        <v>91.749671739999997</v>
      </c>
      <c r="O6">
        <f t="shared" si="3"/>
        <v>-0.27367292000000987</v>
      </c>
      <c r="P6">
        <f t="shared" si="4"/>
        <v>0.27367292000000987</v>
      </c>
      <c r="Q6">
        <f t="shared" si="5"/>
        <v>7.4896867141331799E-2</v>
      </c>
      <c r="T6">
        <v>92.023344660000006</v>
      </c>
      <c r="Z6" t="s">
        <v>40</v>
      </c>
      <c r="AA6">
        <v>137.4693001</v>
      </c>
      <c r="AB6">
        <v>134.4658259</v>
      </c>
      <c r="AC6">
        <f t="shared" si="6"/>
        <v>-3.0034741999999994</v>
      </c>
      <c r="AD6">
        <f t="shared" si="7"/>
        <v>3.0034741999999994</v>
      </c>
      <c r="AE6">
        <f t="shared" si="8"/>
        <v>9.0208572700656369</v>
      </c>
      <c r="AH6">
        <v>137.4693001</v>
      </c>
      <c r="AM6" t="s">
        <v>40</v>
      </c>
      <c r="AN6">
        <v>127.9290237</v>
      </c>
      <c r="AO6">
        <v>130.31081270000001</v>
      </c>
      <c r="AP6">
        <f t="shared" si="9"/>
        <v>2.3817890000000119</v>
      </c>
      <c r="AQ6">
        <f t="shared" si="10"/>
        <v>2.3817890000000119</v>
      </c>
      <c r="AR6">
        <f t="shared" si="11"/>
        <v>5.6729188405210564</v>
      </c>
      <c r="AU6">
        <v>127.9290237</v>
      </c>
    </row>
    <row r="7" spans="1:47" x14ac:dyDescent="0.45">
      <c r="A7" t="s">
        <v>41</v>
      </c>
      <c r="B7">
        <v>117.86492079999999</v>
      </c>
      <c r="C7">
        <v>117.542317</v>
      </c>
      <c r="D7">
        <f t="shared" si="0"/>
        <v>-0.322603799999996</v>
      </c>
      <c r="E7">
        <f t="shared" si="1"/>
        <v>0.322603799999996</v>
      </c>
      <c r="F7">
        <f t="shared" si="2"/>
        <v>0.10407321177443742</v>
      </c>
      <c r="I7">
        <v>117.86492079999999</v>
      </c>
      <c r="L7" t="s">
        <v>41</v>
      </c>
      <c r="M7">
        <v>82.87431334</v>
      </c>
      <c r="N7">
        <v>84.242707159999995</v>
      </c>
      <c r="O7">
        <f t="shared" si="3"/>
        <v>1.3683938199999943</v>
      </c>
      <c r="P7">
        <f t="shared" si="4"/>
        <v>1.3683938199999943</v>
      </c>
      <c r="Q7">
        <f t="shared" si="5"/>
        <v>1.8725016466141768</v>
      </c>
      <c r="T7">
        <v>82.87431334</v>
      </c>
      <c r="Z7" t="s">
        <v>41</v>
      </c>
      <c r="AA7">
        <v>139.6384501</v>
      </c>
      <c r="AB7">
        <v>149.17985110000001</v>
      </c>
      <c r="AC7">
        <f t="shared" si="6"/>
        <v>9.5414010000000076</v>
      </c>
      <c r="AD7">
        <f t="shared" si="7"/>
        <v>9.5414010000000076</v>
      </c>
      <c r="AE7">
        <f t="shared" si="8"/>
        <v>91.038333042801142</v>
      </c>
      <c r="AH7">
        <v>139.6384501</v>
      </c>
      <c r="AM7" t="s">
        <v>41</v>
      </c>
      <c r="AN7">
        <v>130.2347551</v>
      </c>
      <c r="AO7">
        <v>124.426672</v>
      </c>
      <c r="AP7">
        <f t="shared" si="9"/>
        <v>-5.8080831000000046</v>
      </c>
      <c r="AQ7">
        <f t="shared" si="10"/>
        <v>5.8080831000000046</v>
      </c>
      <c r="AR7">
        <f t="shared" si="11"/>
        <v>33.733829296505661</v>
      </c>
      <c r="AU7">
        <v>130.2347551</v>
      </c>
    </row>
    <row r="8" spans="1:47" x14ac:dyDescent="0.45">
      <c r="A8" t="s">
        <v>42</v>
      </c>
      <c r="B8">
        <v>117.2112039</v>
      </c>
      <c r="C8">
        <v>118.0937077</v>
      </c>
      <c r="D8">
        <f t="shared" si="0"/>
        <v>0.88250379999999495</v>
      </c>
      <c r="E8">
        <f t="shared" si="1"/>
        <v>0.88250379999999495</v>
      </c>
      <c r="F8">
        <f t="shared" si="2"/>
        <v>0.7788129570144311</v>
      </c>
      <c r="I8">
        <v>117.2112039</v>
      </c>
      <c r="L8" t="s">
        <v>42</v>
      </c>
      <c r="M8">
        <v>85.01360425</v>
      </c>
      <c r="N8">
        <v>85.188671909999997</v>
      </c>
      <c r="O8">
        <f t="shared" si="3"/>
        <v>0.17506765999999629</v>
      </c>
      <c r="P8">
        <f t="shared" si="4"/>
        <v>0.17506765999999629</v>
      </c>
      <c r="Q8">
        <f t="shared" si="5"/>
        <v>3.0648685577874302E-2</v>
      </c>
      <c r="T8">
        <v>85.01360425</v>
      </c>
      <c r="Z8" t="s">
        <v>42</v>
      </c>
      <c r="AA8">
        <v>140.0695059</v>
      </c>
      <c r="AB8">
        <v>135.97963050000001</v>
      </c>
      <c r="AC8">
        <f t="shared" si="6"/>
        <v>-4.0898753999999826</v>
      </c>
      <c r="AD8">
        <f t="shared" si="7"/>
        <v>4.0898753999999826</v>
      </c>
      <c r="AE8">
        <f t="shared" si="8"/>
        <v>16.727080787525018</v>
      </c>
      <c r="AH8">
        <v>140.0695059</v>
      </c>
      <c r="AM8" t="s">
        <v>42</v>
      </c>
      <c r="AN8">
        <v>134.90489299999999</v>
      </c>
      <c r="AO8">
        <v>138.8287569</v>
      </c>
      <c r="AP8">
        <f t="shared" si="9"/>
        <v>3.9238639000000148</v>
      </c>
      <c r="AQ8">
        <f t="shared" si="10"/>
        <v>3.9238639000000148</v>
      </c>
      <c r="AR8">
        <f t="shared" si="11"/>
        <v>15.396707905723327</v>
      </c>
      <c r="AU8">
        <v>134.90489299999999</v>
      </c>
    </row>
    <row r="9" spans="1:47" x14ac:dyDescent="0.45">
      <c r="A9" t="s">
        <v>43</v>
      </c>
      <c r="B9">
        <v>117.0443004</v>
      </c>
      <c r="C9">
        <v>117.9338958</v>
      </c>
      <c r="D9">
        <f t="shared" si="0"/>
        <v>0.88959540000000459</v>
      </c>
      <c r="E9">
        <f t="shared" si="1"/>
        <v>0.88959540000000459</v>
      </c>
      <c r="F9">
        <f t="shared" si="2"/>
        <v>0.79137997570116814</v>
      </c>
      <c r="I9">
        <v>117.0443004</v>
      </c>
      <c r="L9" t="s">
        <v>43</v>
      </c>
      <c r="M9">
        <v>83.694305810000003</v>
      </c>
      <c r="N9">
        <v>83.536115890000005</v>
      </c>
      <c r="O9">
        <f t="shared" si="3"/>
        <v>-0.1581899199999981</v>
      </c>
      <c r="P9">
        <f t="shared" si="4"/>
        <v>0.1581899199999981</v>
      </c>
      <c r="Q9">
        <f t="shared" si="5"/>
        <v>2.5024050789605796E-2</v>
      </c>
      <c r="T9">
        <v>83.694305810000003</v>
      </c>
      <c r="Z9" t="s">
        <v>43</v>
      </c>
      <c r="AA9">
        <v>134.62152570000001</v>
      </c>
      <c r="AB9">
        <v>129.1053282</v>
      </c>
      <c r="AC9">
        <f t="shared" si="6"/>
        <v>-5.5161975000000041</v>
      </c>
      <c r="AD9">
        <f t="shared" si="7"/>
        <v>5.5161975000000041</v>
      </c>
      <c r="AE9">
        <f t="shared" si="8"/>
        <v>30.428434859006295</v>
      </c>
      <c r="AH9">
        <v>134.62152570000001</v>
      </c>
      <c r="AM9" t="s">
        <v>43</v>
      </c>
      <c r="AN9">
        <v>140.84900010000001</v>
      </c>
      <c r="AO9">
        <v>146.72692480000001</v>
      </c>
      <c r="AP9">
        <f t="shared" si="9"/>
        <v>5.8779246999999941</v>
      </c>
      <c r="AQ9">
        <f t="shared" si="10"/>
        <v>5.8779246999999941</v>
      </c>
      <c r="AR9">
        <f t="shared" si="11"/>
        <v>34.54999877887002</v>
      </c>
      <c r="AU9">
        <v>140.84900010000001</v>
      </c>
    </row>
    <row r="10" spans="1:47" x14ac:dyDescent="0.45">
      <c r="A10" t="s">
        <v>90</v>
      </c>
      <c r="B10">
        <v>120.0409125</v>
      </c>
      <c r="C10">
        <v>119.16460720000001</v>
      </c>
      <c r="D10">
        <f t="shared" si="0"/>
        <v>-0.87630529999999851</v>
      </c>
      <c r="E10">
        <f t="shared" si="1"/>
        <v>0.87630529999999851</v>
      </c>
      <c r="F10">
        <f t="shared" si="2"/>
        <v>0.76791097880808734</v>
      </c>
      <c r="I10">
        <v>120.0409125</v>
      </c>
      <c r="L10" t="s">
        <v>90</v>
      </c>
      <c r="M10">
        <v>88.952783920000002</v>
      </c>
      <c r="N10">
        <v>87.176174189999998</v>
      </c>
      <c r="O10">
        <f t="shared" si="3"/>
        <v>-1.7766097300000041</v>
      </c>
      <c r="P10">
        <f t="shared" si="4"/>
        <v>1.7766097300000041</v>
      </c>
      <c r="Q10">
        <f t="shared" si="5"/>
        <v>3.1563421327306873</v>
      </c>
      <c r="T10">
        <v>88.952783920000002</v>
      </c>
      <c r="Z10" t="s">
        <v>90</v>
      </c>
      <c r="AA10">
        <v>153.9050038</v>
      </c>
      <c r="AB10">
        <v>145.95119560000001</v>
      </c>
      <c r="AC10">
        <f t="shared" si="6"/>
        <v>-7.9538081999999974</v>
      </c>
      <c r="AD10">
        <f t="shared" si="7"/>
        <v>7.9538081999999974</v>
      </c>
      <c r="AE10">
        <f t="shared" si="8"/>
        <v>63.263064882387198</v>
      </c>
      <c r="AH10">
        <v>153.9050038</v>
      </c>
      <c r="AM10" t="s">
        <v>90</v>
      </c>
      <c r="AN10">
        <v>111.7451444</v>
      </c>
      <c r="AO10">
        <v>120.7098756</v>
      </c>
      <c r="AP10">
        <f t="shared" si="9"/>
        <v>8.9647312000000028</v>
      </c>
      <c r="AQ10">
        <f t="shared" si="10"/>
        <v>8.9647312000000028</v>
      </c>
      <c r="AR10">
        <f t="shared" si="11"/>
        <v>80.366405488253491</v>
      </c>
      <c r="AU10">
        <v>111.7451444</v>
      </c>
    </row>
    <row r="11" spans="1:47" x14ac:dyDescent="0.45">
      <c r="A11" t="s">
        <v>91</v>
      </c>
      <c r="B11">
        <v>118.627489</v>
      </c>
      <c r="C11">
        <v>118.2839493</v>
      </c>
      <c r="D11">
        <f t="shared" si="0"/>
        <v>-0.34353969999999379</v>
      </c>
      <c r="E11">
        <f t="shared" si="1"/>
        <v>0.34353969999999379</v>
      </c>
      <c r="F11">
        <f t="shared" si="2"/>
        <v>0.11801952547608573</v>
      </c>
      <c r="I11">
        <v>118.627489</v>
      </c>
      <c r="L11" t="s">
        <v>91</v>
      </c>
      <c r="M11">
        <v>84.96101754</v>
      </c>
      <c r="N11">
        <v>83.417228969999996</v>
      </c>
      <c r="O11">
        <f t="shared" si="3"/>
        <v>-1.5437885700000038</v>
      </c>
      <c r="P11">
        <f t="shared" si="4"/>
        <v>1.5437885700000038</v>
      </c>
      <c r="Q11">
        <f t="shared" si="5"/>
        <v>2.3832831488626565</v>
      </c>
      <c r="T11">
        <v>84.96101754</v>
      </c>
      <c r="Z11" t="s">
        <v>91</v>
      </c>
      <c r="AA11">
        <v>125.8983829</v>
      </c>
      <c r="AB11">
        <v>119.0862504</v>
      </c>
      <c r="AC11">
        <f t="shared" si="6"/>
        <v>-6.8121325000000041</v>
      </c>
      <c r="AD11">
        <f t="shared" si="7"/>
        <v>6.8121325000000041</v>
      </c>
      <c r="AE11">
        <f t="shared" si="8"/>
        <v>46.405149197556305</v>
      </c>
      <c r="AH11">
        <v>125.8983829</v>
      </c>
      <c r="AM11" t="s">
        <v>91</v>
      </c>
      <c r="AN11">
        <v>143.9075929</v>
      </c>
      <c r="AO11">
        <v>156.7786328</v>
      </c>
      <c r="AP11">
        <f t="shared" si="9"/>
        <v>12.8710399</v>
      </c>
      <c r="AQ11">
        <f t="shared" si="10"/>
        <v>12.8710399</v>
      </c>
      <c r="AR11">
        <f t="shared" si="11"/>
        <v>165.663668107392</v>
      </c>
      <c r="AU11">
        <v>143.9075929</v>
      </c>
    </row>
    <row r="12" spans="1:47" x14ac:dyDescent="0.45">
      <c r="A12" t="s">
        <v>92</v>
      </c>
      <c r="B12">
        <v>116.76676519999999</v>
      </c>
      <c r="C12">
        <v>118.0912726</v>
      </c>
      <c r="D12">
        <f t="shared" si="0"/>
        <v>1.3245074000000017</v>
      </c>
      <c r="E12">
        <f t="shared" si="1"/>
        <v>1.3245074000000017</v>
      </c>
      <c r="F12">
        <f t="shared" si="2"/>
        <v>1.7543198526547643</v>
      </c>
      <c r="I12">
        <v>116.76676519999999</v>
      </c>
      <c r="L12" t="s">
        <v>92</v>
      </c>
      <c r="M12">
        <v>84.753510329999997</v>
      </c>
      <c r="N12">
        <v>85.298437699999994</v>
      </c>
      <c r="O12">
        <f t="shared" si="3"/>
        <v>0.54492736999999636</v>
      </c>
      <c r="P12">
        <f t="shared" si="4"/>
        <v>0.54492736999999636</v>
      </c>
      <c r="Q12">
        <f t="shared" si="5"/>
        <v>0.29694583857511292</v>
      </c>
      <c r="T12">
        <v>84.753510329999997</v>
      </c>
      <c r="Z12" t="s">
        <v>92</v>
      </c>
      <c r="AA12">
        <v>128.94315539999999</v>
      </c>
      <c r="AB12">
        <v>124.6177173</v>
      </c>
      <c r="AC12">
        <f t="shared" si="6"/>
        <v>-4.3254380999999995</v>
      </c>
      <c r="AD12">
        <f t="shared" si="7"/>
        <v>4.3254380999999995</v>
      </c>
      <c r="AE12">
        <f t="shared" si="8"/>
        <v>18.709414756931604</v>
      </c>
      <c r="AH12">
        <v>128.94315539999999</v>
      </c>
      <c r="AM12" t="s">
        <v>92</v>
      </c>
      <c r="AN12">
        <v>145.63021230000001</v>
      </c>
      <c r="AO12">
        <v>150.0304639</v>
      </c>
      <c r="AP12">
        <f t="shared" si="9"/>
        <v>4.40025159999999</v>
      </c>
      <c r="AQ12">
        <f t="shared" si="10"/>
        <v>4.40025159999999</v>
      </c>
      <c r="AR12">
        <f t="shared" si="11"/>
        <v>19.362214143302474</v>
      </c>
      <c r="AU12">
        <v>145.63021230000001</v>
      </c>
    </row>
    <row r="13" spans="1:47" x14ac:dyDescent="0.45">
      <c r="A13" t="s">
        <v>93</v>
      </c>
      <c r="B13">
        <v>116.81171929999999</v>
      </c>
      <c r="C13">
        <v>117.9876407</v>
      </c>
      <c r="D13">
        <f t="shared" si="0"/>
        <v>1.1759214000000071</v>
      </c>
      <c r="E13">
        <f t="shared" si="1"/>
        <v>1.1759214000000071</v>
      </c>
      <c r="F13">
        <f t="shared" si="2"/>
        <v>1.3827911389779768</v>
      </c>
      <c r="I13">
        <v>116.81171929999999</v>
      </c>
      <c r="L13" t="s">
        <v>93</v>
      </c>
      <c r="M13">
        <v>85.39669001</v>
      </c>
      <c r="N13">
        <v>85.836145849999994</v>
      </c>
      <c r="O13">
        <f t="shared" si="3"/>
        <v>0.43945583999999371</v>
      </c>
      <c r="P13">
        <f t="shared" si="4"/>
        <v>0.43945583999999371</v>
      </c>
      <c r="Q13">
        <f t="shared" si="5"/>
        <v>0.19312143531010006</v>
      </c>
      <c r="T13">
        <v>85.39669001</v>
      </c>
      <c r="Z13" t="s">
        <v>93</v>
      </c>
      <c r="AA13">
        <v>144.74006270000001</v>
      </c>
      <c r="AB13">
        <v>147.2682811</v>
      </c>
      <c r="AC13">
        <f t="shared" si="6"/>
        <v>2.5282183999999859</v>
      </c>
      <c r="AD13">
        <f t="shared" si="7"/>
        <v>2.5282183999999859</v>
      </c>
      <c r="AE13">
        <f t="shared" si="8"/>
        <v>6.3918882780984889</v>
      </c>
      <c r="AH13">
        <v>144.74006270000001</v>
      </c>
      <c r="AM13" t="s">
        <v>93</v>
      </c>
      <c r="AN13">
        <v>129.4943715</v>
      </c>
      <c r="AO13">
        <v>126.84978409999999</v>
      </c>
      <c r="AP13">
        <f t="shared" si="9"/>
        <v>-2.644587400000006</v>
      </c>
      <c r="AQ13">
        <f t="shared" si="10"/>
        <v>2.644587400000006</v>
      </c>
      <c r="AR13">
        <f t="shared" si="11"/>
        <v>6.9938425162387921</v>
      </c>
      <c r="AU13">
        <v>129.4943715</v>
      </c>
    </row>
    <row r="14" spans="1:47" x14ac:dyDescent="0.45">
      <c r="A14" t="s">
        <v>94</v>
      </c>
      <c r="B14">
        <v>116.8899905</v>
      </c>
      <c r="C14">
        <v>117.39025650000001</v>
      </c>
      <c r="D14">
        <f t="shared" si="0"/>
        <v>0.50026600000001054</v>
      </c>
      <c r="E14">
        <f t="shared" si="1"/>
        <v>0.50026600000001054</v>
      </c>
      <c r="F14">
        <f t="shared" si="2"/>
        <v>0.25026607075601054</v>
      </c>
      <c r="I14">
        <v>116.8899905</v>
      </c>
      <c r="L14" t="s">
        <v>94</v>
      </c>
      <c r="M14">
        <v>91.085218549999993</v>
      </c>
      <c r="N14">
        <v>90.563608779999996</v>
      </c>
      <c r="O14">
        <f t="shared" si="3"/>
        <v>-0.52160976999999775</v>
      </c>
      <c r="P14">
        <f t="shared" si="4"/>
        <v>0.52160976999999775</v>
      </c>
      <c r="Q14">
        <f t="shared" si="5"/>
        <v>0.27207675215945054</v>
      </c>
      <c r="T14">
        <v>91.085218549999993</v>
      </c>
      <c r="Z14" t="s">
        <v>94</v>
      </c>
      <c r="AA14">
        <v>134.7651554</v>
      </c>
      <c r="AB14">
        <v>132.84956159999999</v>
      </c>
      <c r="AC14">
        <f t="shared" si="6"/>
        <v>-1.9155938000000106</v>
      </c>
      <c r="AD14">
        <f t="shared" si="7"/>
        <v>1.9155938000000106</v>
      </c>
      <c r="AE14">
        <f t="shared" si="8"/>
        <v>3.6694996065984804</v>
      </c>
      <c r="AH14">
        <v>134.7651554</v>
      </c>
      <c r="AM14" t="s">
        <v>94</v>
      </c>
      <c r="AN14">
        <v>133.98963470000001</v>
      </c>
      <c r="AO14">
        <v>136.5072529</v>
      </c>
      <c r="AP14">
        <f t="shared" si="9"/>
        <v>2.5176181999999869</v>
      </c>
      <c r="AQ14">
        <f t="shared" si="10"/>
        <v>2.5176181999999869</v>
      </c>
      <c r="AR14">
        <f t="shared" si="11"/>
        <v>6.3384014009711738</v>
      </c>
      <c r="AU14">
        <v>133.98963470000001</v>
      </c>
    </row>
    <row r="15" spans="1:47" x14ac:dyDescent="0.45">
      <c r="A15" t="s">
        <v>95</v>
      </c>
      <c r="B15">
        <v>119.78465749999999</v>
      </c>
      <c r="C15">
        <v>118.1180469</v>
      </c>
      <c r="D15">
        <f t="shared" si="0"/>
        <v>-1.6666105999999985</v>
      </c>
      <c r="E15">
        <f t="shared" si="1"/>
        <v>1.6666105999999985</v>
      </c>
      <c r="F15">
        <f t="shared" si="2"/>
        <v>2.7775908920323551</v>
      </c>
      <c r="I15">
        <v>119.78465749999999</v>
      </c>
      <c r="L15" t="s">
        <v>95</v>
      </c>
      <c r="M15">
        <v>84.944099910000006</v>
      </c>
      <c r="N15">
        <v>85.533040189999994</v>
      </c>
      <c r="O15">
        <f t="shared" si="3"/>
        <v>0.58894027999998855</v>
      </c>
      <c r="P15">
        <f t="shared" si="4"/>
        <v>0.58894027999998855</v>
      </c>
      <c r="Q15">
        <f t="shared" si="5"/>
        <v>0.34685065340646493</v>
      </c>
      <c r="T15">
        <v>84.944099910000006</v>
      </c>
      <c r="Z15" t="s">
        <v>95</v>
      </c>
      <c r="AA15">
        <v>153.33740900000001</v>
      </c>
      <c r="AB15">
        <v>144.2960191</v>
      </c>
      <c r="AC15">
        <f t="shared" si="6"/>
        <v>-9.0413899000000129</v>
      </c>
      <c r="AD15">
        <f t="shared" si="7"/>
        <v>9.0413899000000129</v>
      </c>
      <c r="AE15">
        <f t="shared" si="8"/>
        <v>81.746731323822246</v>
      </c>
      <c r="AH15">
        <v>153.33740900000001</v>
      </c>
      <c r="AM15" t="s">
        <v>95</v>
      </c>
      <c r="AN15">
        <v>120.0013965</v>
      </c>
      <c r="AO15">
        <v>130.10383680000001</v>
      </c>
      <c r="AP15">
        <f t="shared" si="9"/>
        <v>10.102440300000012</v>
      </c>
      <c r="AQ15">
        <f t="shared" si="10"/>
        <v>10.102440300000012</v>
      </c>
      <c r="AR15">
        <f t="shared" si="11"/>
        <v>102.05930001506434</v>
      </c>
      <c r="AU15">
        <v>120.0013965</v>
      </c>
    </row>
    <row r="16" spans="1:47" x14ac:dyDescent="0.45">
      <c r="A16" t="s">
        <v>96</v>
      </c>
      <c r="B16">
        <v>121.10557900000001</v>
      </c>
      <c r="C16">
        <v>118.29966469999999</v>
      </c>
      <c r="D16">
        <f t="shared" si="0"/>
        <v>-2.805914300000012</v>
      </c>
      <c r="E16">
        <f t="shared" si="1"/>
        <v>2.805914300000012</v>
      </c>
      <c r="F16">
        <f t="shared" si="2"/>
        <v>7.8731550589445574</v>
      </c>
      <c r="I16">
        <v>121.10557900000001</v>
      </c>
      <c r="L16" t="s">
        <v>96</v>
      </c>
      <c r="M16">
        <v>87.896341969999995</v>
      </c>
      <c r="N16">
        <v>85.520716329999999</v>
      </c>
      <c r="O16">
        <f t="shared" si="3"/>
        <v>-2.3756256399999955</v>
      </c>
      <c r="P16">
        <f t="shared" si="4"/>
        <v>2.3756256399999955</v>
      </c>
      <c r="Q16">
        <f t="shared" si="5"/>
        <v>5.6435971814253882</v>
      </c>
      <c r="T16">
        <v>87.896341969999995</v>
      </c>
      <c r="Z16" t="s">
        <v>96</v>
      </c>
      <c r="AA16">
        <v>150.81747609999999</v>
      </c>
      <c r="AB16">
        <v>142.64667209999999</v>
      </c>
      <c r="AC16">
        <f t="shared" si="6"/>
        <v>-8.170804000000004</v>
      </c>
      <c r="AD16">
        <f t="shared" si="7"/>
        <v>8.170804000000004</v>
      </c>
      <c r="AE16">
        <f t="shared" si="8"/>
        <v>66.762038006416063</v>
      </c>
      <c r="AH16">
        <v>150.81747609999999</v>
      </c>
      <c r="AM16" t="s">
        <v>96</v>
      </c>
      <c r="AN16">
        <v>118.77536790000001</v>
      </c>
      <c r="AO16">
        <v>131.83159670000001</v>
      </c>
      <c r="AP16">
        <f t="shared" si="9"/>
        <v>13.0562288</v>
      </c>
      <c r="AQ16">
        <f t="shared" si="10"/>
        <v>13.0562288</v>
      </c>
      <c r="AR16">
        <f t="shared" si="11"/>
        <v>170.46511047794942</v>
      </c>
      <c r="AU16">
        <v>118.77536790000001</v>
      </c>
    </row>
    <row r="17" spans="1:47" x14ac:dyDescent="0.45">
      <c r="A17" t="s">
        <v>97</v>
      </c>
      <c r="B17">
        <v>118.412504</v>
      </c>
      <c r="C17">
        <v>118.5795193</v>
      </c>
      <c r="D17">
        <f t="shared" si="0"/>
        <v>0.16701530000000275</v>
      </c>
      <c r="E17">
        <f t="shared" si="1"/>
        <v>0.16701530000000275</v>
      </c>
      <c r="F17">
        <f t="shared" si="2"/>
        <v>2.7894110434090919E-2</v>
      </c>
      <c r="I17">
        <v>118.412504</v>
      </c>
      <c r="L17" t="s">
        <v>97</v>
      </c>
      <c r="M17">
        <v>84.851769950000005</v>
      </c>
      <c r="N17">
        <v>84.312209949999996</v>
      </c>
      <c r="O17">
        <f t="shared" si="3"/>
        <v>-0.5395600000000087</v>
      </c>
      <c r="P17">
        <f t="shared" si="4"/>
        <v>0.5395600000000087</v>
      </c>
      <c r="Q17">
        <f t="shared" si="5"/>
        <v>0.29112499360000937</v>
      </c>
      <c r="T17">
        <v>84.851769950000005</v>
      </c>
      <c r="Z17" t="s">
        <v>97</v>
      </c>
      <c r="AA17">
        <v>146.22319379999999</v>
      </c>
      <c r="AB17">
        <v>132.5405432</v>
      </c>
      <c r="AC17">
        <f t="shared" si="6"/>
        <v>-13.682650599999988</v>
      </c>
      <c r="AD17">
        <f t="shared" si="7"/>
        <v>13.682650599999988</v>
      </c>
      <c r="AE17">
        <f t="shared" si="8"/>
        <v>187.21492744168003</v>
      </c>
      <c r="AH17">
        <v>146.22319379999999</v>
      </c>
      <c r="AM17" t="s">
        <v>97</v>
      </c>
      <c r="AN17">
        <v>127.556984</v>
      </c>
      <c r="AO17">
        <v>143.0466887</v>
      </c>
      <c r="AP17">
        <f t="shared" si="9"/>
        <v>15.489704700000004</v>
      </c>
      <c r="AQ17">
        <f t="shared" si="10"/>
        <v>15.489704700000004</v>
      </c>
      <c r="AR17">
        <f t="shared" si="11"/>
        <v>239.93095169320222</v>
      </c>
      <c r="AU17">
        <v>127.556984</v>
      </c>
    </row>
    <row r="18" spans="1:47" x14ac:dyDescent="0.45">
      <c r="D18">
        <f>AVERAGE(D2:D17)</f>
        <v>2.0623281250001568E-2</v>
      </c>
      <c r="E18">
        <f>AVERAGE(E2:E17)</f>
        <v>0.82295866875000101</v>
      </c>
      <c r="F18">
        <f>SQRT(AVERAGE(F2:F17))</f>
        <v>1.0692886029397284</v>
      </c>
      <c r="O18">
        <f>AVERAGE(O2:O17)</f>
        <v>-0.40509492250000267</v>
      </c>
      <c r="P18">
        <f>AVERAGE(P2:P17)</f>
        <v>0.79469304374999883</v>
      </c>
      <c r="Q18">
        <f>SQRT(AVERAGE(Q2:Q17))</f>
        <v>1.0072617931266801</v>
      </c>
      <c r="AD18">
        <f>AVERAGE(AD2:AD17)</f>
        <v>6.8447360999999995</v>
      </c>
      <c r="AE18">
        <f>SQRT(AVERAGE(AE2:AE17))</f>
        <v>7.9492046228231361</v>
      </c>
      <c r="AQ18">
        <f>AVERAGE(AQ2:AQ17)</f>
        <v>7.5345879875000028</v>
      </c>
      <c r="AR18">
        <f>SQRT(AVERAGE(AR2:AR17))</f>
        <v>8.9496527550452196</v>
      </c>
    </row>
    <row r="19" spans="1:47" x14ac:dyDescent="0.45">
      <c r="B19">
        <f>MIN(B2:B17)</f>
        <v>116.76676519999999</v>
      </c>
      <c r="C19">
        <f>MIN(C2:C17)</f>
        <v>117.1232371</v>
      </c>
      <c r="M19">
        <f>MIN(M2:M17)</f>
        <v>82.87431334</v>
      </c>
      <c r="N19">
        <f>MIN(N2:N17)</f>
        <v>83.417228969999996</v>
      </c>
      <c r="AA19">
        <f>MIN(AA2:AA17)</f>
        <v>121.2004554</v>
      </c>
      <c r="AB19">
        <f>MIN(AB2:AB17)</f>
        <v>113.9491232</v>
      </c>
      <c r="AN19">
        <f>MIN(AN2:AN17)</f>
        <v>111.7451444</v>
      </c>
      <c r="AO19">
        <f>MIN(AO2:AO17)</f>
        <v>120.7098756</v>
      </c>
    </row>
    <row r="20" spans="1:47" x14ac:dyDescent="0.45">
      <c r="B20">
        <f>MAX(B2:B17)</f>
        <v>121.10557900000001</v>
      </c>
      <c r="C20">
        <f>MAX(C2:C17)</f>
        <v>120.1669679</v>
      </c>
      <c r="M20">
        <f>MAX(M2:M17)</f>
        <v>92.023344660000006</v>
      </c>
      <c r="N20">
        <f>MAX(N2:N17)</f>
        <v>91.749671739999997</v>
      </c>
      <c r="AA20">
        <f>MAX(AA2:AA17)</f>
        <v>153.9050038</v>
      </c>
      <c r="AB20">
        <f>MAX(AB2:AB17)</f>
        <v>149.17985110000001</v>
      </c>
      <c r="AN20">
        <f>MAX(AN2:AN17)</f>
        <v>153.2023786</v>
      </c>
      <c r="AO20">
        <f>MAX(AO2:AO17)</f>
        <v>159.64336130000001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E623D-7366-44AC-8F35-AB9CA2243BF7}">
  <dimension ref="A1:AU21"/>
  <sheetViews>
    <sheetView topLeftCell="M1" workbookViewId="0">
      <selection activeCell="Y21" sqref="Y21"/>
    </sheetView>
  </sheetViews>
  <sheetFormatPr defaultRowHeight="14.25" x14ac:dyDescent="0.45"/>
  <sheetData>
    <row r="1" spans="1:47" s="2" customFormat="1" x14ac:dyDescent="0.45">
      <c r="A1" s="2" t="s">
        <v>6</v>
      </c>
      <c r="B1" s="2" t="s">
        <v>150</v>
      </c>
      <c r="C1" s="2" t="s">
        <v>152</v>
      </c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  <c r="I1" s="2" t="s">
        <v>5</v>
      </c>
      <c r="L1" s="2" t="s">
        <v>6</v>
      </c>
      <c r="M1" s="2" t="s">
        <v>156</v>
      </c>
      <c r="N1" s="2" t="s">
        <v>153</v>
      </c>
      <c r="O1" s="2" t="s">
        <v>0</v>
      </c>
      <c r="P1" s="2" t="s">
        <v>1</v>
      </c>
      <c r="Q1" s="2" t="s">
        <v>2</v>
      </c>
      <c r="R1" s="2" t="s">
        <v>3</v>
      </c>
      <c r="S1" s="2" t="s">
        <v>4</v>
      </c>
      <c r="T1" s="2" t="s">
        <v>5</v>
      </c>
      <c r="Z1" s="2" t="s">
        <v>6</v>
      </c>
      <c r="AA1" s="2" t="s">
        <v>157</v>
      </c>
      <c r="AB1" s="2" t="s">
        <v>154</v>
      </c>
      <c r="AC1" s="2" t="s">
        <v>0</v>
      </c>
      <c r="AD1" s="2" t="s">
        <v>1</v>
      </c>
      <c r="AE1" s="2" t="s">
        <v>2</v>
      </c>
      <c r="AF1" s="2" t="s">
        <v>3</v>
      </c>
      <c r="AG1" s="2" t="s">
        <v>4</v>
      </c>
      <c r="AH1" s="2" t="s">
        <v>5</v>
      </c>
      <c r="AM1" s="2" t="s">
        <v>6</v>
      </c>
      <c r="AN1" s="2" t="s">
        <v>158</v>
      </c>
      <c r="AO1" s="2" t="s">
        <v>155</v>
      </c>
      <c r="AP1" s="2" t="s">
        <v>0</v>
      </c>
      <c r="AQ1" s="2" t="s">
        <v>1</v>
      </c>
      <c r="AR1" s="2" t="s">
        <v>2</v>
      </c>
      <c r="AS1" s="2" t="s">
        <v>3</v>
      </c>
      <c r="AT1" s="2" t="s">
        <v>4</v>
      </c>
      <c r="AU1" s="2" t="s">
        <v>5</v>
      </c>
    </row>
    <row r="2" spans="1:47" x14ac:dyDescent="0.45">
      <c r="A2" t="s">
        <v>9</v>
      </c>
      <c r="B2">
        <v>116.26892960000001</v>
      </c>
      <c r="C2">
        <v>118.0307656</v>
      </c>
      <c r="D2">
        <f>(C2-B2)</f>
        <v>1.7618359999999882</v>
      </c>
      <c r="E2">
        <f>ABS(D2)</f>
        <v>1.7618359999999882</v>
      </c>
      <c r="F2">
        <f>E2^2</f>
        <v>3.1040660908959583</v>
      </c>
      <c r="G2">
        <f>CORREL(B2:B16, C2:C16)</f>
        <v>0.87164933158006375</v>
      </c>
      <c r="H2">
        <f>G2^2</f>
        <v>0.75977255724397197</v>
      </c>
      <c r="I2">
        <v>116.26892960000001</v>
      </c>
      <c r="L2" t="s">
        <v>9</v>
      </c>
      <c r="M2">
        <v>104.2583101</v>
      </c>
      <c r="N2">
        <v>105.58440950000001</v>
      </c>
      <c r="O2">
        <f>(N2-M2)</f>
        <v>1.3260994000000039</v>
      </c>
      <c r="P2">
        <f>ABS(O2)</f>
        <v>1.3260994000000039</v>
      </c>
      <c r="Q2">
        <f>P2^2</f>
        <v>1.7585396186803703</v>
      </c>
      <c r="R2">
        <f>CORREL(M2:M16, N2:N16)</f>
        <v>0.92819170497324333</v>
      </c>
      <c r="S2">
        <f>R2^2</f>
        <v>0.86153984118113636</v>
      </c>
      <c r="T2">
        <v>104.2583101</v>
      </c>
      <c r="Z2" t="s">
        <v>9</v>
      </c>
      <c r="AA2">
        <v>139.90516650000001</v>
      </c>
      <c r="AB2">
        <v>137.80114459999999</v>
      </c>
      <c r="AC2">
        <f>(AB2-AA2)</f>
        <v>-2.1040219000000207</v>
      </c>
      <c r="AD2">
        <f>ABS(AC2)</f>
        <v>2.1040219000000207</v>
      </c>
      <c r="AE2">
        <f>AD2^2</f>
        <v>4.4269081556796968</v>
      </c>
      <c r="AF2">
        <f>CORREL(AA2:AA16, AB2:AB16)</f>
        <v>0.76511096929799771</v>
      </c>
      <c r="AG2">
        <f>AF2^2</f>
        <v>0.58539479534012162</v>
      </c>
      <c r="AH2">
        <v>139.90516650000001</v>
      </c>
      <c r="AM2" t="s">
        <v>9</v>
      </c>
      <c r="AN2">
        <v>115.4914228</v>
      </c>
      <c r="AO2">
        <v>116.3555771</v>
      </c>
      <c r="AP2">
        <f>(AO2-AN2)</f>
        <v>0.86415430000000981</v>
      </c>
      <c r="AQ2">
        <f>ABS(AP2)</f>
        <v>0.86415430000000981</v>
      </c>
      <c r="AR2">
        <f>AQ2^2</f>
        <v>0.74676265420850696</v>
      </c>
      <c r="AS2">
        <f>CORREL(AN2:AN16, AO2:AO16)</f>
        <v>0.78308841793270456</v>
      </c>
      <c r="AT2">
        <f>AS2^2</f>
        <v>0.61322747030034619</v>
      </c>
      <c r="AU2">
        <v>115.4914228</v>
      </c>
    </row>
    <row r="3" spans="1:47" x14ac:dyDescent="0.45">
      <c r="A3" t="s">
        <v>10</v>
      </c>
      <c r="B3">
        <v>116.83102270000001</v>
      </c>
      <c r="C3">
        <v>118.80741020000001</v>
      </c>
      <c r="D3">
        <f t="shared" ref="D3:D16" si="0">(C3-B3)</f>
        <v>1.9763875000000013</v>
      </c>
      <c r="E3">
        <f t="shared" ref="E3:E16" si="1">ABS(D3)</f>
        <v>1.9763875000000013</v>
      </c>
      <c r="F3">
        <f t="shared" ref="F3:F16" si="2">E3^2</f>
        <v>3.9061075501562552</v>
      </c>
      <c r="I3">
        <v>116.83102270000001</v>
      </c>
      <c r="L3" t="s">
        <v>10</v>
      </c>
      <c r="M3">
        <v>98.716403029999995</v>
      </c>
      <c r="N3">
        <v>100.6490429</v>
      </c>
      <c r="O3">
        <f t="shared" ref="O3:O16" si="3">(N3-M3)</f>
        <v>1.9326398700000027</v>
      </c>
      <c r="P3">
        <f t="shared" ref="P3:P16" si="4">ABS(O3)</f>
        <v>1.9326398700000027</v>
      </c>
      <c r="Q3">
        <f t="shared" ref="Q3:Q16" si="5">P3^2</f>
        <v>3.7350968671136275</v>
      </c>
      <c r="T3">
        <v>98.716403029999995</v>
      </c>
      <c r="Z3" t="s">
        <v>10</v>
      </c>
      <c r="AA3">
        <v>132.9908744</v>
      </c>
      <c r="AB3">
        <v>133.1907774</v>
      </c>
      <c r="AC3">
        <f t="shared" ref="AC3" si="6">(AB3-AA3)</f>
        <v>0.19990300000000616</v>
      </c>
      <c r="AD3">
        <f t="shared" ref="AD3:AD4" si="7">ABS(AC3)</f>
        <v>0.19990300000000616</v>
      </c>
      <c r="AE3">
        <f t="shared" ref="AE3:AE4" si="8">AD3^2</f>
        <v>3.9961209409002461E-2</v>
      </c>
      <c r="AH3">
        <v>132.9908744</v>
      </c>
      <c r="AM3" t="s">
        <v>10</v>
      </c>
      <c r="AN3">
        <v>128.2919507</v>
      </c>
      <c r="AO3">
        <v>126.058797</v>
      </c>
      <c r="AP3">
        <f t="shared" ref="AP3:AP16" si="9">(AO3-AN3)</f>
        <v>-2.2331537000000026</v>
      </c>
      <c r="AQ3">
        <f t="shared" ref="AQ3:AQ16" si="10">ABS(AP3)</f>
        <v>2.2331537000000026</v>
      </c>
      <c r="AR3">
        <f t="shared" ref="AR3:AR16" si="11">AQ3^2</f>
        <v>4.9869754478237018</v>
      </c>
      <c r="AU3">
        <v>128.2919507</v>
      </c>
    </row>
    <row r="4" spans="1:47" x14ac:dyDescent="0.45">
      <c r="A4" t="s">
        <v>11</v>
      </c>
      <c r="B4">
        <v>116.73299489999999</v>
      </c>
      <c r="C4">
        <v>118.1420226</v>
      </c>
      <c r="D4">
        <f t="shared" si="0"/>
        <v>1.40902770000001</v>
      </c>
      <c r="E4">
        <f t="shared" si="1"/>
        <v>1.40902770000001</v>
      </c>
      <c r="F4">
        <f t="shared" si="2"/>
        <v>1.985359059367318</v>
      </c>
      <c r="I4">
        <v>116.73299489999999</v>
      </c>
      <c r="L4" t="s">
        <v>11</v>
      </c>
      <c r="M4">
        <v>100.47319589999999</v>
      </c>
      <c r="N4">
        <v>101.1050104</v>
      </c>
      <c r="O4">
        <f t="shared" si="3"/>
        <v>0.63181450000000439</v>
      </c>
      <c r="P4">
        <f t="shared" si="4"/>
        <v>0.63181450000000439</v>
      </c>
      <c r="Q4">
        <f t="shared" si="5"/>
        <v>0.39918956241025555</v>
      </c>
      <c r="T4">
        <v>100.47319589999999</v>
      </c>
      <c r="Z4" t="s">
        <v>11</v>
      </c>
      <c r="AA4">
        <v>135.41678160000001</v>
      </c>
      <c r="AB4">
        <v>134.46694299999999</v>
      </c>
      <c r="AC4">
        <f t="shared" ref="AC4:AC16" si="12">(AB4-AA4)</f>
        <v>-0.94983860000002096</v>
      </c>
      <c r="AD4">
        <f t="shared" si="7"/>
        <v>0.94983860000002096</v>
      </c>
      <c r="AE4">
        <f t="shared" si="8"/>
        <v>0.90219336604999978</v>
      </c>
      <c r="AH4">
        <v>135.41678160000001</v>
      </c>
      <c r="AM4" t="s">
        <v>11</v>
      </c>
      <c r="AN4">
        <v>121.6394284</v>
      </c>
      <c r="AO4">
        <v>122.36527460000001</v>
      </c>
      <c r="AP4">
        <f t="shared" si="9"/>
        <v>0.72584620000000655</v>
      </c>
      <c r="AQ4">
        <f t="shared" si="10"/>
        <v>0.72584620000000655</v>
      </c>
      <c r="AR4">
        <f t="shared" si="11"/>
        <v>0.52685270605444956</v>
      </c>
      <c r="AU4">
        <v>121.6394284</v>
      </c>
    </row>
    <row r="5" spans="1:47" x14ac:dyDescent="0.45">
      <c r="A5" t="s">
        <v>13</v>
      </c>
      <c r="B5">
        <v>116.7945934</v>
      </c>
      <c r="C5">
        <v>118.0294718</v>
      </c>
      <c r="D5">
        <f t="shared" si="0"/>
        <v>1.2348783999999995</v>
      </c>
      <c r="E5">
        <f t="shared" si="1"/>
        <v>1.2348783999999995</v>
      </c>
      <c r="F5">
        <f t="shared" si="2"/>
        <v>1.5249246627865587</v>
      </c>
      <c r="I5">
        <v>116.7945934</v>
      </c>
      <c r="L5" t="s">
        <v>13</v>
      </c>
      <c r="M5">
        <v>104.5088185</v>
      </c>
      <c r="N5">
        <v>106.2838847</v>
      </c>
      <c r="O5">
        <f t="shared" si="3"/>
        <v>1.7750661999999977</v>
      </c>
      <c r="P5">
        <f t="shared" si="4"/>
        <v>1.7750661999999977</v>
      </c>
      <c r="Q5">
        <f t="shared" si="5"/>
        <v>3.1508600143824319</v>
      </c>
      <c r="T5">
        <v>104.5088185</v>
      </c>
      <c r="Z5" t="s">
        <v>13</v>
      </c>
      <c r="AA5">
        <v>115.75571170000001</v>
      </c>
      <c r="AB5">
        <v>116.2882264</v>
      </c>
      <c r="AC5">
        <f t="shared" si="12"/>
        <v>0.53251469999999301</v>
      </c>
      <c r="AD5">
        <f t="shared" ref="AD5:AD16" si="13">ABS(AC5)</f>
        <v>0.53251469999999301</v>
      </c>
      <c r="AE5">
        <f t="shared" ref="AE5:AE16" si="14">AD5^2</f>
        <v>0.28357190571608254</v>
      </c>
      <c r="AH5">
        <v>115.75571170000001</v>
      </c>
      <c r="AM5" t="s">
        <v>13</v>
      </c>
      <c r="AN5">
        <v>139.71342480000001</v>
      </c>
      <c r="AO5">
        <v>137.40713210000001</v>
      </c>
      <c r="AP5">
        <f t="shared" si="9"/>
        <v>-2.3062927000000002</v>
      </c>
      <c r="AQ5">
        <f t="shared" si="10"/>
        <v>2.3062927000000002</v>
      </c>
      <c r="AR5">
        <f t="shared" si="11"/>
        <v>5.3189860180732911</v>
      </c>
      <c r="AU5">
        <v>139.71342480000001</v>
      </c>
    </row>
    <row r="6" spans="1:47" x14ac:dyDescent="0.45">
      <c r="A6" t="s">
        <v>14</v>
      </c>
      <c r="B6">
        <v>116.9029177</v>
      </c>
      <c r="C6">
        <v>118.1522217</v>
      </c>
      <c r="D6">
        <f t="shared" si="0"/>
        <v>1.2493039999999951</v>
      </c>
      <c r="E6">
        <f t="shared" si="1"/>
        <v>1.2493039999999951</v>
      </c>
      <c r="F6">
        <f t="shared" si="2"/>
        <v>1.5607604844159877</v>
      </c>
      <c r="I6">
        <v>116.9029177</v>
      </c>
      <c r="L6" t="s">
        <v>14</v>
      </c>
      <c r="M6">
        <v>100.46163919999999</v>
      </c>
      <c r="N6">
        <v>102.2050007</v>
      </c>
      <c r="O6">
        <f t="shared" si="3"/>
        <v>1.743361500000006</v>
      </c>
      <c r="P6">
        <f t="shared" si="4"/>
        <v>1.743361500000006</v>
      </c>
      <c r="Q6">
        <f t="shared" si="5"/>
        <v>3.0393093196822711</v>
      </c>
      <c r="T6">
        <v>100.46163919999999</v>
      </c>
      <c r="Z6" t="s">
        <v>14</v>
      </c>
      <c r="AA6">
        <v>136.2513855</v>
      </c>
      <c r="AB6">
        <v>135.3084705</v>
      </c>
      <c r="AC6">
        <f t="shared" si="12"/>
        <v>-0.94291499999999928</v>
      </c>
      <c r="AD6">
        <f t="shared" si="13"/>
        <v>0.94291499999999928</v>
      </c>
      <c r="AE6">
        <f t="shared" si="14"/>
        <v>0.88908869722499861</v>
      </c>
      <c r="AH6">
        <v>136.2513855</v>
      </c>
      <c r="AM6" t="s">
        <v>14</v>
      </c>
      <c r="AN6">
        <v>120.81778559999999</v>
      </c>
      <c r="AO6">
        <v>120.18157119999999</v>
      </c>
      <c r="AP6">
        <f t="shared" si="9"/>
        <v>-0.63621440000000007</v>
      </c>
      <c r="AQ6">
        <f t="shared" si="10"/>
        <v>0.63621440000000007</v>
      </c>
      <c r="AR6">
        <f t="shared" si="11"/>
        <v>0.40476876276736007</v>
      </c>
      <c r="AU6">
        <v>120.81778559999999</v>
      </c>
    </row>
    <row r="7" spans="1:47" x14ac:dyDescent="0.45">
      <c r="A7" t="s">
        <v>32</v>
      </c>
      <c r="B7">
        <v>116.6173763</v>
      </c>
      <c r="C7">
        <v>118.0641548</v>
      </c>
      <c r="D7">
        <f t="shared" si="0"/>
        <v>1.4467784999999935</v>
      </c>
      <c r="E7">
        <f t="shared" si="1"/>
        <v>1.4467784999999935</v>
      </c>
      <c r="F7">
        <f t="shared" si="2"/>
        <v>2.0931680280622311</v>
      </c>
      <c r="I7">
        <v>116.6173763</v>
      </c>
      <c r="L7" t="s">
        <v>32</v>
      </c>
      <c r="M7">
        <v>111.9289788</v>
      </c>
      <c r="N7">
        <v>108.02647159999999</v>
      </c>
      <c r="O7">
        <f t="shared" si="3"/>
        <v>-3.9025072000000023</v>
      </c>
      <c r="P7">
        <f t="shared" si="4"/>
        <v>3.9025072000000023</v>
      </c>
      <c r="Q7">
        <f t="shared" si="5"/>
        <v>15.229562446051858</v>
      </c>
      <c r="T7">
        <v>111.9289788</v>
      </c>
      <c r="Z7" t="s">
        <v>32</v>
      </c>
      <c r="AA7">
        <v>119.4068031</v>
      </c>
      <c r="AB7">
        <v>120.0802611</v>
      </c>
      <c r="AC7">
        <f t="shared" si="12"/>
        <v>0.67345799999999656</v>
      </c>
      <c r="AD7">
        <f t="shared" si="13"/>
        <v>0.67345799999999656</v>
      </c>
      <c r="AE7">
        <f t="shared" si="14"/>
        <v>0.45354567776399535</v>
      </c>
      <c r="AH7">
        <v>119.4068031</v>
      </c>
      <c r="AM7" t="s">
        <v>32</v>
      </c>
      <c r="AN7">
        <v>127.2825169</v>
      </c>
      <c r="AO7">
        <v>130.08393169999999</v>
      </c>
      <c r="AP7">
        <f t="shared" si="9"/>
        <v>2.8014147999999892</v>
      </c>
      <c r="AQ7">
        <f t="shared" si="10"/>
        <v>2.8014147999999892</v>
      </c>
      <c r="AR7">
        <f t="shared" si="11"/>
        <v>7.8479248816589795</v>
      </c>
      <c r="AU7">
        <v>127.2825169</v>
      </c>
    </row>
    <row r="8" spans="1:47" x14ac:dyDescent="0.45">
      <c r="A8" t="s">
        <v>33</v>
      </c>
      <c r="B8">
        <v>116.9218317</v>
      </c>
      <c r="C8">
        <v>117.4017369</v>
      </c>
      <c r="D8">
        <f t="shared" si="0"/>
        <v>0.47990520000000458</v>
      </c>
      <c r="E8">
        <f t="shared" si="1"/>
        <v>0.47990520000000458</v>
      </c>
      <c r="F8">
        <f t="shared" si="2"/>
        <v>0.2303090009870444</v>
      </c>
      <c r="I8">
        <v>116.9218317</v>
      </c>
      <c r="L8" t="s">
        <v>33</v>
      </c>
      <c r="M8">
        <v>112.7491132</v>
      </c>
      <c r="N8">
        <v>112.1929552</v>
      </c>
      <c r="O8">
        <f t="shared" si="3"/>
        <v>-0.55615799999999638</v>
      </c>
      <c r="P8">
        <f t="shared" si="4"/>
        <v>0.55615799999999638</v>
      </c>
      <c r="Q8">
        <f t="shared" si="5"/>
        <v>0.30931172096399595</v>
      </c>
      <c r="T8">
        <v>112.7491132</v>
      </c>
      <c r="Z8" t="s">
        <v>33</v>
      </c>
      <c r="AA8">
        <v>112.5678539</v>
      </c>
      <c r="AB8">
        <v>115.17508599999999</v>
      </c>
      <c r="AC8">
        <f t="shared" si="12"/>
        <v>2.6072320999999903</v>
      </c>
      <c r="AD8">
        <f t="shared" si="13"/>
        <v>2.6072320999999903</v>
      </c>
      <c r="AE8">
        <f t="shared" si="14"/>
        <v>6.797659223270359</v>
      </c>
      <c r="AH8">
        <v>112.5678539</v>
      </c>
      <c r="AM8" t="s">
        <v>33</v>
      </c>
      <c r="AN8">
        <v>134.45144809999999</v>
      </c>
      <c r="AO8">
        <v>132.52409209999999</v>
      </c>
      <c r="AP8">
        <f t="shared" si="9"/>
        <v>-1.9273560000000032</v>
      </c>
      <c r="AQ8">
        <f t="shared" si="10"/>
        <v>1.9273560000000032</v>
      </c>
      <c r="AR8">
        <f t="shared" si="11"/>
        <v>3.7147011507360124</v>
      </c>
      <c r="AU8">
        <v>134.45144809999999</v>
      </c>
    </row>
    <row r="9" spans="1:47" x14ac:dyDescent="0.45">
      <c r="A9" t="s">
        <v>63</v>
      </c>
      <c r="B9">
        <v>116.4310936</v>
      </c>
      <c r="C9">
        <v>118.15358329999999</v>
      </c>
      <c r="D9">
        <f t="shared" si="0"/>
        <v>1.722489699999997</v>
      </c>
      <c r="E9">
        <f t="shared" si="1"/>
        <v>1.722489699999997</v>
      </c>
      <c r="F9">
        <f t="shared" si="2"/>
        <v>2.9669707666060798</v>
      </c>
      <c r="I9">
        <v>116.4310936</v>
      </c>
      <c r="L9" t="s">
        <v>63</v>
      </c>
      <c r="M9">
        <v>100.411658</v>
      </c>
      <c r="N9">
        <v>101.2959599</v>
      </c>
      <c r="O9">
        <f t="shared" si="3"/>
        <v>0.88430189999999698</v>
      </c>
      <c r="P9">
        <f t="shared" si="4"/>
        <v>0.88430189999999698</v>
      </c>
      <c r="Q9">
        <f t="shared" si="5"/>
        <v>0.78198985034360469</v>
      </c>
      <c r="T9">
        <v>100.411658</v>
      </c>
      <c r="Z9" t="s">
        <v>63</v>
      </c>
      <c r="AA9">
        <v>136.1596898</v>
      </c>
      <c r="AB9">
        <v>139.35526290000001</v>
      </c>
      <c r="AC9">
        <f t="shared" si="12"/>
        <v>3.1955731000000185</v>
      </c>
      <c r="AD9">
        <f t="shared" si="13"/>
        <v>3.1955731000000185</v>
      </c>
      <c r="AE9">
        <f t="shared" si="14"/>
        <v>10.211687437443729</v>
      </c>
      <c r="AH9">
        <v>136.1596898</v>
      </c>
      <c r="AM9" t="s">
        <v>63</v>
      </c>
      <c r="AN9">
        <v>123.4168207</v>
      </c>
      <c r="AO9">
        <v>119.3284128</v>
      </c>
      <c r="AP9">
        <f t="shared" si="9"/>
        <v>-4.0884079000000071</v>
      </c>
      <c r="AQ9">
        <f t="shared" si="10"/>
        <v>4.0884079000000071</v>
      </c>
      <c r="AR9">
        <f t="shared" si="11"/>
        <v>16.715079156782469</v>
      </c>
      <c r="AU9">
        <v>123.4168207</v>
      </c>
    </row>
    <row r="10" spans="1:47" x14ac:dyDescent="0.45">
      <c r="A10" t="s">
        <v>64</v>
      </c>
      <c r="B10">
        <v>114.7025277</v>
      </c>
      <c r="C10">
        <v>116.08679189999999</v>
      </c>
      <c r="D10">
        <f t="shared" si="0"/>
        <v>1.3842641999999898</v>
      </c>
      <c r="E10">
        <f t="shared" si="1"/>
        <v>1.3842641999999898</v>
      </c>
      <c r="F10">
        <f t="shared" si="2"/>
        <v>1.9161873754016119</v>
      </c>
      <c r="I10">
        <v>114.7025277</v>
      </c>
      <c r="L10" t="s">
        <v>64</v>
      </c>
      <c r="M10">
        <v>105.6510251</v>
      </c>
      <c r="N10">
        <v>106.8637552</v>
      </c>
      <c r="O10">
        <f t="shared" si="3"/>
        <v>1.2127301000000017</v>
      </c>
      <c r="P10">
        <f t="shared" si="4"/>
        <v>1.2127301000000017</v>
      </c>
      <c r="Q10">
        <f t="shared" si="5"/>
        <v>1.4707142954460142</v>
      </c>
      <c r="T10">
        <v>105.6510251</v>
      </c>
      <c r="Z10" t="s">
        <v>64</v>
      </c>
      <c r="AA10">
        <v>140.88457550000001</v>
      </c>
      <c r="AB10">
        <v>137.05484849999999</v>
      </c>
      <c r="AC10">
        <f t="shared" si="12"/>
        <v>-3.8297270000000196</v>
      </c>
      <c r="AD10">
        <f t="shared" si="13"/>
        <v>3.8297270000000196</v>
      </c>
      <c r="AE10">
        <f t="shared" si="14"/>
        <v>14.666808894529151</v>
      </c>
      <c r="AH10">
        <v>140.88457550000001</v>
      </c>
      <c r="AM10" t="s">
        <v>64</v>
      </c>
      <c r="AN10">
        <v>112.3364565</v>
      </c>
      <c r="AO10">
        <v>115.6373038</v>
      </c>
      <c r="AP10">
        <f t="shared" si="9"/>
        <v>3.3008473000000009</v>
      </c>
      <c r="AQ10">
        <f t="shared" si="10"/>
        <v>3.3008473000000009</v>
      </c>
      <c r="AR10">
        <f t="shared" si="11"/>
        <v>10.895592897917297</v>
      </c>
      <c r="AU10">
        <v>112.3364565</v>
      </c>
    </row>
    <row r="11" spans="1:47" x14ac:dyDescent="0.45">
      <c r="A11" t="s">
        <v>65</v>
      </c>
      <c r="B11">
        <v>116.7115506</v>
      </c>
      <c r="C11">
        <v>117.3950153</v>
      </c>
      <c r="D11">
        <f t="shared" si="0"/>
        <v>0.68346470000000181</v>
      </c>
      <c r="E11">
        <f t="shared" si="1"/>
        <v>0.68346470000000181</v>
      </c>
      <c r="F11">
        <f t="shared" si="2"/>
        <v>0.46712399614609246</v>
      </c>
      <c r="I11">
        <v>116.7115506</v>
      </c>
      <c r="L11" t="s">
        <v>65</v>
      </c>
      <c r="M11">
        <v>108.99644000000001</v>
      </c>
      <c r="N11">
        <v>107.9060738</v>
      </c>
      <c r="O11">
        <f t="shared" si="3"/>
        <v>-1.0903662000000054</v>
      </c>
      <c r="P11">
        <f t="shared" si="4"/>
        <v>1.0903662000000054</v>
      </c>
      <c r="Q11">
        <f t="shared" si="5"/>
        <v>1.1888984501024518</v>
      </c>
      <c r="T11">
        <v>108.99644000000001</v>
      </c>
      <c r="Z11" t="s">
        <v>65</v>
      </c>
      <c r="AA11">
        <v>126.0338038</v>
      </c>
      <c r="AB11">
        <v>131.4272172</v>
      </c>
      <c r="AC11">
        <f t="shared" si="12"/>
        <v>5.3934134</v>
      </c>
      <c r="AD11">
        <f t="shared" si="13"/>
        <v>5.3934134</v>
      </c>
      <c r="AE11">
        <f t="shared" si="14"/>
        <v>29.088908103299559</v>
      </c>
      <c r="AH11">
        <v>126.0338038</v>
      </c>
      <c r="AM11" t="s">
        <v>65</v>
      </c>
      <c r="AN11">
        <v>123.83367730000001</v>
      </c>
      <c r="AO11">
        <v>119.0653161</v>
      </c>
      <c r="AP11">
        <f t="shared" si="9"/>
        <v>-4.7683612000000011</v>
      </c>
      <c r="AQ11">
        <f t="shared" si="10"/>
        <v>4.7683612000000011</v>
      </c>
      <c r="AR11">
        <f t="shared" si="11"/>
        <v>22.73726853366545</v>
      </c>
      <c r="AU11">
        <v>123.83367730000001</v>
      </c>
    </row>
    <row r="12" spans="1:47" x14ac:dyDescent="0.45">
      <c r="A12" t="s">
        <v>66</v>
      </c>
      <c r="B12">
        <v>115.6750421</v>
      </c>
      <c r="C12">
        <v>116.7937336</v>
      </c>
      <c r="D12">
        <f t="shared" si="0"/>
        <v>1.1186914999999971</v>
      </c>
      <c r="E12">
        <f t="shared" si="1"/>
        <v>1.1186914999999971</v>
      </c>
      <c r="F12">
        <f t="shared" si="2"/>
        <v>1.2514706721722435</v>
      </c>
      <c r="I12">
        <v>115.6750421</v>
      </c>
      <c r="L12" t="s">
        <v>66</v>
      </c>
      <c r="M12">
        <v>100.68572589999999</v>
      </c>
      <c r="N12">
        <v>105.603694</v>
      </c>
      <c r="O12">
        <f t="shared" si="3"/>
        <v>4.9179681000000102</v>
      </c>
      <c r="P12">
        <f t="shared" si="4"/>
        <v>4.9179681000000102</v>
      </c>
      <c r="Q12">
        <f t="shared" si="5"/>
        <v>24.18641023261771</v>
      </c>
      <c r="T12">
        <v>100.68572589999999</v>
      </c>
      <c r="Z12" t="s">
        <v>66</v>
      </c>
      <c r="AA12">
        <v>122.3075886</v>
      </c>
      <c r="AB12">
        <v>117.9254816</v>
      </c>
      <c r="AC12">
        <f t="shared" si="12"/>
        <v>-4.3821070000000049</v>
      </c>
      <c r="AD12">
        <f t="shared" si="13"/>
        <v>4.3821070000000049</v>
      </c>
      <c r="AE12">
        <f t="shared" si="14"/>
        <v>19.202861759449043</v>
      </c>
      <c r="AH12">
        <v>122.3075886</v>
      </c>
      <c r="AM12" t="s">
        <v>66</v>
      </c>
      <c r="AN12">
        <v>136.80868219999999</v>
      </c>
      <c r="AO12">
        <v>136.062285</v>
      </c>
      <c r="AP12">
        <f t="shared" si="9"/>
        <v>-0.74639719999998988</v>
      </c>
      <c r="AQ12">
        <f t="shared" si="10"/>
        <v>0.74639719999998988</v>
      </c>
      <c r="AR12">
        <f t="shared" si="11"/>
        <v>0.55710878016782495</v>
      </c>
      <c r="AU12">
        <v>136.80868219999999</v>
      </c>
    </row>
    <row r="13" spans="1:47" x14ac:dyDescent="0.45">
      <c r="A13" t="s">
        <v>67</v>
      </c>
      <c r="B13">
        <v>116.8801325</v>
      </c>
      <c r="C13">
        <v>118.15156229999999</v>
      </c>
      <c r="D13">
        <f t="shared" si="0"/>
        <v>1.2714297999999928</v>
      </c>
      <c r="E13">
        <f t="shared" si="1"/>
        <v>1.2714297999999928</v>
      </c>
      <c r="F13">
        <f t="shared" si="2"/>
        <v>1.6165337363280219</v>
      </c>
      <c r="I13">
        <v>116.8801325</v>
      </c>
      <c r="L13" t="s">
        <v>67</v>
      </c>
      <c r="M13">
        <v>100.4285051</v>
      </c>
      <c r="N13">
        <v>102.22845890000001</v>
      </c>
      <c r="O13">
        <f t="shared" si="3"/>
        <v>1.7999538000000115</v>
      </c>
      <c r="P13">
        <f t="shared" si="4"/>
        <v>1.7999538000000115</v>
      </c>
      <c r="Q13">
        <f t="shared" si="5"/>
        <v>3.2398336821344813</v>
      </c>
      <c r="T13">
        <v>100.4285051</v>
      </c>
      <c r="Z13" t="s">
        <v>67</v>
      </c>
      <c r="AA13">
        <v>135.64258100000001</v>
      </c>
      <c r="AB13">
        <v>135.29658370000001</v>
      </c>
      <c r="AC13">
        <f t="shared" si="12"/>
        <v>-0.3459972999999934</v>
      </c>
      <c r="AD13">
        <f t="shared" si="13"/>
        <v>0.3459972999999934</v>
      </c>
      <c r="AE13">
        <f t="shared" si="14"/>
        <v>0.11971413160728543</v>
      </c>
      <c r="AH13">
        <v>135.64258100000001</v>
      </c>
      <c r="AM13" t="s">
        <v>67</v>
      </c>
      <c r="AN13">
        <v>121.3126651</v>
      </c>
      <c r="AO13">
        <v>120.178217</v>
      </c>
      <c r="AP13">
        <f t="shared" si="9"/>
        <v>-1.1344481000000002</v>
      </c>
      <c r="AQ13">
        <f t="shared" si="10"/>
        <v>1.1344481000000002</v>
      </c>
      <c r="AR13">
        <f t="shared" si="11"/>
        <v>1.2869724915936105</v>
      </c>
      <c r="AU13">
        <v>121.3126651</v>
      </c>
    </row>
    <row r="14" spans="1:47" x14ac:dyDescent="0.45">
      <c r="A14" t="s">
        <v>85</v>
      </c>
      <c r="B14">
        <v>114.83924690000001</v>
      </c>
      <c r="C14">
        <v>115.01340020000001</v>
      </c>
      <c r="D14">
        <f t="shared" si="0"/>
        <v>0.1741533000000004</v>
      </c>
      <c r="E14">
        <f t="shared" si="1"/>
        <v>0.1741533000000004</v>
      </c>
      <c r="F14">
        <f t="shared" si="2"/>
        <v>3.0329371900890138E-2</v>
      </c>
      <c r="I14">
        <v>114.83924690000001</v>
      </c>
      <c r="L14" t="s">
        <v>85</v>
      </c>
      <c r="M14">
        <v>101.9461158</v>
      </c>
      <c r="N14">
        <v>100.9572079</v>
      </c>
      <c r="O14">
        <f t="shared" si="3"/>
        <v>-0.98890790000000095</v>
      </c>
      <c r="P14">
        <f t="shared" si="4"/>
        <v>0.98890790000000095</v>
      </c>
      <c r="Q14">
        <f t="shared" si="5"/>
        <v>0.97793883468241183</v>
      </c>
      <c r="T14">
        <v>101.9461158</v>
      </c>
      <c r="Z14" t="s">
        <v>85</v>
      </c>
      <c r="AA14">
        <v>120.03232029999999</v>
      </c>
      <c r="AB14">
        <v>125.36968109999999</v>
      </c>
      <c r="AC14">
        <f t="shared" si="12"/>
        <v>5.337360799999999</v>
      </c>
      <c r="AD14">
        <f t="shared" si="13"/>
        <v>5.337360799999999</v>
      </c>
      <c r="AE14">
        <f t="shared" si="14"/>
        <v>28.487420309376631</v>
      </c>
      <c r="AH14">
        <v>120.03232029999999</v>
      </c>
      <c r="AM14" t="s">
        <v>85</v>
      </c>
      <c r="AN14">
        <v>135.98142970000001</v>
      </c>
      <c r="AO14">
        <v>131.4994092</v>
      </c>
      <c r="AP14">
        <f t="shared" si="9"/>
        <v>-4.4820205000000044</v>
      </c>
      <c r="AQ14">
        <f t="shared" si="10"/>
        <v>4.4820205000000044</v>
      </c>
      <c r="AR14">
        <f t="shared" si="11"/>
        <v>20.088507762420289</v>
      </c>
      <c r="AU14">
        <v>135.98142970000001</v>
      </c>
    </row>
    <row r="15" spans="1:47" x14ac:dyDescent="0.45">
      <c r="A15" t="s">
        <v>86</v>
      </c>
      <c r="B15">
        <v>116.5916142</v>
      </c>
      <c r="C15">
        <v>117.44210169999999</v>
      </c>
      <c r="D15">
        <f t="shared" si="0"/>
        <v>0.85048749999999984</v>
      </c>
      <c r="E15">
        <f t="shared" si="1"/>
        <v>0.85048749999999984</v>
      </c>
      <c r="F15">
        <f t="shared" si="2"/>
        <v>0.72332898765624976</v>
      </c>
      <c r="I15">
        <v>116.5916142</v>
      </c>
      <c r="L15" t="s">
        <v>86</v>
      </c>
      <c r="M15">
        <v>106.48178350000001</v>
      </c>
      <c r="N15">
        <v>105.2386753</v>
      </c>
      <c r="O15">
        <f t="shared" si="3"/>
        <v>-1.2431082000000089</v>
      </c>
      <c r="P15">
        <f t="shared" si="4"/>
        <v>1.2431082000000089</v>
      </c>
      <c r="Q15">
        <f t="shared" si="5"/>
        <v>1.5453179969072621</v>
      </c>
      <c r="T15">
        <v>106.48178350000001</v>
      </c>
      <c r="Z15" t="s">
        <v>86</v>
      </c>
      <c r="AA15">
        <v>115.1770267</v>
      </c>
      <c r="AB15">
        <v>119.7542826</v>
      </c>
      <c r="AC15">
        <f t="shared" si="12"/>
        <v>4.5772558999999973</v>
      </c>
      <c r="AD15">
        <f t="shared" si="13"/>
        <v>4.5772558999999973</v>
      </c>
      <c r="AE15">
        <f t="shared" si="14"/>
        <v>20.951271574084785</v>
      </c>
      <c r="AH15">
        <v>115.1770267</v>
      </c>
      <c r="AM15" t="s">
        <v>86</v>
      </c>
      <c r="AN15">
        <v>137.87582549999999</v>
      </c>
      <c r="AO15">
        <v>134.87133309999999</v>
      </c>
      <c r="AP15">
        <f t="shared" si="9"/>
        <v>-3.0044924000000037</v>
      </c>
      <c r="AQ15">
        <f t="shared" si="10"/>
        <v>3.0044924000000037</v>
      </c>
      <c r="AR15">
        <f t="shared" si="11"/>
        <v>9.0269745816577824</v>
      </c>
      <c r="AU15">
        <v>137.87582549999999</v>
      </c>
    </row>
    <row r="16" spans="1:47" x14ac:dyDescent="0.45">
      <c r="A16" t="s">
        <v>87</v>
      </c>
      <c r="B16">
        <v>116.71749749999999</v>
      </c>
      <c r="C16">
        <v>118.4225816</v>
      </c>
      <c r="D16">
        <f t="shared" si="0"/>
        <v>1.7050841000000077</v>
      </c>
      <c r="E16">
        <f t="shared" si="1"/>
        <v>1.7050841000000077</v>
      </c>
      <c r="F16">
        <f t="shared" si="2"/>
        <v>2.9073117880728363</v>
      </c>
      <c r="I16">
        <v>116.71749749999999</v>
      </c>
      <c r="L16" t="s">
        <v>87</v>
      </c>
      <c r="M16">
        <v>115.46171390000001</v>
      </c>
      <c r="N16">
        <v>112.5082154</v>
      </c>
      <c r="O16">
        <f t="shared" si="3"/>
        <v>-2.9534985000000091</v>
      </c>
      <c r="P16">
        <f t="shared" si="4"/>
        <v>2.9534985000000091</v>
      </c>
      <c r="Q16">
        <f t="shared" si="5"/>
        <v>8.7231533895023041</v>
      </c>
      <c r="T16">
        <v>115.46171390000001</v>
      </c>
      <c r="Z16" t="s">
        <v>87</v>
      </c>
      <c r="AA16">
        <v>114.63269409999999</v>
      </c>
      <c r="AB16">
        <v>138.40904449999999</v>
      </c>
      <c r="AC16">
        <f t="shared" si="12"/>
        <v>23.776350399999998</v>
      </c>
      <c r="AD16">
        <f t="shared" si="13"/>
        <v>23.776350399999998</v>
      </c>
      <c r="AE16">
        <f t="shared" si="14"/>
        <v>565.31483834358005</v>
      </c>
      <c r="AH16">
        <v>114.63269409999999</v>
      </c>
      <c r="AM16" t="s">
        <v>87</v>
      </c>
      <c r="AN16">
        <v>129.4337543</v>
      </c>
      <c r="AO16">
        <v>108.50490720000001</v>
      </c>
      <c r="AP16">
        <f t="shared" si="9"/>
        <v>-20.928847099999999</v>
      </c>
      <c r="AQ16">
        <f t="shared" si="10"/>
        <v>20.928847099999999</v>
      </c>
      <c r="AR16">
        <f t="shared" si="11"/>
        <v>438.01664093517837</v>
      </c>
      <c r="AU16">
        <v>129.4337543</v>
      </c>
    </row>
    <row r="17" spans="1:44" x14ac:dyDescent="0.45">
      <c r="E17">
        <f>AVERAGE(E2:E16)</f>
        <v>1.2312121399999987</v>
      </c>
      <c r="F17">
        <f>SQRT(AVERAGE(F2:F16))</f>
        <v>1.3237308782617756</v>
      </c>
      <c r="P17">
        <f>AVERAGE(P2:P16)</f>
        <v>1.7972320913333373</v>
      </c>
      <c r="Q17">
        <f>SQRT(AVERAGE(Q2:Q16))</f>
        <v>2.1561713951820725</v>
      </c>
      <c r="AD17">
        <f>AVERAGE(AD2:AD16)</f>
        <v>3.9231778800000039</v>
      </c>
      <c r="AE17">
        <f>SQRT(AVERAGE(AE2:AE16))</f>
        <v>6.8402555448778593</v>
      </c>
      <c r="AQ17">
        <f>AVERAGE(AQ2:AQ16)</f>
        <v>3.5965502533333344</v>
      </c>
      <c r="AR17">
        <f>SQRT(AVERAGE(AR2:AR16))</f>
        <v>6.0159295029153244</v>
      </c>
    </row>
    <row r="18" spans="1:44" x14ac:dyDescent="0.45">
      <c r="B18">
        <f>MIN(B2:B16)</f>
        <v>114.7025277</v>
      </c>
      <c r="C18">
        <f>MIN(C2:C16)</f>
        <v>115.01340020000001</v>
      </c>
      <c r="M18">
        <f>MIN(M2:M16)</f>
        <v>98.716403029999995</v>
      </c>
      <c r="N18">
        <f>MIN(N2:N16)</f>
        <v>100.6490429</v>
      </c>
      <c r="AA18">
        <f>MIN(AA2:AA16)</f>
        <v>112.5678539</v>
      </c>
      <c r="AB18">
        <f>MIN(AB2:AB16)</f>
        <v>115.17508599999999</v>
      </c>
      <c r="AN18">
        <f>MIN(AN2:AN16)</f>
        <v>112.3364565</v>
      </c>
      <c r="AO18">
        <f>MIN(AO2:AO16)</f>
        <v>108.50490720000001</v>
      </c>
    </row>
    <row r="19" spans="1:44" x14ac:dyDescent="0.45">
      <c r="B19">
        <f>MAX(B2:B16)</f>
        <v>116.9218317</v>
      </c>
      <c r="C19">
        <f>MAX(C2:C16)</f>
        <v>118.80741020000001</v>
      </c>
      <c r="M19">
        <f>MAX(M2:M16)</f>
        <v>115.46171390000001</v>
      </c>
      <c r="N19">
        <f>MAX(N2:N16)</f>
        <v>112.5082154</v>
      </c>
      <c r="AA19">
        <f>MAX(AA2:AA16)</f>
        <v>140.88457550000001</v>
      </c>
      <c r="AB19">
        <f>MAX(AB2:AB16)</f>
        <v>139.35526290000001</v>
      </c>
      <c r="AN19">
        <f>MAX(AN2:AN16)</f>
        <v>139.71342480000001</v>
      </c>
      <c r="AO19">
        <f>MAX(AO2:AO16)</f>
        <v>137.40713210000001</v>
      </c>
    </row>
    <row r="21" spans="1:44" x14ac:dyDescent="0.45">
      <c r="A21" s="4" t="s">
        <v>171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xTB</vt:lpstr>
      <vt:lpstr>DFT</vt:lpstr>
      <vt:lpstr>C-Cu-C angle alpha</vt:lpstr>
      <vt:lpstr>N1-Cu-C angle beta1</vt:lpstr>
      <vt:lpstr>N2-Cu-C angle beta2</vt:lpstr>
      <vt:lpstr>Bite angle theta wo outliers</vt:lpstr>
      <vt:lpstr>Bite angle theta with outliers</vt:lpstr>
      <vt:lpstr>L27g-xTB vs DFT </vt:lpstr>
      <vt:lpstr>L50g-xTB vs DFT</vt:lpstr>
      <vt:lpstr>L10g-xtb vs DFT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Arushi Tyagi</cp:lastModifiedBy>
  <cp:lastPrinted>2026-04-24T10:18:01Z</cp:lastPrinted>
  <dcterms:created xsi:type="dcterms:W3CDTF">2026-01-23T16:01:03Z</dcterms:created>
  <dcterms:modified xsi:type="dcterms:W3CDTF">2026-06-08T12:01:51Z</dcterms:modified>
</cp:coreProperties>
</file>