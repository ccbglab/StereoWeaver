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rushityagi_iisc_ac_in/Documents/Desktop/PhD_2025/SMILES_project/P1_updated_work_in_this/SMILES_project/xTB_22may2026/Descriptors/"/>
    </mc:Choice>
  </mc:AlternateContent>
  <xr:revisionPtr revIDLastSave="1979" documentId="13_ncr:1_{C2F42A1A-F3AD-459C-B9F6-1A17F21557F3}" xr6:coauthVersionLast="47" xr6:coauthVersionMax="47" xr10:uidLastSave="{367B4B64-F412-465C-ABA8-43145194DB76}"/>
  <bookViews>
    <workbookView xWindow="-98" yWindow="-98" windowWidth="19396" windowHeight="11596" xr2:uid="{00000000-000D-0000-FFFF-FFFF00000000}"/>
  </bookViews>
  <sheets>
    <sheet name="xTB vs DFT Full dipole moment " sheetId="26" r:id="rId1"/>
    <sheet name="xTB-dipole" sheetId="27" r:id="rId2"/>
    <sheet name="DFT-dipole" sheetId="2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26" l="1"/>
  <c r="E86" i="26"/>
  <c r="F86" i="26"/>
  <c r="D119" i="26"/>
  <c r="E119" i="26"/>
  <c r="D98" i="26"/>
  <c r="E98" i="26"/>
  <c r="D36" i="26"/>
  <c r="D30" i="26"/>
  <c r="E30" i="26"/>
  <c r="D25" i="26"/>
  <c r="D13" i="26"/>
  <c r="G2" i="26"/>
  <c r="H2" i="26" s="1"/>
  <c r="C136" i="26"/>
  <c r="C135" i="26"/>
  <c r="B136" i="26"/>
  <c r="B135" i="26"/>
  <c r="D11" i="26"/>
  <c r="E11" i="26" s="1"/>
  <c r="F11" i="26" s="1"/>
  <c r="D12" i="26"/>
  <c r="E12" i="26" s="1"/>
  <c r="F12" i="26" s="1"/>
  <c r="D14" i="26"/>
  <c r="E14" i="26" s="1"/>
  <c r="F14" i="26" s="1"/>
  <c r="D15" i="26"/>
  <c r="D16" i="26"/>
  <c r="D17" i="26"/>
  <c r="D18" i="26"/>
  <c r="D19" i="26"/>
  <c r="D20" i="26"/>
  <c r="E20" i="26" s="1"/>
  <c r="F20" i="26" s="1"/>
  <c r="D21" i="26"/>
  <c r="D22" i="26"/>
  <c r="D23" i="26"/>
  <c r="D24" i="26"/>
  <c r="D26" i="26"/>
  <c r="D27" i="26"/>
  <c r="D28" i="26"/>
  <c r="D29" i="26"/>
  <c r="D31" i="26"/>
  <c r="E31" i="26" s="1"/>
  <c r="F31" i="26" s="1"/>
  <c r="D32" i="26"/>
  <c r="E32" i="26" s="1"/>
  <c r="F32" i="26" s="1"/>
  <c r="D33" i="26"/>
  <c r="E33" i="26" s="1"/>
  <c r="F33" i="26" s="1"/>
  <c r="D34" i="26"/>
  <c r="E34" i="26" s="1"/>
  <c r="F34" i="26" s="1"/>
  <c r="D35" i="26"/>
  <c r="E35" i="26" s="1"/>
  <c r="F35" i="26" s="1"/>
  <c r="D37" i="26"/>
  <c r="E37" i="26" s="1"/>
  <c r="F37" i="26" s="1"/>
  <c r="D38" i="26"/>
  <c r="E38" i="26" s="1"/>
  <c r="F38" i="26" s="1"/>
  <c r="D39" i="26"/>
  <c r="E39" i="26" s="1"/>
  <c r="F39" i="26" s="1"/>
  <c r="D40" i="26"/>
  <c r="E40" i="26" s="1"/>
  <c r="F40" i="26" s="1"/>
  <c r="D41" i="26"/>
  <c r="E41" i="26" s="1"/>
  <c r="F41" i="26" s="1"/>
  <c r="D42" i="26"/>
  <c r="E42" i="26" s="1"/>
  <c r="F42" i="26" s="1"/>
  <c r="D43" i="26"/>
  <c r="E43" i="26" s="1"/>
  <c r="F43" i="26" s="1"/>
  <c r="D44" i="26"/>
  <c r="E44" i="26" s="1"/>
  <c r="F44" i="26" s="1"/>
  <c r="D45" i="26"/>
  <c r="E45" i="26" s="1"/>
  <c r="F45" i="26" s="1"/>
  <c r="D46" i="26"/>
  <c r="E46" i="26" s="1"/>
  <c r="F46" i="26" s="1"/>
  <c r="D47" i="26"/>
  <c r="E47" i="26" s="1"/>
  <c r="F47" i="26" s="1"/>
  <c r="D48" i="26"/>
  <c r="E48" i="26" s="1"/>
  <c r="F48" i="26" s="1"/>
  <c r="D49" i="26"/>
  <c r="E49" i="26" s="1"/>
  <c r="F49" i="26" s="1"/>
  <c r="D50" i="26"/>
  <c r="E50" i="26" s="1"/>
  <c r="F50" i="26" s="1"/>
  <c r="D51" i="26"/>
  <c r="E51" i="26" s="1"/>
  <c r="F51" i="26" s="1"/>
  <c r="D52" i="26"/>
  <c r="E52" i="26" s="1"/>
  <c r="F52" i="26" s="1"/>
  <c r="D53" i="26"/>
  <c r="E53" i="26" s="1"/>
  <c r="F53" i="26" s="1"/>
  <c r="D54" i="26"/>
  <c r="E54" i="26" s="1"/>
  <c r="F54" i="26" s="1"/>
  <c r="D55" i="26"/>
  <c r="E55" i="26" s="1"/>
  <c r="F55" i="26" s="1"/>
  <c r="D56" i="26"/>
  <c r="E56" i="26" s="1"/>
  <c r="F56" i="26" s="1"/>
  <c r="D57" i="26"/>
  <c r="E57" i="26" s="1"/>
  <c r="F57" i="26" s="1"/>
  <c r="D58" i="26"/>
  <c r="E58" i="26" s="1"/>
  <c r="F58" i="26" s="1"/>
  <c r="D59" i="26"/>
  <c r="E59" i="26" s="1"/>
  <c r="F59" i="26" s="1"/>
  <c r="D60" i="26"/>
  <c r="E60" i="26" s="1"/>
  <c r="F60" i="26" s="1"/>
  <c r="D61" i="26"/>
  <c r="E61" i="26" s="1"/>
  <c r="F61" i="26" s="1"/>
  <c r="D62" i="26"/>
  <c r="E62" i="26" s="1"/>
  <c r="F62" i="26" s="1"/>
  <c r="D63" i="26"/>
  <c r="E63" i="26" s="1"/>
  <c r="F63" i="26" s="1"/>
  <c r="D64" i="26"/>
  <c r="E64" i="26" s="1"/>
  <c r="F64" i="26" s="1"/>
  <c r="D65" i="26"/>
  <c r="E65" i="26" s="1"/>
  <c r="F65" i="26" s="1"/>
  <c r="D66" i="26"/>
  <c r="E66" i="26" s="1"/>
  <c r="F66" i="26" s="1"/>
  <c r="D67" i="26"/>
  <c r="E67" i="26" s="1"/>
  <c r="F67" i="26" s="1"/>
  <c r="D68" i="26"/>
  <c r="E68" i="26" s="1"/>
  <c r="F68" i="26" s="1"/>
  <c r="D69" i="26"/>
  <c r="E69" i="26" s="1"/>
  <c r="F69" i="26" s="1"/>
  <c r="D70" i="26"/>
  <c r="E70" i="26" s="1"/>
  <c r="F70" i="26" s="1"/>
  <c r="D71" i="26"/>
  <c r="E71" i="26" s="1"/>
  <c r="F71" i="26" s="1"/>
  <c r="D72" i="26"/>
  <c r="E72" i="26" s="1"/>
  <c r="F72" i="26" s="1"/>
  <c r="D73" i="26"/>
  <c r="E73" i="26" s="1"/>
  <c r="F73" i="26" s="1"/>
  <c r="D74" i="26"/>
  <c r="E74" i="26" s="1"/>
  <c r="F74" i="26" s="1"/>
  <c r="D75" i="26"/>
  <c r="E75" i="26" s="1"/>
  <c r="F75" i="26" s="1"/>
  <c r="D76" i="26"/>
  <c r="E76" i="26" s="1"/>
  <c r="F76" i="26" s="1"/>
  <c r="D77" i="26"/>
  <c r="E77" i="26" s="1"/>
  <c r="F77" i="26" s="1"/>
  <c r="D78" i="26"/>
  <c r="E78" i="26" s="1"/>
  <c r="F78" i="26" s="1"/>
  <c r="D79" i="26"/>
  <c r="E79" i="26" s="1"/>
  <c r="F79" i="26" s="1"/>
  <c r="D80" i="26"/>
  <c r="E80" i="26" s="1"/>
  <c r="F80" i="26" s="1"/>
  <c r="D81" i="26"/>
  <c r="E81" i="26" s="1"/>
  <c r="F81" i="26" s="1"/>
  <c r="D82" i="26"/>
  <c r="E82" i="26" s="1"/>
  <c r="F82" i="26" s="1"/>
  <c r="D83" i="26"/>
  <c r="E83" i="26" s="1"/>
  <c r="F83" i="26" s="1"/>
  <c r="D84" i="26"/>
  <c r="E84" i="26" s="1"/>
  <c r="F84" i="26" s="1"/>
  <c r="D85" i="26"/>
  <c r="E85" i="26" s="1"/>
  <c r="F85" i="26" s="1"/>
  <c r="D87" i="26"/>
  <c r="E87" i="26" s="1"/>
  <c r="F87" i="26" s="1"/>
  <c r="D88" i="26"/>
  <c r="E88" i="26" s="1"/>
  <c r="F88" i="26" s="1"/>
  <c r="D89" i="26"/>
  <c r="E89" i="26" s="1"/>
  <c r="F89" i="26" s="1"/>
  <c r="D90" i="26"/>
  <c r="E90" i="26" s="1"/>
  <c r="F90" i="26" s="1"/>
  <c r="D91" i="26"/>
  <c r="E91" i="26" s="1"/>
  <c r="F91" i="26" s="1"/>
  <c r="D92" i="26"/>
  <c r="E92" i="26" s="1"/>
  <c r="F92" i="26" s="1"/>
  <c r="D93" i="26"/>
  <c r="E93" i="26" s="1"/>
  <c r="F93" i="26" s="1"/>
  <c r="D94" i="26"/>
  <c r="E94" i="26" s="1"/>
  <c r="F94" i="26" s="1"/>
  <c r="D95" i="26"/>
  <c r="E95" i="26" s="1"/>
  <c r="F95" i="26" s="1"/>
  <c r="D96" i="26"/>
  <c r="E96" i="26" s="1"/>
  <c r="F96" i="26" s="1"/>
  <c r="D97" i="26"/>
  <c r="E97" i="26" s="1"/>
  <c r="F97" i="26" s="1"/>
  <c r="D99" i="26"/>
  <c r="E99" i="26" s="1"/>
  <c r="F99" i="26" s="1"/>
  <c r="D100" i="26"/>
  <c r="E100" i="26" s="1"/>
  <c r="F100" i="26" s="1"/>
  <c r="D101" i="26"/>
  <c r="E101" i="26" s="1"/>
  <c r="F101" i="26" s="1"/>
  <c r="D102" i="26"/>
  <c r="E102" i="26" s="1"/>
  <c r="F102" i="26" s="1"/>
  <c r="D103" i="26"/>
  <c r="E103" i="26" s="1"/>
  <c r="F103" i="26" s="1"/>
  <c r="D104" i="26"/>
  <c r="E104" i="26" s="1"/>
  <c r="F104" i="26" s="1"/>
  <c r="D105" i="26"/>
  <c r="E105" i="26" s="1"/>
  <c r="F105" i="26" s="1"/>
  <c r="D106" i="26"/>
  <c r="E106" i="26" s="1"/>
  <c r="F106" i="26" s="1"/>
  <c r="D107" i="26"/>
  <c r="E107" i="26" s="1"/>
  <c r="F107" i="26" s="1"/>
  <c r="D108" i="26"/>
  <c r="E108" i="26" s="1"/>
  <c r="F108" i="26" s="1"/>
  <c r="D109" i="26"/>
  <c r="E109" i="26" s="1"/>
  <c r="F109" i="26" s="1"/>
  <c r="D110" i="26"/>
  <c r="E110" i="26" s="1"/>
  <c r="F110" i="26" s="1"/>
  <c r="D111" i="26"/>
  <c r="E111" i="26" s="1"/>
  <c r="F111" i="26" s="1"/>
  <c r="D112" i="26"/>
  <c r="E112" i="26" s="1"/>
  <c r="F112" i="26" s="1"/>
  <c r="D113" i="26"/>
  <c r="E113" i="26" s="1"/>
  <c r="F113" i="26" s="1"/>
  <c r="D114" i="26"/>
  <c r="E114" i="26" s="1"/>
  <c r="F114" i="26" s="1"/>
  <c r="D115" i="26"/>
  <c r="E115" i="26" s="1"/>
  <c r="F115" i="26" s="1"/>
  <c r="D116" i="26"/>
  <c r="E116" i="26" s="1"/>
  <c r="F116" i="26" s="1"/>
  <c r="D117" i="26"/>
  <c r="E117" i="26" s="1"/>
  <c r="F117" i="26" s="1"/>
  <c r="D118" i="26"/>
  <c r="E118" i="26" s="1"/>
  <c r="F118" i="26" s="1"/>
  <c r="D120" i="26"/>
  <c r="E120" i="26" s="1"/>
  <c r="F120" i="26" s="1"/>
  <c r="D121" i="26"/>
  <c r="E121" i="26" s="1"/>
  <c r="F121" i="26" s="1"/>
  <c r="D122" i="26"/>
  <c r="E122" i="26" s="1"/>
  <c r="F122" i="26" s="1"/>
  <c r="D123" i="26"/>
  <c r="E123" i="26" s="1"/>
  <c r="F123" i="26" s="1"/>
  <c r="D124" i="26"/>
  <c r="E124" i="26" s="1"/>
  <c r="F124" i="26" s="1"/>
  <c r="D125" i="26"/>
  <c r="E125" i="26" s="1"/>
  <c r="F125" i="26" s="1"/>
  <c r="D126" i="26"/>
  <c r="E126" i="26" s="1"/>
  <c r="F126" i="26" s="1"/>
  <c r="D127" i="26"/>
  <c r="E127" i="26" s="1"/>
  <c r="F127" i="26" s="1"/>
  <c r="D128" i="26"/>
  <c r="E128" i="26" s="1"/>
  <c r="F128" i="26" s="1"/>
  <c r="D129" i="26"/>
  <c r="E129" i="26" s="1"/>
  <c r="F129" i="26" s="1"/>
  <c r="D130" i="26"/>
  <c r="E130" i="26" s="1"/>
  <c r="F130" i="26" s="1"/>
  <c r="D131" i="26"/>
  <c r="E131" i="26" s="1"/>
  <c r="F131" i="26" s="1"/>
  <c r="D132" i="26"/>
  <c r="E132" i="26" s="1"/>
  <c r="F132" i="26" s="1"/>
  <c r="D133" i="26"/>
  <c r="E133" i="26" s="1"/>
  <c r="F133" i="26" s="1"/>
  <c r="D3" i="26"/>
  <c r="E3" i="26" s="1"/>
  <c r="F3" i="26" s="1"/>
  <c r="D4" i="26"/>
  <c r="E4" i="26" s="1"/>
  <c r="F4" i="26" s="1"/>
  <c r="D5" i="26"/>
  <c r="E5" i="26" s="1"/>
  <c r="F5" i="26" s="1"/>
  <c r="D6" i="26"/>
  <c r="E6" i="26" s="1"/>
  <c r="F6" i="26" s="1"/>
  <c r="D7" i="26"/>
  <c r="E7" i="26" s="1"/>
  <c r="F7" i="26" s="1"/>
  <c r="D8" i="26"/>
  <c r="E8" i="26" s="1"/>
  <c r="F8" i="26" s="1"/>
  <c r="D9" i="26"/>
  <c r="E9" i="26" s="1"/>
  <c r="F9" i="26" s="1"/>
  <c r="D10" i="26"/>
  <c r="D2" i="26"/>
  <c r="F119" i="26" l="1"/>
  <c r="F98" i="26"/>
  <c r="E25" i="26"/>
  <c r="F25" i="26"/>
  <c r="E36" i="26"/>
  <c r="F36" i="26" s="1"/>
  <c r="F30" i="26"/>
  <c r="E10" i="26"/>
  <c r="F10" i="26" s="1"/>
  <c r="E13" i="26"/>
  <c r="F13" i="26" s="1"/>
  <c r="E21" i="26"/>
  <c r="F21" i="26" s="1"/>
  <c r="E28" i="26"/>
  <c r="F28" i="26" s="1"/>
  <c r="E23" i="26"/>
  <c r="F23" i="26" s="1"/>
  <c r="E29" i="26"/>
  <c r="F29" i="26" s="1"/>
  <c r="E24" i="26"/>
  <c r="F24" i="26" s="1"/>
  <c r="E26" i="26"/>
  <c r="F26" i="26" s="1"/>
  <c r="E27" i="26"/>
  <c r="F27" i="26" s="1"/>
  <c r="E22" i="26"/>
  <c r="F22" i="26" s="1"/>
  <c r="E19" i="26"/>
  <c r="F19" i="26" s="1"/>
  <c r="E18" i="26"/>
  <c r="F18" i="26" s="1"/>
  <c r="E17" i="26"/>
  <c r="F17" i="26" s="1"/>
  <c r="E15" i="26"/>
  <c r="F15" i="26" s="1"/>
  <c r="D134" i="26"/>
  <c r="E16" i="26"/>
  <c r="F16" i="26" s="1"/>
  <c r="E2" i="26"/>
  <c r="E134" i="26" l="1"/>
  <c r="F2" i="26"/>
  <c r="F134" i="26" s="1"/>
</calcChain>
</file>

<file path=xl/sharedStrings.xml><?xml version="1.0" encoding="utf-8"?>
<sst xmlns="http://schemas.openxmlformats.org/spreadsheetml/2006/main" count="426" uniqueCount="156">
  <si>
    <t>Bias</t>
  </si>
  <si>
    <t>MAE</t>
  </si>
  <si>
    <t>RMSE</t>
  </si>
  <si>
    <t>R</t>
  </si>
  <si>
    <t>R2</t>
  </si>
  <si>
    <t>Perfect line</t>
  </si>
  <si>
    <t>Name</t>
  </si>
  <si>
    <t>M4_L8_D1</t>
  </si>
  <si>
    <t>M4_L9_D1</t>
  </si>
  <si>
    <t>M4_L10_D1</t>
  </si>
  <si>
    <t>M4_L11_D1</t>
  </si>
  <si>
    <t>M4_L12_D1</t>
  </si>
  <si>
    <t>M4_L13_D1</t>
  </si>
  <si>
    <t>M4_L14_D1</t>
  </si>
  <si>
    <t>M4_L16_D1</t>
  </si>
  <si>
    <t>M4_L23_D1</t>
  </si>
  <si>
    <t>M4_L24_D1</t>
  </si>
  <si>
    <t>M4_L25_D1</t>
  </si>
  <si>
    <t>M4_L26_D1</t>
  </si>
  <si>
    <t>M4_L27_D1</t>
  </si>
  <si>
    <t>M4_L28_D1</t>
  </si>
  <si>
    <t>M4_L29_D1</t>
  </si>
  <si>
    <t>M4_L30_D1</t>
  </si>
  <si>
    <t>M4_L31_D1</t>
  </si>
  <si>
    <t>M4_L32_D1</t>
  </si>
  <si>
    <t>M4_L35_D1</t>
  </si>
  <si>
    <t>M4_L36_D1</t>
  </si>
  <si>
    <t>M4_L37_D1</t>
  </si>
  <si>
    <t>M4_L38_D1</t>
  </si>
  <si>
    <t>M4_L40_D1</t>
  </si>
  <si>
    <t>M4_L41_D1</t>
  </si>
  <si>
    <t>M4_L42_D1</t>
  </si>
  <si>
    <t>M4_L46_D1</t>
  </si>
  <si>
    <t>M4_L47_D1</t>
  </si>
  <si>
    <t>M4_L48_D1</t>
  </si>
  <si>
    <t>M4_L49_D1</t>
  </si>
  <si>
    <t>M4_L50_D1</t>
  </si>
  <si>
    <t>M4_L51_D1</t>
  </si>
  <si>
    <t>M4_L52_D1</t>
  </si>
  <si>
    <t>M4_L53_D1</t>
  </si>
  <si>
    <t>M4_L54_D1</t>
  </si>
  <si>
    <t>M4_L55_D1</t>
  </si>
  <si>
    <t>M4_L56_D1</t>
  </si>
  <si>
    <t>M4_L57_D1</t>
  </si>
  <si>
    <t>M4_L58_D1</t>
  </si>
  <si>
    <t>M4_L59_D1</t>
  </si>
  <si>
    <t>M4_L60_D1</t>
  </si>
  <si>
    <t>M4_L61_D1</t>
  </si>
  <si>
    <t>M4_L62_D1</t>
  </si>
  <si>
    <t>M4_L63_D1</t>
  </si>
  <si>
    <t>M4_L64_D1</t>
  </si>
  <si>
    <t>M4_L65_D1</t>
  </si>
  <si>
    <t>M4_L66_D1</t>
  </si>
  <si>
    <t>M4_L67_D1</t>
  </si>
  <si>
    <t>M4_L70_D1</t>
  </si>
  <si>
    <t>M4_L71_D1</t>
  </si>
  <si>
    <t>M4_L72_D1</t>
  </si>
  <si>
    <t>M4_L73_D1</t>
  </si>
  <si>
    <t>M4_L74_D1</t>
  </si>
  <si>
    <t>M4_L78_D1</t>
  </si>
  <si>
    <t>M4_L79_D1</t>
  </si>
  <si>
    <t>M4_L80_D1</t>
  </si>
  <si>
    <t>M4_L81_D1</t>
  </si>
  <si>
    <t>M4_L82_D1</t>
  </si>
  <si>
    <t>M4_L83_D1</t>
  </si>
  <si>
    <t>M4_L84_D1</t>
  </si>
  <si>
    <t>M4_L85_D1</t>
  </si>
  <si>
    <t>M4_L86_D1</t>
  </si>
  <si>
    <t>M4_L92_D1</t>
  </si>
  <si>
    <t>M4_L93_D1</t>
  </si>
  <si>
    <t>M4_L94_D1</t>
  </si>
  <si>
    <t>M4_L95_D1</t>
  </si>
  <si>
    <t>M4_L96_D1</t>
  </si>
  <si>
    <t>M4_L97_D1</t>
  </si>
  <si>
    <t>M4_L98_D1</t>
  </si>
  <si>
    <t>M4_L99_D1</t>
  </si>
  <si>
    <t>M4_L100_D1</t>
  </si>
  <si>
    <t>M4_L101_D1</t>
  </si>
  <si>
    <t>M4_L102_D1</t>
  </si>
  <si>
    <t>M4_L103_D1</t>
  </si>
  <si>
    <t>M4_L104_D1</t>
  </si>
  <si>
    <t>M4_L106_D1</t>
  </si>
  <si>
    <t>M4_L108_D1</t>
  </si>
  <si>
    <t>M4_L109_D1</t>
  </si>
  <si>
    <t>M4_L110_D1</t>
  </si>
  <si>
    <t>M4_L113_D1</t>
  </si>
  <si>
    <t>M4_L114_D1</t>
  </si>
  <si>
    <t>M4_L115_D1</t>
  </si>
  <si>
    <t>M4_L116_D1</t>
  </si>
  <si>
    <t>M4_L117_D1</t>
  </si>
  <si>
    <t>M4_L118_D1</t>
  </si>
  <si>
    <t>M4_L119_D1</t>
  </si>
  <si>
    <t>M4_L120_D1</t>
  </si>
  <si>
    <t>M4_L121_D1</t>
  </si>
  <si>
    <t>M4_L122_D1</t>
  </si>
  <si>
    <t>M4_L123_D1</t>
  </si>
  <si>
    <t>M4_L124_D1</t>
  </si>
  <si>
    <t>M4_L125_D1</t>
  </si>
  <si>
    <t>M4_L126_D1</t>
  </si>
  <si>
    <t>M4_L127_D1</t>
  </si>
  <si>
    <t>M4_L128_D1</t>
  </si>
  <si>
    <t>M4_L129_D1</t>
  </si>
  <si>
    <t>M4_L130_D1</t>
  </si>
  <si>
    <t>M4_L131_D1</t>
  </si>
  <si>
    <t>M4_L132_D1</t>
  </si>
  <si>
    <t>M4_L133_D1</t>
  </si>
  <si>
    <t>M4_L134_D1</t>
  </si>
  <si>
    <t>M4_L137_D1</t>
  </si>
  <si>
    <t>M4_L138_D1</t>
  </si>
  <si>
    <t>M4_L139_D1</t>
  </si>
  <si>
    <t>M4_L140_D1</t>
  </si>
  <si>
    <t>M4_L141_D1</t>
  </si>
  <si>
    <t>M4_L142_D1</t>
  </si>
  <si>
    <t>M4_L1_D1</t>
  </si>
  <si>
    <t>M4_L2_D1</t>
  </si>
  <si>
    <t>M4_L3_D1</t>
  </si>
  <si>
    <t>M4_L4_D1</t>
  </si>
  <si>
    <t>M4_L5_D1</t>
  </si>
  <si>
    <t>M4_L7_D1</t>
  </si>
  <si>
    <t>M4_L15_D1</t>
  </si>
  <si>
    <t>M4_L17_D1</t>
  </si>
  <si>
    <t>M4_L18_D1</t>
  </si>
  <si>
    <t>M4_L19_D1</t>
  </si>
  <si>
    <t>M4_L20_D1</t>
  </si>
  <si>
    <t>M4_L21_D1</t>
  </si>
  <si>
    <t>M4_L22_D1</t>
  </si>
  <si>
    <t>M4_L39_D1</t>
  </si>
  <si>
    <t>M4_L43_D1</t>
  </si>
  <si>
    <t>M4_L44_D1</t>
  </si>
  <si>
    <t>M4_L68_D1</t>
  </si>
  <si>
    <t>M4_L69_D1</t>
  </si>
  <si>
    <t>M4_L75_D1</t>
  </si>
  <si>
    <t>M4_L76_D1</t>
  </si>
  <si>
    <t>M4_L77_D1</t>
  </si>
  <si>
    <t>M4_L87_D1</t>
  </si>
  <si>
    <t>M4_L88_D1</t>
  </si>
  <si>
    <t>M4_L89_D1</t>
  </si>
  <si>
    <t>M4_L90_D1</t>
  </si>
  <si>
    <t>M4_L91_D1</t>
  </si>
  <si>
    <t>M4_L111_D1</t>
  </si>
  <si>
    <t>M4_L112_D1</t>
  </si>
  <si>
    <t>M4_L135_D1</t>
  </si>
  <si>
    <t>M4_L136_D1</t>
  </si>
  <si>
    <t>dipole_qx</t>
  </si>
  <si>
    <t>dipole_qy</t>
  </si>
  <si>
    <t>dipole_qz</t>
  </si>
  <si>
    <t>dipole_full_x</t>
  </si>
  <si>
    <t>dipole_full_y</t>
  </si>
  <si>
    <t>dipole_full_z</t>
  </si>
  <si>
    <t>dipole_full_total</t>
  </si>
  <si>
    <t>Dipole_X</t>
  </si>
  <si>
    <t>Dipole_Y</t>
  </si>
  <si>
    <t>Dipole_Z</t>
  </si>
  <si>
    <t>Dipole_Tot</t>
  </si>
  <si>
    <t>xTB_dipole_full_total</t>
  </si>
  <si>
    <t>DFT_Dipole_Tot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</si>
</sst>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Total Dipole moment, </a:t>
            </a:r>
            <a:r>
              <a:rPr lang="el-GR" sz="1600" b="1" i="1" u="none" strike="noStrike" kern="1200" spc="0" baseline="0">
                <a:solidFill>
                  <a:sysClr val="windowText" lastClr="000000"/>
                </a:solidFill>
              </a:rPr>
              <a:t>μ</a:t>
            </a:r>
            <a:r>
              <a:rPr lang="en-IN" sz="1600" b="1" baseline="0">
                <a:solidFill>
                  <a:sysClr val="windowText" lastClr="000000"/>
                </a:solidFill>
              </a:rPr>
              <a:t> </a:t>
            </a:r>
            <a:endParaRPr lang="en-IN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401469664657692"/>
          <c:y val="9.91325898389095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8349984572977365"/>
                  <c:y val="-0.1588802700777644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l-GR" sz="1000" b="1" i="1" u="none" strike="noStrike" baseline="0">
                        <a:effectLst/>
                      </a:rPr>
                      <a:t>μ</a:t>
                    </a:r>
                    <a:r>
                      <a:rPr lang="en-GB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= 0.64</a:t>
                    </a:r>
                    <a:r>
                      <a:rPr lang="el-GR" sz="1000" b="1" i="1" u="none" strike="noStrike" baseline="0">
                        <a:effectLst/>
                      </a:rPr>
                      <a:t>μ</a:t>
                    </a:r>
                    <a:r>
                      <a:rPr lang="en-GB" sz="1000" b="1" i="0" u="none" strike="noStrike" baseline="-25000">
                        <a:effectLst/>
                      </a:rPr>
                      <a:t>xTB </a:t>
                    </a:r>
                    <a:r>
                      <a:rPr lang="en-US" sz="1000" b="1" baseline="0"/>
                      <a:t> + 1.74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0.36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0.60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1.26D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1.61D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132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'xTB vs DFT Full dipole moment '!$B$2:$B$133</c:f>
              <c:numCache>
                <c:formatCode>General</c:formatCode>
                <c:ptCount val="132"/>
                <c:pt idx="0">
                  <c:v>3.194</c:v>
                </c:pt>
                <c:pt idx="1">
                  <c:v>3.198</c:v>
                </c:pt>
                <c:pt idx="2">
                  <c:v>4.5720000000000001</c:v>
                </c:pt>
                <c:pt idx="3">
                  <c:v>6.407</c:v>
                </c:pt>
                <c:pt idx="4">
                  <c:v>1.873</c:v>
                </c:pt>
                <c:pt idx="5">
                  <c:v>6.0010000000000003</c:v>
                </c:pt>
                <c:pt idx="6">
                  <c:v>2.6749999999999998</c:v>
                </c:pt>
                <c:pt idx="7">
                  <c:v>1.0760000000000001</c:v>
                </c:pt>
                <c:pt idx="8">
                  <c:v>2.5510000000000002</c:v>
                </c:pt>
                <c:pt idx="9">
                  <c:v>4.7030000000000003</c:v>
                </c:pt>
                <c:pt idx="10">
                  <c:v>2.3319999999999999</c:v>
                </c:pt>
                <c:pt idx="11">
                  <c:v>4.0960000000000001</c:v>
                </c:pt>
                <c:pt idx="12">
                  <c:v>1.645</c:v>
                </c:pt>
                <c:pt idx="13">
                  <c:v>2.1789999999999998</c:v>
                </c:pt>
                <c:pt idx="14">
                  <c:v>5.3090000000000002</c:v>
                </c:pt>
                <c:pt idx="15">
                  <c:v>3.149</c:v>
                </c:pt>
                <c:pt idx="16">
                  <c:v>4.0110000000000001</c:v>
                </c:pt>
                <c:pt idx="17">
                  <c:v>5.194</c:v>
                </c:pt>
                <c:pt idx="18">
                  <c:v>4.1669999999999998</c:v>
                </c:pt>
                <c:pt idx="19">
                  <c:v>5.3849999999999998</c:v>
                </c:pt>
                <c:pt idx="20">
                  <c:v>3.996</c:v>
                </c:pt>
                <c:pt idx="21">
                  <c:v>2.585</c:v>
                </c:pt>
                <c:pt idx="22">
                  <c:v>1.4510000000000001</c:v>
                </c:pt>
                <c:pt idx="23">
                  <c:v>2.1040000000000001</c:v>
                </c:pt>
                <c:pt idx="24">
                  <c:v>4.923</c:v>
                </c:pt>
                <c:pt idx="25">
                  <c:v>7.5860000000000003</c:v>
                </c:pt>
                <c:pt idx="26">
                  <c:v>3.6019999999999999</c:v>
                </c:pt>
                <c:pt idx="27">
                  <c:v>4.8479999999999999</c:v>
                </c:pt>
                <c:pt idx="28">
                  <c:v>7.1820000000000004</c:v>
                </c:pt>
                <c:pt idx="29">
                  <c:v>4.5259999999999998</c:v>
                </c:pt>
                <c:pt idx="30">
                  <c:v>6.516</c:v>
                </c:pt>
                <c:pt idx="31">
                  <c:v>5.69</c:v>
                </c:pt>
                <c:pt idx="32">
                  <c:v>7.1130000000000004</c:v>
                </c:pt>
                <c:pt idx="33">
                  <c:v>4.5819999999999999</c:v>
                </c:pt>
                <c:pt idx="34">
                  <c:v>3.0510000000000002</c:v>
                </c:pt>
                <c:pt idx="35">
                  <c:v>5.5179999999999998</c:v>
                </c:pt>
                <c:pt idx="36">
                  <c:v>5.1639999999999997</c:v>
                </c:pt>
                <c:pt idx="37">
                  <c:v>3.8380000000000001</c:v>
                </c:pt>
                <c:pt idx="38">
                  <c:v>2.4249999999999998</c:v>
                </c:pt>
                <c:pt idx="39">
                  <c:v>6.1280000000000001</c:v>
                </c:pt>
                <c:pt idx="40">
                  <c:v>4.8959999999999999</c:v>
                </c:pt>
                <c:pt idx="41">
                  <c:v>2.7240000000000002</c:v>
                </c:pt>
                <c:pt idx="42">
                  <c:v>2.5339999999999998</c:v>
                </c:pt>
                <c:pt idx="43">
                  <c:v>4.2919999999999998</c:v>
                </c:pt>
                <c:pt idx="44">
                  <c:v>3.7240000000000002</c:v>
                </c:pt>
                <c:pt idx="45">
                  <c:v>7.59</c:v>
                </c:pt>
                <c:pt idx="46">
                  <c:v>5.6580000000000004</c:v>
                </c:pt>
                <c:pt idx="47">
                  <c:v>3.1160000000000001</c:v>
                </c:pt>
                <c:pt idx="48">
                  <c:v>5.6139999999999999</c:v>
                </c:pt>
                <c:pt idx="49">
                  <c:v>1.5249999999999999</c:v>
                </c:pt>
                <c:pt idx="50">
                  <c:v>5.6989999999999998</c:v>
                </c:pt>
                <c:pt idx="51">
                  <c:v>1.8480000000000001</c:v>
                </c:pt>
                <c:pt idx="52">
                  <c:v>2.2519999999999998</c:v>
                </c:pt>
                <c:pt idx="53">
                  <c:v>2.512</c:v>
                </c:pt>
                <c:pt idx="54">
                  <c:v>8.8610000000000007</c:v>
                </c:pt>
                <c:pt idx="55">
                  <c:v>1.996</c:v>
                </c:pt>
                <c:pt idx="56">
                  <c:v>5.0670000000000002</c:v>
                </c:pt>
                <c:pt idx="57">
                  <c:v>4.16</c:v>
                </c:pt>
                <c:pt idx="58">
                  <c:v>3.2610000000000001</c:v>
                </c:pt>
                <c:pt idx="59">
                  <c:v>4.18</c:v>
                </c:pt>
                <c:pt idx="60">
                  <c:v>2.4809999999999999</c:v>
                </c:pt>
                <c:pt idx="61">
                  <c:v>2.6509999999999998</c:v>
                </c:pt>
                <c:pt idx="62">
                  <c:v>3.0030000000000001</c:v>
                </c:pt>
                <c:pt idx="63">
                  <c:v>4.09</c:v>
                </c:pt>
                <c:pt idx="64">
                  <c:v>3.798</c:v>
                </c:pt>
                <c:pt idx="65">
                  <c:v>1.9750000000000001</c:v>
                </c:pt>
                <c:pt idx="66">
                  <c:v>3.36</c:v>
                </c:pt>
                <c:pt idx="67">
                  <c:v>3.3210000000000002</c:v>
                </c:pt>
                <c:pt idx="68">
                  <c:v>6.0730000000000004</c:v>
                </c:pt>
                <c:pt idx="69">
                  <c:v>3.3450000000000002</c:v>
                </c:pt>
                <c:pt idx="70">
                  <c:v>2.5409999999999999</c:v>
                </c:pt>
                <c:pt idx="71">
                  <c:v>2.2320000000000002</c:v>
                </c:pt>
                <c:pt idx="72">
                  <c:v>3.4460000000000002</c:v>
                </c:pt>
                <c:pt idx="73">
                  <c:v>3.6190000000000002</c:v>
                </c:pt>
                <c:pt idx="74">
                  <c:v>2.3069999999999999</c:v>
                </c:pt>
                <c:pt idx="75">
                  <c:v>3.4049999999999998</c:v>
                </c:pt>
                <c:pt idx="76">
                  <c:v>4.7789999999999999</c:v>
                </c:pt>
                <c:pt idx="77">
                  <c:v>3.5960000000000001</c:v>
                </c:pt>
                <c:pt idx="78">
                  <c:v>4.7300000000000004</c:v>
                </c:pt>
                <c:pt idx="79">
                  <c:v>3.1379999999999999</c:v>
                </c:pt>
                <c:pt idx="80">
                  <c:v>2.4620000000000002</c:v>
                </c:pt>
                <c:pt idx="81">
                  <c:v>6.6790000000000003</c:v>
                </c:pt>
                <c:pt idx="82">
                  <c:v>7.3890000000000002</c:v>
                </c:pt>
                <c:pt idx="83">
                  <c:v>5.2930000000000001</c:v>
                </c:pt>
                <c:pt idx="84">
                  <c:v>4</c:v>
                </c:pt>
                <c:pt idx="85">
                  <c:v>5.1749999999999998</c:v>
                </c:pt>
                <c:pt idx="86">
                  <c:v>2.33</c:v>
                </c:pt>
                <c:pt idx="87">
                  <c:v>2.3250000000000002</c:v>
                </c:pt>
                <c:pt idx="88">
                  <c:v>4.6689999999999996</c:v>
                </c:pt>
                <c:pt idx="89">
                  <c:v>5.7610000000000001</c:v>
                </c:pt>
                <c:pt idx="90">
                  <c:v>2.9740000000000002</c:v>
                </c:pt>
                <c:pt idx="91">
                  <c:v>7.0170000000000003</c:v>
                </c:pt>
                <c:pt idx="92">
                  <c:v>3.0070000000000001</c:v>
                </c:pt>
                <c:pt idx="93">
                  <c:v>5.1639999999999997</c:v>
                </c:pt>
                <c:pt idx="94">
                  <c:v>8.4079999999999995</c:v>
                </c:pt>
                <c:pt idx="95">
                  <c:v>5.7530000000000001</c:v>
                </c:pt>
                <c:pt idx="96">
                  <c:v>5.2160000000000002</c:v>
                </c:pt>
                <c:pt idx="97">
                  <c:v>7.9770000000000003</c:v>
                </c:pt>
                <c:pt idx="98">
                  <c:v>6.016</c:v>
                </c:pt>
                <c:pt idx="99">
                  <c:v>2.4129999999999998</c:v>
                </c:pt>
                <c:pt idx="100">
                  <c:v>2.4</c:v>
                </c:pt>
                <c:pt idx="101">
                  <c:v>7.1740000000000004</c:v>
                </c:pt>
                <c:pt idx="102">
                  <c:v>1.6120000000000001</c:v>
                </c:pt>
                <c:pt idx="103">
                  <c:v>3.4129999999999998</c:v>
                </c:pt>
                <c:pt idx="104">
                  <c:v>3.0720000000000001</c:v>
                </c:pt>
                <c:pt idx="105">
                  <c:v>1.698</c:v>
                </c:pt>
                <c:pt idx="106">
                  <c:v>3.6549999999999998</c:v>
                </c:pt>
                <c:pt idx="107">
                  <c:v>4.4569999999999999</c:v>
                </c:pt>
                <c:pt idx="108">
                  <c:v>9.8520000000000003</c:v>
                </c:pt>
                <c:pt idx="109">
                  <c:v>4.5010000000000003</c:v>
                </c:pt>
                <c:pt idx="110">
                  <c:v>1.3220000000000001</c:v>
                </c:pt>
                <c:pt idx="111">
                  <c:v>4.9429999999999996</c:v>
                </c:pt>
                <c:pt idx="112">
                  <c:v>2.9279999999999999</c:v>
                </c:pt>
                <c:pt idx="113">
                  <c:v>2.1280000000000001</c:v>
                </c:pt>
                <c:pt idx="114">
                  <c:v>3.5169999999999999</c:v>
                </c:pt>
                <c:pt idx="115">
                  <c:v>3.5920000000000001</c:v>
                </c:pt>
                <c:pt idx="116">
                  <c:v>3.88</c:v>
                </c:pt>
                <c:pt idx="117">
                  <c:v>6.0129999999999999</c:v>
                </c:pt>
                <c:pt idx="118">
                  <c:v>3.762</c:v>
                </c:pt>
                <c:pt idx="119">
                  <c:v>4.2009999999999996</c:v>
                </c:pt>
                <c:pt idx="120">
                  <c:v>2.9540000000000002</c:v>
                </c:pt>
                <c:pt idx="121">
                  <c:v>3.11</c:v>
                </c:pt>
                <c:pt idx="122">
                  <c:v>2.952</c:v>
                </c:pt>
                <c:pt idx="123">
                  <c:v>1.889</c:v>
                </c:pt>
                <c:pt idx="124">
                  <c:v>3.32</c:v>
                </c:pt>
                <c:pt idx="125">
                  <c:v>4.4050000000000002</c:v>
                </c:pt>
                <c:pt idx="126">
                  <c:v>3.6819999999999999</c:v>
                </c:pt>
                <c:pt idx="127">
                  <c:v>4.3579999999999997</c:v>
                </c:pt>
                <c:pt idx="128">
                  <c:v>3.3260000000000001</c:v>
                </c:pt>
                <c:pt idx="129">
                  <c:v>2.9889999999999999</c:v>
                </c:pt>
                <c:pt idx="130">
                  <c:v>3.9049999999999998</c:v>
                </c:pt>
                <c:pt idx="131">
                  <c:v>3.3490000000000002</c:v>
                </c:pt>
              </c:numCache>
            </c:numRef>
          </c:xVal>
          <c:yVal>
            <c:numRef>
              <c:f>'xTB vs DFT Full dipole moment '!$C$2:$C$133</c:f>
              <c:numCache>
                <c:formatCode>General</c:formatCode>
                <c:ptCount val="132"/>
                <c:pt idx="0">
                  <c:v>2.4521999999999999</c:v>
                </c:pt>
                <c:pt idx="1">
                  <c:v>2.1617999999999999</c:v>
                </c:pt>
                <c:pt idx="2">
                  <c:v>2.5857000000000001</c:v>
                </c:pt>
                <c:pt idx="3">
                  <c:v>4.3338999999999999</c:v>
                </c:pt>
                <c:pt idx="4">
                  <c:v>2.0268999999999999</c:v>
                </c:pt>
                <c:pt idx="5">
                  <c:v>2.0537999999999998</c:v>
                </c:pt>
                <c:pt idx="6">
                  <c:v>4.6623999999999999</c:v>
                </c:pt>
                <c:pt idx="7">
                  <c:v>4.1437999999999997</c:v>
                </c:pt>
                <c:pt idx="8">
                  <c:v>3.1496</c:v>
                </c:pt>
                <c:pt idx="9">
                  <c:v>3.5529000000000002</c:v>
                </c:pt>
                <c:pt idx="10">
                  <c:v>4.3903999999999996</c:v>
                </c:pt>
                <c:pt idx="11">
                  <c:v>2.7945000000000002</c:v>
                </c:pt>
                <c:pt idx="12">
                  <c:v>3.1288999999999998</c:v>
                </c:pt>
                <c:pt idx="13">
                  <c:v>2.9218999999999999</c:v>
                </c:pt>
                <c:pt idx="14">
                  <c:v>5.0598000000000001</c:v>
                </c:pt>
                <c:pt idx="15">
                  <c:v>2.6516999999999999</c:v>
                </c:pt>
                <c:pt idx="16">
                  <c:v>4.9962999999999997</c:v>
                </c:pt>
                <c:pt idx="17">
                  <c:v>6.4123000000000001</c:v>
                </c:pt>
                <c:pt idx="18">
                  <c:v>6.5685000000000002</c:v>
                </c:pt>
                <c:pt idx="19">
                  <c:v>7.0830000000000002</c:v>
                </c:pt>
                <c:pt idx="20">
                  <c:v>3.3460000000000001</c:v>
                </c:pt>
                <c:pt idx="21">
                  <c:v>4.1096000000000004</c:v>
                </c:pt>
                <c:pt idx="22">
                  <c:v>2.1335000000000002</c:v>
                </c:pt>
                <c:pt idx="23">
                  <c:v>2.411</c:v>
                </c:pt>
                <c:pt idx="24">
                  <c:v>5.1105999999999998</c:v>
                </c:pt>
                <c:pt idx="25">
                  <c:v>5.7366999999999999</c:v>
                </c:pt>
                <c:pt idx="26">
                  <c:v>5.9695</c:v>
                </c:pt>
                <c:pt idx="27">
                  <c:v>6.9311999999999996</c:v>
                </c:pt>
                <c:pt idx="28">
                  <c:v>6.1147999999999998</c:v>
                </c:pt>
                <c:pt idx="29">
                  <c:v>4.8106999999999998</c:v>
                </c:pt>
                <c:pt idx="30">
                  <c:v>4.5735999999999999</c:v>
                </c:pt>
                <c:pt idx="31">
                  <c:v>8.5776000000000003</c:v>
                </c:pt>
                <c:pt idx="32">
                  <c:v>6.8472</c:v>
                </c:pt>
                <c:pt idx="33">
                  <c:v>4.4077000000000002</c:v>
                </c:pt>
                <c:pt idx="34">
                  <c:v>3.6930000000000001</c:v>
                </c:pt>
                <c:pt idx="35">
                  <c:v>8.7774999999999999</c:v>
                </c:pt>
                <c:pt idx="36">
                  <c:v>5.3935000000000004</c:v>
                </c:pt>
                <c:pt idx="37">
                  <c:v>3.3304999999999998</c:v>
                </c:pt>
                <c:pt idx="38">
                  <c:v>2.6806999999999999</c:v>
                </c:pt>
                <c:pt idx="39">
                  <c:v>7.1412000000000004</c:v>
                </c:pt>
                <c:pt idx="40">
                  <c:v>4.0993000000000004</c:v>
                </c:pt>
                <c:pt idx="41">
                  <c:v>4.4908999999999999</c:v>
                </c:pt>
                <c:pt idx="42">
                  <c:v>2.8102</c:v>
                </c:pt>
                <c:pt idx="43">
                  <c:v>4.0334000000000003</c:v>
                </c:pt>
                <c:pt idx="44">
                  <c:v>2.9291</c:v>
                </c:pt>
                <c:pt idx="45">
                  <c:v>7.7148000000000003</c:v>
                </c:pt>
                <c:pt idx="46">
                  <c:v>3.1015000000000001</c:v>
                </c:pt>
                <c:pt idx="47">
                  <c:v>2.3874</c:v>
                </c:pt>
                <c:pt idx="48">
                  <c:v>2.2633999999999999</c:v>
                </c:pt>
                <c:pt idx="49">
                  <c:v>2.3488000000000002</c:v>
                </c:pt>
                <c:pt idx="50">
                  <c:v>2.5621999999999998</c:v>
                </c:pt>
                <c:pt idx="51">
                  <c:v>2.3826999999999998</c:v>
                </c:pt>
                <c:pt idx="52">
                  <c:v>3.3007</c:v>
                </c:pt>
                <c:pt idx="53">
                  <c:v>3.9841000000000002</c:v>
                </c:pt>
                <c:pt idx="54">
                  <c:v>6.3041</c:v>
                </c:pt>
                <c:pt idx="55">
                  <c:v>2.7397</c:v>
                </c:pt>
                <c:pt idx="56">
                  <c:v>5.7389000000000001</c:v>
                </c:pt>
                <c:pt idx="57">
                  <c:v>4.3316999999999997</c:v>
                </c:pt>
                <c:pt idx="58">
                  <c:v>8.1740999999999993</c:v>
                </c:pt>
                <c:pt idx="59">
                  <c:v>3.5047999999999999</c:v>
                </c:pt>
                <c:pt idx="60">
                  <c:v>1.6243000000000001</c:v>
                </c:pt>
                <c:pt idx="61">
                  <c:v>3.2326999999999999</c:v>
                </c:pt>
                <c:pt idx="62">
                  <c:v>2.7827000000000002</c:v>
                </c:pt>
                <c:pt idx="63">
                  <c:v>3.0655999999999999</c:v>
                </c:pt>
                <c:pt idx="64">
                  <c:v>3.9188000000000001</c:v>
                </c:pt>
                <c:pt idx="65">
                  <c:v>4.6695000000000002</c:v>
                </c:pt>
                <c:pt idx="66">
                  <c:v>3.1964000000000001</c:v>
                </c:pt>
                <c:pt idx="67">
                  <c:v>5.1121999999999996</c:v>
                </c:pt>
                <c:pt idx="68">
                  <c:v>5.7622999999999998</c:v>
                </c:pt>
                <c:pt idx="69">
                  <c:v>2.1631</c:v>
                </c:pt>
                <c:pt idx="70">
                  <c:v>3.2848000000000002</c:v>
                </c:pt>
                <c:pt idx="71">
                  <c:v>2.2058</c:v>
                </c:pt>
                <c:pt idx="72">
                  <c:v>3.7930000000000001</c:v>
                </c:pt>
                <c:pt idx="73">
                  <c:v>3.9805999999999999</c:v>
                </c:pt>
                <c:pt idx="74">
                  <c:v>3.8889</c:v>
                </c:pt>
                <c:pt idx="75">
                  <c:v>2.4584999999999999</c:v>
                </c:pt>
                <c:pt idx="76">
                  <c:v>2.9441999999999999</c:v>
                </c:pt>
                <c:pt idx="77">
                  <c:v>4.3815</c:v>
                </c:pt>
                <c:pt idx="78">
                  <c:v>2.7949000000000002</c:v>
                </c:pt>
                <c:pt idx="79">
                  <c:v>2.9527000000000001</c:v>
                </c:pt>
                <c:pt idx="80">
                  <c:v>5.0591999999999997</c:v>
                </c:pt>
                <c:pt idx="81">
                  <c:v>4.6620999999999997</c:v>
                </c:pt>
                <c:pt idx="82">
                  <c:v>7.4009999999999998</c:v>
                </c:pt>
                <c:pt idx="83">
                  <c:v>6.4119999999999999</c:v>
                </c:pt>
                <c:pt idx="84">
                  <c:v>6.8371000000000004</c:v>
                </c:pt>
                <c:pt idx="85">
                  <c:v>6.2927</c:v>
                </c:pt>
                <c:pt idx="86">
                  <c:v>1.5803</c:v>
                </c:pt>
                <c:pt idx="87">
                  <c:v>2.1133999999999999</c:v>
                </c:pt>
                <c:pt idx="88">
                  <c:v>4.7031999999999998</c:v>
                </c:pt>
                <c:pt idx="89">
                  <c:v>6.8033999999999999</c:v>
                </c:pt>
                <c:pt idx="90">
                  <c:v>5.3250999999999999</c:v>
                </c:pt>
                <c:pt idx="91">
                  <c:v>8.4687999999999999</c:v>
                </c:pt>
                <c:pt idx="92">
                  <c:v>6.5141999999999998</c:v>
                </c:pt>
                <c:pt idx="93">
                  <c:v>4.6951999999999998</c:v>
                </c:pt>
                <c:pt idx="94">
                  <c:v>6.7881999999999998</c:v>
                </c:pt>
                <c:pt idx="95">
                  <c:v>3.2065000000000001</c:v>
                </c:pt>
                <c:pt idx="96">
                  <c:v>8.4675999999999991</c:v>
                </c:pt>
                <c:pt idx="97">
                  <c:v>4.8941999999999997</c:v>
                </c:pt>
                <c:pt idx="98">
                  <c:v>8.2866999999999997</c:v>
                </c:pt>
                <c:pt idx="99">
                  <c:v>3.5247999999999999</c:v>
                </c:pt>
                <c:pt idx="100">
                  <c:v>2.6814</c:v>
                </c:pt>
                <c:pt idx="101">
                  <c:v>7.1795</c:v>
                </c:pt>
                <c:pt idx="102">
                  <c:v>3.8708999999999998</c:v>
                </c:pt>
                <c:pt idx="103">
                  <c:v>3.6049000000000002</c:v>
                </c:pt>
                <c:pt idx="104">
                  <c:v>5.1578999999999997</c:v>
                </c:pt>
                <c:pt idx="105">
                  <c:v>4.2302</c:v>
                </c:pt>
                <c:pt idx="106">
                  <c:v>4.8000999999999996</c:v>
                </c:pt>
                <c:pt idx="107">
                  <c:v>3.1004</c:v>
                </c:pt>
                <c:pt idx="108">
                  <c:v>9.5962999999999994</c:v>
                </c:pt>
                <c:pt idx="109">
                  <c:v>3.5949</c:v>
                </c:pt>
                <c:pt idx="110">
                  <c:v>3.3098000000000001</c:v>
                </c:pt>
                <c:pt idx="111">
                  <c:v>2.5908000000000002</c:v>
                </c:pt>
                <c:pt idx="112">
                  <c:v>2.5493999999999999</c:v>
                </c:pt>
                <c:pt idx="113">
                  <c:v>3.4192</c:v>
                </c:pt>
                <c:pt idx="114">
                  <c:v>2.3094000000000001</c:v>
                </c:pt>
                <c:pt idx="115">
                  <c:v>3.6890999999999998</c:v>
                </c:pt>
                <c:pt idx="116">
                  <c:v>4.0391000000000004</c:v>
                </c:pt>
                <c:pt idx="117">
                  <c:v>10.065200000000001</c:v>
                </c:pt>
                <c:pt idx="118">
                  <c:v>4.2245999999999997</c:v>
                </c:pt>
                <c:pt idx="119">
                  <c:v>3.5423</c:v>
                </c:pt>
                <c:pt idx="120">
                  <c:v>4.3268000000000004</c:v>
                </c:pt>
                <c:pt idx="121">
                  <c:v>2.7565</c:v>
                </c:pt>
                <c:pt idx="122">
                  <c:v>3.8308</c:v>
                </c:pt>
                <c:pt idx="123">
                  <c:v>2.7791000000000001</c:v>
                </c:pt>
                <c:pt idx="124">
                  <c:v>2.714</c:v>
                </c:pt>
                <c:pt idx="125">
                  <c:v>2.6714000000000002</c:v>
                </c:pt>
                <c:pt idx="126">
                  <c:v>4.3160999999999996</c:v>
                </c:pt>
                <c:pt idx="127">
                  <c:v>3.6257999999999999</c:v>
                </c:pt>
                <c:pt idx="128">
                  <c:v>3.9378000000000002</c:v>
                </c:pt>
                <c:pt idx="129">
                  <c:v>3.4746999999999999</c:v>
                </c:pt>
                <c:pt idx="130">
                  <c:v>6.1821999999999999</c:v>
                </c:pt>
                <c:pt idx="131">
                  <c:v>5.0495000000000001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0-4146-BE25-96A699CCEC71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'xTB vs DFT Full dipole moment '!$B$2:$B$133</c:f>
              <c:numCache>
                <c:formatCode>General</c:formatCode>
                <c:ptCount val="132"/>
                <c:pt idx="0">
                  <c:v>3.194</c:v>
                </c:pt>
                <c:pt idx="1">
                  <c:v>3.198</c:v>
                </c:pt>
                <c:pt idx="2">
                  <c:v>4.5720000000000001</c:v>
                </c:pt>
                <c:pt idx="3">
                  <c:v>6.407</c:v>
                </c:pt>
                <c:pt idx="4">
                  <c:v>1.873</c:v>
                </c:pt>
                <c:pt idx="5">
                  <c:v>6.0010000000000003</c:v>
                </c:pt>
                <c:pt idx="6">
                  <c:v>2.6749999999999998</c:v>
                </c:pt>
                <c:pt idx="7">
                  <c:v>1.0760000000000001</c:v>
                </c:pt>
                <c:pt idx="8">
                  <c:v>2.5510000000000002</c:v>
                </c:pt>
                <c:pt idx="9">
                  <c:v>4.7030000000000003</c:v>
                </c:pt>
                <c:pt idx="10">
                  <c:v>2.3319999999999999</c:v>
                </c:pt>
                <c:pt idx="11">
                  <c:v>4.0960000000000001</c:v>
                </c:pt>
                <c:pt idx="12">
                  <c:v>1.645</c:v>
                </c:pt>
                <c:pt idx="13">
                  <c:v>2.1789999999999998</c:v>
                </c:pt>
                <c:pt idx="14">
                  <c:v>5.3090000000000002</c:v>
                </c:pt>
                <c:pt idx="15">
                  <c:v>3.149</c:v>
                </c:pt>
                <c:pt idx="16">
                  <c:v>4.0110000000000001</c:v>
                </c:pt>
                <c:pt idx="17">
                  <c:v>5.194</c:v>
                </c:pt>
                <c:pt idx="18">
                  <c:v>4.1669999999999998</c:v>
                </c:pt>
                <c:pt idx="19">
                  <c:v>5.3849999999999998</c:v>
                </c:pt>
                <c:pt idx="20">
                  <c:v>3.996</c:v>
                </c:pt>
                <c:pt idx="21">
                  <c:v>2.585</c:v>
                </c:pt>
                <c:pt idx="22">
                  <c:v>1.4510000000000001</c:v>
                </c:pt>
                <c:pt idx="23">
                  <c:v>2.1040000000000001</c:v>
                </c:pt>
                <c:pt idx="24">
                  <c:v>4.923</c:v>
                </c:pt>
                <c:pt idx="25">
                  <c:v>7.5860000000000003</c:v>
                </c:pt>
                <c:pt idx="26">
                  <c:v>3.6019999999999999</c:v>
                </c:pt>
                <c:pt idx="27">
                  <c:v>4.8479999999999999</c:v>
                </c:pt>
                <c:pt idx="28">
                  <c:v>7.1820000000000004</c:v>
                </c:pt>
                <c:pt idx="29">
                  <c:v>4.5259999999999998</c:v>
                </c:pt>
                <c:pt idx="30">
                  <c:v>6.516</c:v>
                </c:pt>
                <c:pt idx="31">
                  <c:v>5.69</c:v>
                </c:pt>
                <c:pt idx="32">
                  <c:v>7.1130000000000004</c:v>
                </c:pt>
                <c:pt idx="33">
                  <c:v>4.5819999999999999</c:v>
                </c:pt>
                <c:pt idx="34">
                  <c:v>3.0510000000000002</c:v>
                </c:pt>
                <c:pt idx="35">
                  <c:v>5.5179999999999998</c:v>
                </c:pt>
                <c:pt idx="36">
                  <c:v>5.1639999999999997</c:v>
                </c:pt>
                <c:pt idx="37">
                  <c:v>3.8380000000000001</c:v>
                </c:pt>
                <c:pt idx="38">
                  <c:v>2.4249999999999998</c:v>
                </c:pt>
                <c:pt idx="39">
                  <c:v>6.1280000000000001</c:v>
                </c:pt>
                <c:pt idx="40">
                  <c:v>4.8959999999999999</c:v>
                </c:pt>
                <c:pt idx="41">
                  <c:v>2.7240000000000002</c:v>
                </c:pt>
                <c:pt idx="42">
                  <c:v>2.5339999999999998</c:v>
                </c:pt>
                <c:pt idx="43">
                  <c:v>4.2919999999999998</c:v>
                </c:pt>
                <c:pt idx="44">
                  <c:v>3.7240000000000002</c:v>
                </c:pt>
                <c:pt idx="45">
                  <c:v>7.59</c:v>
                </c:pt>
                <c:pt idx="46">
                  <c:v>5.6580000000000004</c:v>
                </c:pt>
                <c:pt idx="47">
                  <c:v>3.1160000000000001</c:v>
                </c:pt>
                <c:pt idx="48">
                  <c:v>5.6139999999999999</c:v>
                </c:pt>
                <c:pt idx="49">
                  <c:v>1.5249999999999999</c:v>
                </c:pt>
                <c:pt idx="50">
                  <c:v>5.6989999999999998</c:v>
                </c:pt>
                <c:pt idx="51">
                  <c:v>1.8480000000000001</c:v>
                </c:pt>
                <c:pt idx="52">
                  <c:v>2.2519999999999998</c:v>
                </c:pt>
                <c:pt idx="53">
                  <c:v>2.512</c:v>
                </c:pt>
                <c:pt idx="54">
                  <c:v>8.8610000000000007</c:v>
                </c:pt>
                <c:pt idx="55">
                  <c:v>1.996</c:v>
                </c:pt>
                <c:pt idx="56">
                  <c:v>5.0670000000000002</c:v>
                </c:pt>
                <c:pt idx="57">
                  <c:v>4.16</c:v>
                </c:pt>
                <c:pt idx="58">
                  <c:v>3.2610000000000001</c:v>
                </c:pt>
                <c:pt idx="59">
                  <c:v>4.18</c:v>
                </c:pt>
                <c:pt idx="60">
                  <c:v>2.4809999999999999</c:v>
                </c:pt>
                <c:pt idx="61">
                  <c:v>2.6509999999999998</c:v>
                </c:pt>
                <c:pt idx="62">
                  <c:v>3.0030000000000001</c:v>
                </c:pt>
                <c:pt idx="63">
                  <c:v>4.09</c:v>
                </c:pt>
                <c:pt idx="64">
                  <c:v>3.798</c:v>
                </c:pt>
                <c:pt idx="65">
                  <c:v>1.9750000000000001</c:v>
                </c:pt>
                <c:pt idx="66">
                  <c:v>3.36</c:v>
                </c:pt>
                <c:pt idx="67">
                  <c:v>3.3210000000000002</c:v>
                </c:pt>
                <c:pt idx="68">
                  <c:v>6.0730000000000004</c:v>
                </c:pt>
                <c:pt idx="69">
                  <c:v>3.3450000000000002</c:v>
                </c:pt>
                <c:pt idx="70">
                  <c:v>2.5409999999999999</c:v>
                </c:pt>
                <c:pt idx="71">
                  <c:v>2.2320000000000002</c:v>
                </c:pt>
                <c:pt idx="72">
                  <c:v>3.4460000000000002</c:v>
                </c:pt>
                <c:pt idx="73">
                  <c:v>3.6190000000000002</c:v>
                </c:pt>
                <c:pt idx="74">
                  <c:v>2.3069999999999999</c:v>
                </c:pt>
                <c:pt idx="75">
                  <c:v>3.4049999999999998</c:v>
                </c:pt>
                <c:pt idx="76">
                  <c:v>4.7789999999999999</c:v>
                </c:pt>
                <c:pt idx="77">
                  <c:v>3.5960000000000001</c:v>
                </c:pt>
                <c:pt idx="78">
                  <c:v>4.7300000000000004</c:v>
                </c:pt>
                <c:pt idx="79">
                  <c:v>3.1379999999999999</c:v>
                </c:pt>
                <c:pt idx="80">
                  <c:v>2.4620000000000002</c:v>
                </c:pt>
                <c:pt idx="81">
                  <c:v>6.6790000000000003</c:v>
                </c:pt>
                <c:pt idx="82">
                  <c:v>7.3890000000000002</c:v>
                </c:pt>
                <c:pt idx="83">
                  <c:v>5.2930000000000001</c:v>
                </c:pt>
                <c:pt idx="84">
                  <c:v>4</c:v>
                </c:pt>
                <c:pt idx="85">
                  <c:v>5.1749999999999998</c:v>
                </c:pt>
                <c:pt idx="86">
                  <c:v>2.33</c:v>
                </c:pt>
                <c:pt idx="87">
                  <c:v>2.3250000000000002</c:v>
                </c:pt>
                <c:pt idx="88">
                  <c:v>4.6689999999999996</c:v>
                </c:pt>
                <c:pt idx="89">
                  <c:v>5.7610000000000001</c:v>
                </c:pt>
                <c:pt idx="90">
                  <c:v>2.9740000000000002</c:v>
                </c:pt>
                <c:pt idx="91">
                  <c:v>7.0170000000000003</c:v>
                </c:pt>
                <c:pt idx="92">
                  <c:v>3.0070000000000001</c:v>
                </c:pt>
                <c:pt idx="93">
                  <c:v>5.1639999999999997</c:v>
                </c:pt>
                <c:pt idx="94">
                  <c:v>8.4079999999999995</c:v>
                </c:pt>
                <c:pt idx="95">
                  <c:v>5.7530000000000001</c:v>
                </c:pt>
                <c:pt idx="96">
                  <c:v>5.2160000000000002</c:v>
                </c:pt>
                <c:pt idx="97">
                  <c:v>7.9770000000000003</c:v>
                </c:pt>
                <c:pt idx="98">
                  <c:v>6.016</c:v>
                </c:pt>
                <c:pt idx="99">
                  <c:v>2.4129999999999998</c:v>
                </c:pt>
                <c:pt idx="100">
                  <c:v>2.4</c:v>
                </c:pt>
                <c:pt idx="101">
                  <c:v>7.1740000000000004</c:v>
                </c:pt>
                <c:pt idx="102">
                  <c:v>1.6120000000000001</c:v>
                </c:pt>
                <c:pt idx="103">
                  <c:v>3.4129999999999998</c:v>
                </c:pt>
                <c:pt idx="104">
                  <c:v>3.0720000000000001</c:v>
                </c:pt>
                <c:pt idx="105">
                  <c:v>1.698</c:v>
                </c:pt>
                <c:pt idx="106">
                  <c:v>3.6549999999999998</c:v>
                </c:pt>
                <c:pt idx="107">
                  <c:v>4.4569999999999999</c:v>
                </c:pt>
                <c:pt idx="108">
                  <c:v>9.8520000000000003</c:v>
                </c:pt>
                <c:pt idx="109">
                  <c:v>4.5010000000000003</c:v>
                </c:pt>
                <c:pt idx="110">
                  <c:v>1.3220000000000001</c:v>
                </c:pt>
                <c:pt idx="111">
                  <c:v>4.9429999999999996</c:v>
                </c:pt>
                <c:pt idx="112">
                  <c:v>2.9279999999999999</c:v>
                </c:pt>
                <c:pt idx="113">
                  <c:v>2.1280000000000001</c:v>
                </c:pt>
                <c:pt idx="114">
                  <c:v>3.5169999999999999</c:v>
                </c:pt>
                <c:pt idx="115">
                  <c:v>3.5920000000000001</c:v>
                </c:pt>
                <c:pt idx="116">
                  <c:v>3.88</c:v>
                </c:pt>
                <c:pt idx="117">
                  <c:v>6.0129999999999999</c:v>
                </c:pt>
                <c:pt idx="118">
                  <c:v>3.762</c:v>
                </c:pt>
                <c:pt idx="119">
                  <c:v>4.2009999999999996</c:v>
                </c:pt>
                <c:pt idx="120">
                  <c:v>2.9540000000000002</c:v>
                </c:pt>
                <c:pt idx="121">
                  <c:v>3.11</c:v>
                </c:pt>
                <c:pt idx="122">
                  <c:v>2.952</c:v>
                </c:pt>
                <c:pt idx="123">
                  <c:v>1.889</c:v>
                </c:pt>
                <c:pt idx="124">
                  <c:v>3.32</c:v>
                </c:pt>
                <c:pt idx="125">
                  <c:v>4.4050000000000002</c:v>
                </c:pt>
                <c:pt idx="126">
                  <c:v>3.6819999999999999</c:v>
                </c:pt>
                <c:pt idx="127">
                  <c:v>4.3579999999999997</c:v>
                </c:pt>
                <c:pt idx="128">
                  <c:v>3.3260000000000001</c:v>
                </c:pt>
                <c:pt idx="129">
                  <c:v>2.9889999999999999</c:v>
                </c:pt>
                <c:pt idx="130">
                  <c:v>3.9049999999999998</c:v>
                </c:pt>
                <c:pt idx="131">
                  <c:v>3.3490000000000002</c:v>
                </c:pt>
              </c:numCache>
            </c:numRef>
          </c:xVal>
          <c:yVal>
            <c:numRef>
              <c:f>'xTB vs DFT Full dipole moment '!$I$2:$I$133</c:f>
              <c:numCache>
                <c:formatCode>General</c:formatCode>
                <c:ptCount val="132"/>
                <c:pt idx="0">
                  <c:v>3.194</c:v>
                </c:pt>
                <c:pt idx="1">
                  <c:v>3.198</c:v>
                </c:pt>
                <c:pt idx="2">
                  <c:v>4.5720000000000001</c:v>
                </c:pt>
                <c:pt idx="3">
                  <c:v>6.407</c:v>
                </c:pt>
                <c:pt idx="4">
                  <c:v>1.873</c:v>
                </c:pt>
                <c:pt idx="5">
                  <c:v>6.0010000000000003</c:v>
                </c:pt>
                <c:pt idx="6">
                  <c:v>2.6749999999999998</c:v>
                </c:pt>
                <c:pt idx="7">
                  <c:v>1.0760000000000001</c:v>
                </c:pt>
                <c:pt idx="8">
                  <c:v>2.5510000000000002</c:v>
                </c:pt>
                <c:pt idx="9">
                  <c:v>4.7030000000000003</c:v>
                </c:pt>
                <c:pt idx="10">
                  <c:v>2.3319999999999999</c:v>
                </c:pt>
                <c:pt idx="11">
                  <c:v>4.0960000000000001</c:v>
                </c:pt>
                <c:pt idx="12">
                  <c:v>1.645</c:v>
                </c:pt>
                <c:pt idx="13">
                  <c:v>2.1789999999999998</c:v>
                </c:pt>
                <c:pt idx="14">
                  <c:v>5.3090000000000002</c:v>
                </c:pt>
                <c:pt idx="15">
                  <c:v>3.149</c:v>
                </c:pt>
                <c:pt idx="16">
                  <c:v>4.0110000000000001</c:v>
                </c:pt>
                <c:pt idx="17">
                  <c:v>5.194</c:v>
                </c:pt>
                <c:pt idx="18">
                  <c:v>4.1669999999999998</c:v>
                </c:pt>
                <c:pt idx="19">
                  <c:v>5.3849999999999998</c:v>
                </c:pt>
                <c:pt idx="20">
                  <c:v>3.996</c:v>
                </c:pt>
                <c:pt idx="21">
                  <c:v>2.585</c:v>
                </c:pt>
                <c:pt idx="22">
                  <c:v>1.4510000000000001</c:v>
                </c:pt>
                <c:pt idx="23">
                  <c:v>2.1040000000000001</c:v>
                </c:pt>
                <c:pt idx="24">
                  <c:v>4.923</c:v>
                </c:pt>
                <c:pt idx="25">
                  <c:v>7.5860000000000003</c:v>
                </c:pt>
                <c:pt idx="26">
                  <c:v>3.6019999999999999</c:v>
                </c:pt>
                <c:pt idx="27">
                  <c:v>4.8479999999999999</c:v>
                </c:pt>
                <c:pt idx="28">
                  <c:v>7.1820000000000004</c:v>
                </c:pt>
                <c:pt idx="29">
                  <c:v>4.5259999999999998</c:v>
                </c:pt>
                <c:pt idx="30">
                  <c:v>6.516</c:v>
                </c:pt>
                <c:pt idx="31">
                  <c:v>5.69</c:v>
                </c:pt>
                <c:pt idx="32">
                  <c:v>7.1130000000000004</c:v>
                </c:pt>
                <c:pt idx="33">
                  <c:v>4.5819999999999999</c:v>
                </c:pt>
                <c:pt idx="34">
                  <c:v>3.0510000000000002</c:v>
                </c:pt>
                <c:pt idx="35">
                  <c:v>5.5179999999999998</c:v>
                </c:pt>
                <c:pt idx="36">
                  <c:v>5.1639999999999997</c:v>
                </c:pt>
                <c:pt idx="37">
                  <c:v>3.8380000000000001</c:v>
                </c:pt>
                <c:pt idx="38">
                  <c:v>2.4249999999999998</c:v>
                </c:pt>
                <c:pt idx="39">
                  <c:v>6.1280000000000001</c:v>
                </c:pt>
                <c:pt idx="40">
                  <c:v>4.8959999999999999</c:v>
                </c:pt>
                <c:pt idx="41">
                  <c:v>2.7240000000000002</c:v>
                </c:pt>
                <c:pt idx="42">
                  <c:v>2.5339999999999998</c:v>
                </c:pt>
                <c:pt idx="43">
                  <c:v>4.2919999999999998</c:v>
                </c:pt>
                <c:pt idx="44">
                  <c:v>3.7240000000000002</c:v>
                </c:pt>
                <c:pt idx="45">
                  <c:v>7.59</c:v>
                </c:pt>
                <c:pt idx="46">
                  <c:v>5.6580000000000004</c:v>
                </c:pt>
                <c:pt idx="47">
                  <c:v>3.1160000000000001</c:v>
                </c:pt>
                <c:pt idx="48">
                  <c:v>5.6139999999999999</c:v>
                </c:pt>
                <c:pt idx="49">
                  <c:v>1.5249999999999999</c:v>
                </c:pt>
                <c:pt idx="50">
                  <c:v>5.6989999999999998</c:v>
                </c:pt>
                <c:pt idx="51">
                  <c:v>1.8480000000000001</c:v>
                </c:pt>
                <c:pt idx="52">
                  <c:v>2.2519999999999998</c:v>
                </c:pt>
                <c:pt idx="53">
                  <c:v>2.512</c:v>
                </c:pt>
                <c:pt idx="54">
                  <c:v>8.8610000000000007</c:v>
                </c:pt>
                <c:pt idx="55">
                  <c:v>1.996</c:v>
                </c:pt>
                <c:pt idx="56">
                  <c:v>5.0670000000000002</c:v>
                </c:pt>
                <c:pt idx="57">
                  <c:v>4.16</c:v>
                </c:pt>
                <c:pt idx="58">
                  <c:v>3.2610000000000001</c:v>
                </c:pt>
                <c:pt idx="59">
                  <c:v>4.18</c:v>
                </c:pt>
                <c:pt idx="60">
                  <c:v>2.4809999999999999</c:v>
                </c:pt>
                <c:pt idx="61">
                  <c:v>2.6509999999999998</c:v>
                </c:pt>
                <c:pt idx="62">
                  <c:v>3.0030000000000001</c:v>
                </c:pt>
                <c:pt idx="63">
                  <c:v>4.09</c:v>
                </c:pt>
                <c:pt idx="64">
                  <c:v>3.798</c:v>
                </c:pt>
                <c:pt idx="65">
                  <c:v>1.9750000000000001</c:v>
                </c:pt>
                <c:pt idx="66">
                  <c:v>3.36</c:v>
                </c:pt>
                <c:pt idx="67">
                  <c:v>3.3210000000000002</c:v>
                </c:pt>
                <c:pt idx="68">
                  <c:v>6.0730000000000004</c:v>
                </c:pt>
                <c:pt idx="69">
                  <c:v>3.3450000000000002</c:v>
                </c:pt>
                <c:pt idx="70">
                  <c:v>2.5409999999999999</c:v>
                </c:pt>
                <c:pt idx="71">
                  <c:v>2.2320000000000002</c:v>
                </c:pt>
                <c:pt idx="72">
                  <c:v>3.4460000000000002</c:v>
                </c:pt>
                <c:pt idx="73">
                  <c:v>3.6190000000000002</c:v>
                </c:pt>
                <c:pt idx="74">
                  <c:v>2.3069999999999999</c:v>
                </c:pt>
                <c:pt idx="75">
                  <c:v>3.4049999999999998</c:v>
                </c:pt>
                <c:pt idx="76">
                  <c:v>4.7789999999999999</c:v>
                </c:pt>
                <c:pt idx="77">
                  <c:v>3.5960000000000001</c:v>
                </c:pt>
                <c:pt idx="78">
                  <c:v>4.7300000000000004</c:v>
                </c:pt>
                <c:pt idx="79">
                  <c:v>3.1379999999999999</c:v>
                </c:pt>
                <c:pt idx="80">
                  <c:v>2.4620000000000002</c:v>
                </c:pt>
                <c:pt idx="81">
                  <c:v>6.6790000000000003</c:v>
                </c:pt>
                <c:pt idx="82">
                  <c:v>7.3890000000000002</c:v>
                </c:pt>
                <c:pt idx="83">
                  <c:v>5.2930000000000001</c:v>
                </c:pt>
                <c:pt idx="84">
                  <c:v>4</c:v>
                </c:pt>
                <c:pt idx="85">
                  <c:v>5.1749999999999998</c:v>
                </c:pt>
                <c:pt idx="86">
                  <c:v>2.33</c:v>
                </c:pt>
                <c:pt idx="87">
                  <c:v>2.3250000000000002</c:v>
                </c:pt>
                <c:pt idx="88">
                  <c:v>4.6689999999999996</c:v>
                </c:pt>
                <c:pt idx="89">
                  <c:v>5.7610000000000001</c:v>
                </c:pt>
                <c:pt idx="90">
                  <c:v>2.9740000000000002</c:v>
                </c:pt>
                <c:pt idx="91">
                  <c:v>7.0170000000000003</c:v>
                </c:pt>
                <c:pt idx="92">
                  <c:v>3.0070000000000001</c:v>
                </c:pt>
                <c:pt idx="93">
                  <c:v>5.1639999999999997</c:v>
                </c:pt>
                <c:pt idx="94">
                  <c:v>8.4079999999999995</c:v>
                </c:pt>
                <c:pt idx="95">
                  <c:v>5.7530000000000001</c:v>
                </c:pt>
                <c:pt idx="96">
                  <c:v>5.2160000000000002</c:v>
                </c:pt>
                <c:pt idx="97">
                  <c:v>7.9770000000000003</c:v>
                </c:pt>
                <c:pt idx="98">
                  <c:v>6.016</c:v>
                </c:pt>
                <c:pt idx="99">
                  <c:v>2.4129999999999998</c:v>
                </c:pt>
                <c:pt idx="100">
                  <c:v>2.4</c:v>
                </c:pt>
                <c:pt idx="101">
                  <c:v>7.1740000000000004</c:v>
                </c:pt>
                <c:pt idx="102">
                  <c:v>1.6120000000000001</c:v>
                </c:pt>
                <c:pt idx="103">
                  <c:v>3.4129999999999998</c:v>
                </c:pt>
                <c:pt idx="104">
                  <c:v>3.0720000000000001</c:v>
                </c:pt>
                <c:pt idx="105">
                  <c:v>1.698</c:v>
                </c:pt>
                <c:pt idx="106">
                  <c:v>3.6549999999999998</c:v>
                </c:pt>
                <c:pt idx="107">
                  <c:v>4.4569999999999999</c:v>
                </c:pt>
                <c:pt idx="108">
                  <c:v>9.8520000000000003</c:v>
                </c:pt>
                <c:pt idx="109">
                  <c:v>4.5010000000000003</c:v>
                </c:pt>
                <c:pt idx="110">
                  <c:v>1.3220000000000001</c:v>
                </c:pt>
                <c:pt idx="111">
                  <c:v>4.9429999999999996</c:v>
                </c:pt>
                <c:pt idx="112">
                  <c:v>2.9279999999999999</c:v>
                </c:pt>
                <c:pt idx="113">
                  <c:v>2.1280000000000001</c:v>
                </c:pt>
                <c:pt idx="114">
                  <c:v>3.5169999999999999</c:v>
                </c:pt>
                <c:pt idx="115">
                  <c:v>3.5920000000000001</c:v>
                </c:pt>
                <c:pt idx="116">
                  <c:v>3.88</c:v>
                </c:pt>
                <c:pt idx="117">
                  <c:v>6.0129999999999999</c:v>
                </c:pt>
                <c:pt idx="118">
                  <c:v>3.762</c:v>
                </c:pt>
                <c:pt idx="119">
                  <c:v>4.2009999999999996</c:v>
                </c:pt>
                <c:pt idx="120">
                  <c:v>2.9540000000000002</c:v>
                </c:pt>
                <c:pt idx="121">
                  <c:v>3.11</c:v>
                </c:pt>
                <c:pt idx="122">
                  <c:v>2.952</c:v>
                </c:pt>
                <c:pt idx="123">
                  <c:v>1.889</c:v>
                </c:pt>
                <c:pt idx="124">
                  <c:v>3.32</c:v>
                </c:pt>
                <c:pt idx="125">
                  <c:v>4.4050000000000002</c:v>
                </c:pt>
                <c:pt idx="126">
                  <c:v>3.6819999999999999</c:v>
                </c:pt>
                <c:pt idx="127">
                  <c:v>4.3579999999999997</c:v>
                </c:pt>
                <c:pt idx="128">
                  <c:v>3.3260000000000001</c:v>
                </c:pt>
                <c:pt idx="129">
                  <c:v>2.9889999999999999</c:v>
                </c:pt>
                <c:pt idx="130">
                  <c:v>3.9049999999999998</c:v>
                </c:pt>
                <c:pt idx="131">
                  <c:v>3.3490000000000002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10-4146-BE25-96A699CC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μ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(D)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2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1" u="none" strike="noStrike" kern="1200" baseline="0">
                    <a:solidFill>
                      <a:sysClr val="windowText" lastClr="000000"/>
                    </a:solidFill>
                  </a:rPr>
                  <a:t>μ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(D)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79660726350297E-4"/>
              <c:y val="0.274370908097454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17</xdr:col>
      <xdr:colOff>238125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1FCB8-1C28-4DE6-8BC5-C880BFE9F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B519-D5A7-4CC7-A880-48DD02FEC9DF}">
  <dimension ref="A1:AU136"/>
  <sheetViews>
    <sheetView tabSelected="1" workbookViewId="0">
      <selection activeCell="K22" sqref="K22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x14ac:dyDescent="0.45">
      <c r="A1" s="2" t="s">
        <v>6</v>
      </c>
      <c r="B1" s="2" t="s">
        <v>154</v>
      </c>
      <c r="C1" s="2" t="s">
        <v>155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7" x14ac:dyDescent="0.45">
      <c r="A2" t="s">
        <v>113</v>
      </c>
      <c r="B2">
        <v>3.194</v>
      </c>
      <c r="C2">
        <v>2.4521999999999999</v>
      </c>
      <c r="D2">
        <f>(C2-B2)</f>
        <v>-0.74180000000000001</v>
      </c>
      <c r="E2">
        <f>ABS(D2)</f>
        <v>0.74180000000000001</v>
      </c>
      <c r="F2">
        <f>E2^2</f>
        <v>0.55026724000000005</v>
      </c>
      <c r="G2">
        <f>CORREL(B2:B133,C2:C133)</f>
        <v>0.60199648420909246</v>
      </c>
      <c r="H2">
        <f>G2^2</f>
        <v>0.36239976700010812</v>
      </c>
      <c r="I2">
        <v>3.194</v>
      </c>
    </row>
    <row r="3" spans="1:47" x14ac:dyDescent="0.45">
      <c r="A3" t="s">
        <v>114</v>
      </c>
      <c r="B3">
        <v>3.198</v>
      </c>
      <c r="C3">
        <v>2.1617999999999999</v>
      </c>
      <c r="D3">
        <f t="shared" ref="D3:D61" si="0">(C3-B3)</f>
        <v>-1.0362</v>
      </c>
      <c r="E3">
        <f t="shared" ref="E3:E61" si="1">ABS(D3)</f>
        <v>1.0362</v>
      </c>
      <c r="F3">
        <f t="shared" ref="F3:F61" si="2">E3^2</f>
        <v>1.0737104399999999</v>
      </c>
      <c r="I3">
        <v>3.198</v>
      </c>
    </row>
    <row r="4" spans="1:47" x14ac:dyDescent="0.45">
      <c r="A4" t="s">
        <v>115</v>
      </c>
      <c r="B4">
        <v>4.5720000000000001</v>
      </c>
      <c r="C4">
        <v>2.5857000000000001</v>
      </c>
      <c r="D4">
        <f t="shared" si="0"/>
        <v>-1.9863</v>
      </c>
      <c r="E4">
        <f t="shared" si="1"/>
        <v>1.9863</v>
      </c>
      <c r="F4">
        <f t="shared" si="2"/>
        <v>3.94538769</v>
      </c>
      <c r="I4">
        <v>4.5720000000000001</v>
      </c>
    </row>
    <row r="5" spans="1:47" x14ac:dyDescent="0.45">
      <c r="A5" t="s">
        <v>116</v>
      </c>
      <c r="B5">
        <v>6.407</v>
      </c>
      <c r="C5">
        <v>4.3338999999999999</v>
      </c>
      <c r="D5">
        <f t="shared" si="0"/>
        <v>-2.0731000000000002</v>
      </c>
      <c r="E5">
        <f t="shared" si="1"/>
        <v>2.0731000000000002</v>
      </c>
      <c r="F5">
        <f t="shared" si="2"/>
        <v>4.2977436100000004</v>
      </c>
      <c r="I5">
        <v>6.407</v>
      </c>
    </row>
    <row r="6" spans="1:47" x14ac:dyDescent="0.45">
      <c r="A6" t="s">
        <v>117</v>
      </c>
      <c r="B6">
        <v>1.873</v>
      </c>
      <c r="C6">
        <v>2.0268999999999999</v>
      </c>
      <c r="D6">
        <f t="shared" si="0"/>
        <v>0.15389999999999993</v>
      </c>
      <c r="E6">
        <f t="shared" si="1"/>
        <v>0.15389999999999993</v>
      </c>
      <c r="F6">
        <f t="shared" si="2"/>
        <v>2.3685209999999977E-2</v>
      </c>
      <c r="I6">
        <v>1.873</v>
      </c>
    </row>
    <row r="7" spans="1:47" x14ac:dyDescent="0.45">
      <c r="A7" t="s">
        <v>118</v>
      </c>
      <c r="B7">
        <v>6.0010000000000003</v>
      </c>
      <c r="C7">
        <v>2.0537999999999998</v>
      </c>
      <c r="D7">
        <f t="shared" si="0"/>
        <v>-3.9472000000000005</v>
      </c>
      <c r="E7">
        <f t="shared" si="1"/>
        <v>3.9472000000000005</v>
      </c>
      <c r="F7">
        <f t="shared" si="2"/>
        <v>15.580387840000004</v>
      </c>
      <c r="I7">
        <v>6.0010000000000003</v>
      </c>
    </row>
    <row r="8" spans="1:47" x14ac:dyDescent="0.45">
      <c r="A8" t="s">
        <v>7</v>
      </c>
      <c r="B8">
        <v>2.6749999999999998</v>
      </c>
      <c r="C8">
        <v>4.6623999999999999</v>
      </c>
      <c r="D8">
        <f t="shared" si="0"/>
        <v>1.9874000000000001</v>
      </c>
      <c r="E8">
        <f t="shared" si="1"/>
        <v>1.9874000000000001</v>
      </c>
      <c r="F8">
        <f t="shared" si="2"/>
        <v>3.9497587600000004</v>
      </c>
      <c r="I8">
        <v>2.6749999999999998</v>
      </c>
    </row>
    <row r="9" spans="1:47" x14ac:dyDescent="0.45">
      <c r="A9" t="s">
        <v>8</v>
      </c>
      <c r="B9">
        <v>1.0760000000000001</v>
      </c>
      <c r="C9">
        <v>4.1437999999999997</v>
      </c>
      <c r="D9">
        <f t="shared" si="0"/>
        <v>3.0677999999999996</v>
      </c>
      <c r="E9">
        <f t="shared" si="1"/>
        <v>3.0677999999999996</v>
      </c>
      <c r="F9">
        <f t="shared" si="2"/>
        <v>9.4113968399999983</v>
      </c>
      <c r="I9">
        <v>1.0760000000000001</v>
      </c>
    </row>
    <row r="10" spans="1:47" x14ac:dyDescent="0.45">
      <c r="A10" t="s">
        <v>9</v>
      </c>
      <c r="B10">
        <v>2.5510000000000002</v>
      </c>
      <c r="C10">
        <v>3.1496</v>
      </c>
      <c r="D10">
        <f t="shared" si="0"/>
        <v>0.5985999999999998</v>
      </c>
      <c r="E10">
        <f t="shared" si="1"/>
        <v>0.5985999999999998</v>
      </c>
      <c r="F10">
        <f t="shared" si="2"/>
        <v>0.35832195999999977</v>
      </c>
      <c r="I10">
        <v>2.5510000000000002</v>
      </c>
    </row>
    <row r="11" spans="1:47" x14ac:dyDescent="0.45">
      <c r="A11" t="s">
        <v>10</v>
      </c>
      <c r="B11">
        <v>4.7030000000000003</v>
      </c>
      <c r="C11">
        <v>3.5529000000000002</v>
      </c>
      <c r="D11">
        <f t="shared" si="0"/>
        <v>-1.1501000000000001</v>
      </c>
      <c r="E11">
        <f t="shared" si="1"/>
        <v>1.1501000000000001</v>
      </c>
      <c r="F11">
        <f t="shared" si="2"/>
        <v>1.3227300100000003</v>
      </c>
      <c r="I11">
        <v>4.7030000000000003</v>
      </c>
    </row>
    <row r="12" spans="1:47" x14ac:dyDescent="0.45">
      <c r="A12" t="s">
        <v>11</v>
      </c>
      <c r="B12">
        <v>2.3319999999999999</v>
      </c>
      <c r="C12">
        <v>4.3903999999999996</v>
      </c>
      <c r="D12">
        <f t="shared" si="0"/>
        <v>2.0583999999999998</v>
      </c>
      <c r="E12">
        <f t="shared" si="1"/>
        <v>2.0583999999999998</v>
      </c>
      <c r="F12">
        <f t="shared" si="2"/>
        <v>4.237010559999999</v>
      </c>
      <c r="I12">
        <v>2.3319999999999999</v>
      </c>
    </row>
    <row r="13" spans="1:47" x14ac:dyDescent="0.45">
      <c r="A13" t="s">
        <v>12</v>
      </c>
      <c r="B13">
        <v>4.0960000000000001</v>
      </c>
      <c r="C13">
        <v>2.7945000000000002</v>
      </c>
      <c r="D13">
        <f t="shared" si="0"/>
        <v>-1.3014999999999999</v>
      </c>
      <c r="E13">
        <f t="shared" si="1"/>
        <v>1.3014999999999999</v>
      </c>
      <c r="F13">
        <f t="shared" si="2"/>
        <v>1.6939022499999996</v>
      </c>
      <c r="I13">
        <v>4.0960000000000001</v>
      </c>
    </row>
    <row r="14" spans="1:47" x14ac:dyDescent="0.45">
      <c r="A14" t="s">
        <v>13</v>
      </c>
      <c r="B14">
        <v>1.645</v>
      </c>
      <c r="C14">
        <v>3.1288999999999998</v>
      </c>
      <c r="D14">
        <f t="shared" si="0"/>
        <v>1.4838999999999998</v>
      </c>
      <c r="E14">
        <f t="shared" si="1"/>
        <v>1.4838999999999998</v>
      </c>
      <c r="F14">
        <f t="shared" si="2"/>
        <v>2.2019592099999992</v>
      </c>
      <c r="I14">
        <v>1.645</v>
      </c>
    </row>
    <row r="15" spans="1:47" x14ac:dyDescent="0.45">
      <c r="A15" t="s">
        <v>119</v>
      </c>
      <c r="B15">
        <v>2.1789999999999998</v>
      </c>
      <c r="C15">
        <v>2.9218999999999999</v>
      </c>
      <c r="D15">
        <f t="shared" si="0"/>
        <v>0.74290000000000012</v>
      </c>
      <c r="E15">
        <f t="shared" si="1"/>
        <v>0.74290000000000012</v>
      </c>
      <c r="F15">
        <f t="shared" si="2"/>
        <v>0.55190041000000012</v>
      </c>
      <c r="I15">
        <v>2.1789999999999998</v>
      </c>
      <c r="AU15" s="1"/>
    </row>
    <row r="16" spans="1:47" x14ac:dyDescent="0.45">
      <c r="A16" t="s">
        <v>14</v>
      </c>
      <c r="B16">
        <v>5.3090000000000002</v>
      </c>
      <c r="C16">
        <v>5.0598000000000001</v>
      </c>
      <c r="D16">
        <f t="shared" si="0"/>
        <v>-0.24920000000000009</v>
      </c>
      <c r="E16">
        <f t="shared" si="1"/>
        <v>0.24920000000000009</v>
      </c>
      <c r="F16">
        <f t="shared" si="2"/>
        <v>6.2100640000000047E-2</v>
      </c>
      <c r="I16">
        <v>5.3090000000000002</v>
      </c>
      <c r="AU16" s="1"/>
    </row>
    <row r="17" spans="1:47" x14ac:dyDescent="0.45">
      <c r="A17" t="s">
        <v>121</v>
      </c>
      <c r="B17">
        <v>3.149</v>
      </c>
      <c r="C17">
        <v>2.6516999999999999</v>
      </c>
      <c r="D17">
        <f t="shared" si="0"/>
        <v>-0.49730000000000008</v>
      </c>
      <c r="E17">
        <f t="shared" si="1"/>
        <v>0.49730000000000008</v>
      </c>
      <c r="F17">
        <f t="shared" si="2"/>
        <v>0.24730729000000007</v>
      </c>
      <c r="I17">
        <v>3.149</v>
      </c>
      <c r="AU17" s="1"/>
    </row>
    <row r="18" spans="1:47" x14ac:dyDescent="0.45">
      <c r="A18" t="s">
        <v>122</v>
      </c>
      <c r="B18">
        <v>4.0110000000000001</v>
      </c>
      <c r="C18">
        <v>4.9962999999999997</v>
      </c>
      <c r="D18">
        <f t="shared" si="0"/>
        <v>0.98529999999999962</v>
      </c>
      <c r="E18">
        <f t="shared" si="1"/>
        <v>0.98529999999999962</v>
      </c>
      <c r="F18">
        <f t="shared" si="2"/>
        <v>0.97081608999999924</v>
      </c>
      <c r="I18">
        <v>4.0110000000000001</v>
      </c>
      <c r="AU18" s="1"/>
    </row>
    <row r="19" spans="1:47" x14ac:dyDescent="0.45">
      <c r="A19" t="s">
        <v>123</v>
      </c>
      <c r="B19">
        <v>5.194</v>
      </c>
      <c r="C19">
        <v>6.4123000000000001</v>
      </c>
      <c r="D19">
        <f t="shared" si="0"/>
        <v>1.2183000000000002</v>
      </c>
      <c r="E19">
        <f t="shared" si="1"/>
        <v>1.2183000000000002</v>
      </c>
      <c r="F19">
        <f t="shared" si="2"/>
        <v>1.4842548900000003</v>
      </c>
      <c r="I19">
        <v>5.194</v>
      </c>
      <c r="AU19" s="1"/>
    </row>
    <row r="20" spans="1:47" x14ac:dyDescent="0.45">
      <c r="A20" t="s">
        <v>124</v>
      </c>
      <c r="B20">
        <v>4.1669999999999998</v>
      </c>
      <c r="C20">
        <v>6.5685000000000002</v>
      </c>
      <c r="D20">
        <f t="shared" si="0"/>
        <v>2.4015000000000004</v>
      </c>
      <c r="E20">
        <f t="shared" si="1"/>
        <v>2.4015000000000004</v>
      </c>
      <c r="F20">
        <f t="shared" si="2"/>
        <v>5.7672022500000022</v>
      </c>
      <c r="I20">
        <v>4.1669999999999998</v>
      </c>
    </row>
    <row r="21" spans="1:47" x14ac:dyDescent="0.45">
      <c r="A21" t="s">
        <v>125</v>
      </c>
      <c r="B21">
        <v>5.3849999999999998</v>
      </c>
      <c r="C21">
        <v>7.0830000000000002</v>
      </c>
      <c r="D21">
        <f t="shared" si="0"/>
        <v>1.6980000000000004</v>
      </c>
      <c r="E21">
        <f t="shared" si="1"/>
        <v>1.6980000000000004</v>
      </c>
      <c r="F21">
        <f t="shared" si="2"/>
        <v>2.8832040000000014</v>
      </c>
      <c r="I21">
        <v>5.3849999999999998</v>
      </c>
    </row>
    <row r="22" spans="1:47" x14ac:dyDescent="0.45">
      <c r="A22" t="s">
        <v>15</v>
      </c>
      <c r="B22">
        <v>3.996</v>
      </c>
      <c r="C22">
        <v>3.3460000000000001</v>
      </c>
      <c r="D22">
        <f t="shared" si="0"/>
        <v>-0.64999999999999991</v>
      </c>
      <c r="E22">
        <f t="shared" si="1"/>
        <v>0.64999999999999991</v>
      </c>
      <c r="F22">
        <f t="shared" si="2"/>
        <v>0.42249999999999988</v>
      </c>
      <c r="I22">
        <v>3.996</v>
      </c>
    </row>
    <row r="23" spans="1:47" x14ac:dyDescent="0.45">
      <c r="A23" t="s">
        <v>16</v>
      </c>
      <c r="B23">
        <v>2.585</v>
      </c>
      <c r="C23">
        <v>4.1096000000000004</v>
      </c>
      <c r="D23">
        <f t="shared" si="0"/>
        <v>1.5246000000000004</v>
      </c>
      <c r="E23">
        <f t="shared" si="1"/>
        <v>1.5246000000000004</v>
      </c>
      <c r="F23">
        <f t="shared" si="2"/>
        <v>2.3244051600000013</v>
      </c>
      <c r="I23">
        <v>2.585</v>
      </c>
    </row>
    <row r="24" spans="1:47" x14ac:dyDescent="0.45">
      <c r="A24" t="s">
        <v>17</v>
      </c>
      <c r="B24">
        <v>1.4510000000000001</v>
      </c>
      <c r="C24">
        <v>2.1335000000000002</v>
      </c>
      <c r="D24">
        <f t="shared" si="0"/>
        <v>0.68250000000000011</v>
      </c>
      <c r="E24">
        <f t="shared" si="1"/>
        <v>0.68250000000000011</v>
      </c>
      <c r="F24">
        <f t="shared" si="2"/>
        <v>0.46580625000000014</v>
      </c>
      <c r="I24">
        <v>1.4510000000000001</v>
      </c>
    </row>
    <row r="25" spans="1:47" x14ac:dyDescent="0.45">
      <c r="A25" t="s">
        <v>18</v>
      </c>
      <c r="B25">
        <v>2.1040000000000001</v>
      </c>
      <c r="C25">
        <v>2.411</v>
      </c>
      <c r="D25">
        <f t="shared" si="0"/>
        <v>0.30699999999999994</v>
      </c>
      <c r="E25">
        <f t="shared" si="1"/>
        <v>0.30699999999999994</v>
      </c>
      <c r="F25">
        <f t="shared" si="2"/>
        <v>9.4248999999999958E-2</v>
      </c>
      <c r="I25">
        <v>2.1040000000000001</v>
      </c>
    </row>
    <row r="26" spans="1:47" x14ac:dyDescent="0.45">
      <c r="A26" t="s">
        <v>19</v>
      </c>
      <c r="B26">
        <v>4.923</v>
      </c>
      <c r="C26">
        <v>5.1105999999999998</v>
      </c>
      <c r="D26">
        <f t="shared" si="0"/>
        <v>0.18759999999999977</v>
      </c>
      <c r="E26">
        <f t="shared" si="1"/>
        <v>0.18759999999999977</v>
      </c>
      <c r="F26">
        <f t="shared" si="2"/>
        <v>3.5193759999999914E-2</v>
      </c>
      <c r="I26">
        <v>4.923</v>
      </c>
    </row>
    <row r="27" spans="1:47" x14ac:dyDescent="0.45">
      <c r="A27" t="s">
        <v>20</v>
      </c>
      <c r="B27">
        <v>7.5860000000000003</v>
      </c>
      <c r="C27">
        <v>5.7366999999999999</v>
      </c>
      <c r="D27">
        <f t="shared" si="0"/>
        <v>-1.8493000000000004</v>
      </c>
      <c r="E27">
        <f t="shared" si="1"/>
        <v>1.8493000000000004</v>
      </c>
      <c r="F27">
        <f t="shared" si="2"/>
        <v>3.4199104900000012</v>
      </c>
      <c r="I27">
        <v>7.5860000000000003</v>
      </c>
    </row>
    <row r="28" spans="1:47" x14ac:dyDescent="0.45">
      <c r="A28" t="s">
        <v>21</v>
      </c>
      <c r="B28">
        <v>3.6019999999999999</v>
      </c>
      <c r="C28">
        <v>5.9695</v>
      </c>
      <c r="D28">
        <f t="shared" si="0"/>
        <v>2.3675000000000002</v>
      </c>
      <c r="E28">
        <f t="shared" si="1"/>
        <v>2.3675000000000002</v>
      </c>
      <c r="F28">
        <f t="shared" si="2"/>
        <v>5.6050562500000005</v>
      </c>
      <c r="I28">
        <v>3.6019999999999999</v>
      </c>
    </row>
    <row r="29" spans="1:47" x14ac:dyDescent="0.45">
      <c r="A29" t="s">
        <v>22</v>
      </c>
      <c r="B29">
        <v>4.8479999999999999</v>
      </c>
      <c r="C29">
        <v>6.9311999999999996</v>
      </c>
      <c r="D29">
        <f t="shared" si="0"/>
        <v>2.0831999999999997</v>
      </c>
      <c r="E29">
        <f t="shared" si="1"/>
        <v>2.0831999999999997</v>
      </c>
      <c r="F29">
        <f t="shared" si="2"/>
        <v>4.3397222399999986</v>
      </c>
      <c r="I29">
        <v>4.8479999999999999</v>
      </c>
    </row>
    <row r="30" spans="1:47" x14ac:dyDescent="0.45">
      <c r="A30" t="s">
        <v>23</v>
      </c>
      <c r="B30">
        <v>7.1820000000000004</v>
      </c>
      <c r="C30">
        <v>6.1147999999999998</v>
      </c>
      <c r="D30">
        <f t="shared" si="0"/>
        <v>-1.0672000000000006</v>
      </c>
      <c r="E30">
        <f t="shared" si="1"/>
        <v>1.0672000000000006</v>
      </c>
      <c r="F30">
        <f t="shared" si="2"/>
        <v>1.1389158400000012</v>
      </c>
      <c r="I30">
        <v>7.1820000000000004</v>
      </c>
    </row>
    <row r="31" spans="1:47" x14ac:dyDescent="0.45">
      <c r="A31" t="s">
        <v>24</v>
      </c>
      <c r="B31">
        <v>4.5259999999999998</v>
      </c>
      <c r="C31">
        <v>4.8106999999999998</v>
      </c>
      <c r="D31">
        <f t="shared" si="0"/>
        <v>0.28469999999999995</v>
      </c>
      <c r="E31">
        <f t="shared" si="1"/>
        <v>0.28469999999999995</v>
      </c>
      <c r="F31">
        <f t="shared" si="2"/>
        <v>8.1054089999999968E-2</v>
      </c>
      <c r="I31">
        <v>4.5259999999999998</v>
      </c>
    </row>
    <row r="32" spans="1:47" x14ac:dyDescent="0.45">
      <c r="A32" t="s">
        <v>25</v>
      </c>
      <c r="B32">
        <v>6.516</v>
      </c>
      <c r="C32">
        <v>4.5735999999999999</v>
      </c>
      <c r="D32">
        <f t="shared" si="0"/>
        <v>-1.9424000000000001</v>
      </c>
      <c r="E32">
        <f t="shared" si="1"/>
        <v>1.9424000000000001</v>
      </c>
      <c r="F32">
        <f t="shared" si="2"/>
        <v>3.7729177600000003</v>
      </c>
      <c r="I32">
        <v>6.516</v>
      </c>
    </row>
    <row r="33" spans="1:9" x14ac:dyDescent="0.45">
      <c r="A33" t="s">
        <v>26</v>
      </c>
      <c r="B33">
        <v>5.69</v>
      </c>
      <c r="C33">
        <v>8.5776000000000003</v>
      </c>
      <c r="D33">
        <f t="shared" si="0"/>
        <v>2.8875999999999999</v>
      </c>
      <c r="E33">
        <f t="shared" si="1"/>
        <v>2.8875999999999999</v>
      </c>
      <c r="F33">
        <f t="shared" si="2"/>
        <v>8.3382337599999996</v>
      </c>
      <c r="I33">
        <v>5.69</v>
      </c>
    </row>
    <row r="34" spans="1:9" x14ac:dyDescent="0.45">
      <c r="A34" t="s">
        <v>27</v>
      </c>
      <c r="B34">
        <v>7.1130000000000004</v>
      </c>
      <c r="C34">
        <v>6.8472</v>
      </c>
      <c r="D34">
        <f t="shared" si="0"/>
        <v>-0.26580000000000048</v>
      </c>
      <c r="E34">
        <f t="shared" si="1"/>
        <v>0.26580000000000048</v>
      </c>
      <c r="F34">
        <f t="shared" si="2"/>
        <v>7.0649640000000249E-2</v>
      </c>
      <c r="I34">
        <v>7.1130000000000004</v>
      </c>
    </row>
    <row r="35" spans="1:9" x14ac:dyDescent="0.45">
      <c r="A35" t="s">
        <v>28</v>
      </c>
      <c r="B35">
        <v>4.5819999999999999</v>
      </c>
      <c r="C35">
        <v>4.4077000000000002</v>
      </c>
      <c r="D35">
        <f t="shared" si="0"/>
        <v>-0.17429999999999968</v>
      </c>
      <c r="E35">
        <f t="shared" si="1"/>
        <v>0.17429999999999968</v>
      </c>
      <c r="F35">
        <f t="shared" si="2"/>
        <v>3.0380489999999889E-2</v>
      </c>
      <c r="I35">
        <v>4.5819999999999999</v>
      </c>
    </row>
    <row r="36" spans="1:9" x14ac:dyDescent="0.45">
      <c r="A36" t="s">
        <v>126</v>
      </c>
      <c r="B36">
        <v>3.0510000000000002</v>
      </c>
      <c r="C36">
        <v>3.6930000000000001</v>
      </c>
      <c r="D36">
        <f t="shared" si="0"/>
        <v>0.6419999999999999</v>
      </c>
      <c r="E36">
        <f t="shared" si="1"/>
        <v>0.6419999999999999</v>
      </c>
      <c r="F36">
        <f t="shared" si="2"/>
        <v>0.41216399999999986</v>
      </c>
      <c r="I36">
        <v>3.0510000000000002</v>
      </c>
    </row>
    <row r="37" spans="1:9" x14ac:dyDescent="0.45">
      <c r="A37" t="s">
        <v>29</v>
      </c>
      <c r="B37">
        <v>5.5179999999999998</v>
      </c>
      <c r="C37">
        <v>8.7774999999999999</v>
      </c>
      <c r="D37">
        <f t="shared" si="0"/>
        <v>3.2595000000000001</v>
      </c>
      <c r="E37">
        <f t="shared" si="1"/>
        <v>3.2595000000000001</v>
      </c>
      <c r="F37">
        <f t="shared" si="2"/>
        <v>10.624340250000001</v>
      </c>
      <c r="I37">
        <v>5.5179999999999998</v>
      </c>
    </row>
    <row r="38" spans="1:9" x14ac:dyDescent="0.45">
      <c r="A38" t="s">
        <v>30</v>
      </c>
      <c r="B38">
        <v>5.1639999999999997</v>
      </c>
      <c r="C38">
        <v>5.3935000000000004</v>
      </c>
      <c r="D38">
        <f t="shared" si="0"/>
        <v>0.2295000000000007</v>
      </c>
      <c r="E38">
        <f t="shared" si="1"/>
        <v>0.2295000000000007</v>
      </c>
      <c r="F38">
        <f t="shared" si="2"/>
        <v>5.2670250000000321E-2</v>
      </c>
      <c r="I38">
        <v>5.1639999999999997</v>
      </c>
    </row>
    <row r="39" spans="1:9" x14ac:dyDescent="0.45">
      <c r="A39" t="s">
        <v>31</v>
      </c>
      <c r="B39">
        <v>3.8380000000000001</v>
      </c>
      <c r="C39">
        <v>3.3304999999999998</v>
      </c>
      <c r="D39">
        <f t="shared" si="0"/>
        <v>-0.50750000000000028</v>
      </c>
      <c r="E39">
        <f t="shared" si="1"/>
        <v>0.50750000000000028</v>
      </c>
      <c r="F39">
        <f t="shared" si="2"/>
        <v>0.25755625000000026</v>
      </c>
      <c r="I39">
        <v>3.8380000000000001</v>
      </c>
    </row>
    <row r="40" spans="1:9" x14ac:dyDescent="0.45">
      <c r="A40" t="s">
        <v>127</v>
      </c>
      <c r="B40">
        <v>2.4249999999999998</v>
      </c>
      <c r="C40">
        <v>2.6806999999999999</v>
      </c>
      <c r="D40">
        <f t="shared" si="0"/>
        <v>0.25570000000000004</v>
      </c>
      <c r="E40">
        <f t="shared" si="1"/>
        <v>0.25570000000000004</v>
      </c>
      <c r="F40">
        <f t="shared" si="2"/>
        <v>6.5382490000000015E-2</v>
      </c>
      <c r="I40">
        <v>2.4249999999999998</v>
      </c>
    </row>
    <row r="41" spans="1:9" x14ac:dyDescent="0.45">
      <c r="A41" t="s">
        <v>128</v>
      </c>
      <c r="B41">
        <v>6.1280000000000001</v>
      </c>
      <c r="C41">
        <v>7.1412000000000004</v>
      </c>
      <c r="D41">
        <f t="shared" si="0"/>
        <v>1.0132000000000003</v>
      </c>
      <c r="E41">
        <f t="shared" si="1"/>
        <v>1.0132000000000003</v>
      </c>
      <c r="F41">
        <f t="shared" si="2"/>
        <v>1.0265742400000006</v>
      </c>
      <c r="I41">
        <v>6.1280000000000001</v>
      </c>
    </row>
    <row r="42" spans="1:9" x14ac:dyDescent="0.45">
      <c r="A42" t="s">
        <v>32</v>
      </c>
      <c r="B42">
        <v>4.8959999999999999</v>
      </c>
      <c r="C42">
        <v>4.0993000000000004</v>
      </c>
      <c r="D42">
        <f t="shared" si="0"/>
        <v>-0.79669999999999952</v>
      </c>
      <c r="E42">
        <f t="shared" si="1"/>
        <v>0.79669999999999952</v>
      </c>
      <c r="F42">
        <f t="shared" si="2"/>
        <v>0.63473088999999927</v>
      </c>
      <c r="I42">
        <v>4.8959999999999999</v>
      </c>
    </row>
    <row r="43" spans="1:9" x14ac:dyDescent="0.45">
      <c r="A43" t="s">
        <v>33</v>
      </c>
      <c r="B43">
        <v>2.7240000000000002</v>
      </c>
      <c r="C43">
        <v>4.4908999999999999</v>
      </c>
      <c r="D43">
        <f t="shared" si="0"/>
        <v>1.7668999999999997</v>
      </c>
      <c r="E43">
        <f t="shared" si="1"/>
        <v>1.7668999999999997</v>
      </c>
      <c r="F43">
        <f t="shared" si="2"/>
        <v>3.1219356099999991</v>
      </c>
      <c r="I43">
        <v>2.7240000000000002</v>
      </c>
    </row>
    <row r="44" spans="1:9" x14ac:dyDescent="0.45">
      <c r="A44" t="s">
        <v>34</v>
      </c>
      <c r="B44">
        <v>2.5339999999999998</v>
      </c>
      <c r="C44">
        <v>2.8102</v>
      </c>
      <c r="D44">
        <f t="shared" si="0"/>
        <v>0.27620000000000022</v>
      </c>
      <c r="E44">
        <f t="shared" si="1"/>
        <v>0.27620000000000022</v>
      </c>
      <c r="F44">
        <f t="shared" si="2"/>
        <v>7.6286440000000122E-2</v>
      </c>
      <c r="I44">
        <v>2.5339999999999998</v>
      </c>
    </row>
    <row r="45" spans="1:9" x14ac:dyDescent="0.45">
      <c r="A45" t="s">
        <v>35</v>
      </c>
      <c r="B45">
        <v>4.2919999999999998</v>
      </c>
      <c r="C45">
        <v>4.0334000000000003</v>
      </c>
      <c r="D45">
        <f t="shared" si="0"/>
        <v>-0.2585999999999995</v>
      </c>
      <c r="E45">
        <f t="shared" si="1"/>
        <v>0.2585999999999995</v>
      </c>
      <c r="F45">
        <f t="shared" si="2"/>
        <v>6.6873959999999746E-2</v>
      </c>
      <c r="I45">
        <v>4.2919999999999998</v>
      </c>
    </row>
    <row r="46" spans="1:9" x14ac:dyDescent="0.45">
      <c r="A46" t="s">
        <v>36</v>
      </c>
      <c r="B46">
        <v>3.7240000000000002</v>
      </c>
      <c r="C46">
        <v>2.9291</v>
      </c>
      <c r="D46">
        <f t="shared" si="0"/>
        <v>-0.79490000000000016</v>
      </c>
      <c r="E46">
        <f t="shared" si="1"/>
        <v>0.79490000000000016</v>
      </c>
      <c r="F46">
        <f t="shared" si="2"/>
        <v>0.63186601000000031</v>
      </c>
      <c r="I46">
        <v>3.7240000000000002</v>
      </c>
    </row>
    <row r="47" spans="1:9" x14ac:dyDescent="0.45">
      <c r="A47" t="s">
        <v>37</v>
      </c>
      <c r="B47">
        <v>7.59</v>
      </c>
      <c r="C47">
        <v>7.7148000000000003</v>
      </c>
      <c r="D47">
        <f t="shared" si="0"/>
        <v>0.12480000000000047</v>
      </c>
      <c r="E47">
        <f t="shared" si="1"/>
        <v>0.12480000000000047</v>
      </c>
      <c r="F47">
        <f t="shared" si="2"/>
        <v>1.5575040000000116E-2</v>
      </c>
      <c r="I47">
        <v>7.59</v>
      </c>
    </row>
    <row r="48" spans="1:9" x14ac:dyDescent="0.45">
      <c r="A48" t="s">
        <v>38</v>
      </c>
      <c r="B48">
        <v>5.6580000000000004</v>
      </c>
      <c r="C48">
        <v>3.1015000000000001</v>
      </c>
      <c r="D48">
        <f t="shared" si="0"/>
        <v>-2.5565000000000002</v>
      </c>
      <c r="E48">
        <f t="shared" si="1"/>
        <v>2.5565000000000002</v>
      </c>
      <c r="F48">
        <f t="shared" si="2"/>
        <v>6.5356922500000012</v>
      </c>
      <c r="I48">
        <v>5.6580000000000004</v>
      </c>
    </row>
    <row r="49" spans="1:9" x14ac:dyDescent="0.45">
      <c r="A49" t="s">
        <v>39</v>
      </c>
      <c r="B49">
        <v>3.1160000000000001</v>
      </c>
      <c r="C49">
        <v>2.3874</v>
      </c>
      <c r="D49">
        <f t="shared" si="0"/>
        <v>-0.72860000000000014</v>
      </c>
      <c r="E49">
        <f t="shared" si="1"/>
        <v>0.72860000000000014</v>
      </c>
      <c r="F49">
        <f t="shared" si="2"/>
        <v>0.53085796000000018</v>
      </c>
      <c r="I49">
        <v>3.1160000000000001</v>
      </c>
    </row>
    <row r="50" spans="1:9" x14ac:dyDescent="0.45">
      <c r="A50" t="s">
        <v>40</v>
      </c>
      <c r="B50">
        <v>5.6139999999999999</v>
      </c>
      <c r="C50">
        <v>2.2633999999999999</v>
      </c>
      <c r="D50">
        <f t="shared" si="0"/>
        <v>-3.3506</v>
      </c>
      <c r="E50">
        <f t="shared" si="1"/>
        <v>3.3506</v>
      </c>
      <c r="F50">
        <f t="shared" si="2"/>
        <v>11.22652036</v>
      </c>
      <c r="I50">
        <v>5.6139999999999999</v>
      </c>
    </row>
    <row r="51" spans="1:9" x14ac:dyDescent="0.45">
      <c r="A51" t="s">
        <v>41</v>
      </c>
      <c r="B51">
        <v>1.5249999999999999</v>
      </c>
      <c r="C51">
        <v>2.3488000000000002</v>
      </c>
      <c r="D51">
        <f t="shared" si="0"/>
        <v>0.82380000000000031</v>
      </c>
      <c r="E51">
        <f t="shared" si="1"/>
        <v>0.82380000000000031</v>
      </c>
      <c r="F51">
        <f t="shared" si="2"/>
        <v>0.67864644000000052</v>
      </c>
      <c r="I51">
        <v>1.5249999999999999</v>
      </c>
    </row>
    <row r="52" spans="1:9" x14ac:dyDescent="0.45">
      <c r="A52" t="s">
        <v>42</v>
      </c>
      <c r="B52">
        <v>5.6989999999999998</v>
      </c>
      <c r="C52">
        <v>2.5621999999999998</v>
      </c>
      <c r="D52">
        <f t="shared" si="0"/>
        <v>-3.1368</v>
      </c>
      <c r="E52">
        <f t="shared" si="1"/>
        <v>3.1368</v>
      </c>
      <c r="F52">
        <f t="shared" si="2"/>
        <v>9.8395142399999997</v>
      </c>
      <c r="I52">
        <v>5.6989999999999998</v>
      </c>
    </row>
    <row r="53" spans="1:9" x14ac:dyDescent="0.45">
      <c r="A53" t="s">
        <v>43</v>
      </c>
      <c r="B53">
        <v>1.8480000000000001</v>
      </c>
      <c r="C53">
        <v>2.3826999999999998</v>
      </c>
      <c r="D53">
        <f t="shared" si="0"/>
        <v>0.53469999999999973</v>
      </c>
      <c r="E53">
        <f t="shared" si="1"/>
        <v>0.53469999999999973</v>
      </c>
      <c r="F53">
        <f t="shared" si="2"/>
        <v>0.28590408999999972</v>
      </c>
      <c r="I53">
        <v>1.8480000000000001</v>
      </c>
    </row>
    <row r="54" spans="1:9" x14ac:dyDescent="0.45">
      <c r="A54" t="s">
        <v>44</v>
      </c>
      <c r="B54">
        <v>2.2519999999999998</v>
      </c>
      <c r="C54">
        <v>3.3007</v>
      </c>
      <c r="D54">
        <f t="shared" si="0"/>
        <v>1.0487000000000002</v>
      </c>
      <c r="E54">
        <f t="shared" si="1"/>
        <v>1.0487000000000002</v>
      </c>
      <c r="F54">
        <f t="shared" si="2"/>
        <v>1.0997716900000003</v>
      </c>
      <c r="I54">
        <v>2.2519999999999998</v>
      </c>
    </row>
    <row r="55" spans="1:9" x14ac:dyDescent="0.45">
      <c r="A55" t="s">
        <v>45</v>
      </c>
      <c r="B55">
        <v>2.512</v>
      </c>
      <c r="C55">
        <v>3.9841000000000002</v>
      </c>
      <c r="D55">
        <f t="shared" si="0"/>
        <v>1.4721000000000002</v>
      </c>
      <c r="E55">
        <f t="shared" si="1"/>
        <v>1.4721000000000002</v>
      </c>
      <c r="F55">
        <f t="shared" si="2"/>
        <v>2.1670784100000007</v>
      </c>
      <c r="I55">
        <v>2.512</v>
      </c>
    </row>
    <row r="56" spans="1:9" x14ac:dyDescent="0.45">
      <c r="A56" t="s">
        <v>46</v>
      </c>
      <c r="B56">
        <v>8.8610000000000007</v>
      </c>
      <c r="C56">
        <v>6.3041</v>
      </c>
      <c r="D56">
        <f t="shared" si="0"/>
        <v>-2.5569000000000006</v>
      </c>
      <c r="E56">
        <f t="shared" si="1"/>
        <v>2.5569000000000006</v>
      </c>
      <c r="F56">
        <f t="shared" si="2"/>
        <v>6.5377376100000033</v>
      </c>
      <c r="I56">
        <v>8.8610000000000007</v>
      </c>
    </row>
    <row r="57" spans="1:9" x14ac:dyDescent="0.45">
      <c r="A57" t="s">
        <v>47</v>
      </c>
      <c r="B57">
        <v>1.996</v>
      </c>
      <c r="C57">
        <v>2.7397</v>
      </c>
      <c r="D57">
        <f t="shared" si="0"/>
        <v>0.74370000000000003</v>
      </c>
      <c r="E57">
        <f t="shared" si="1"/>
        <v>0.74370000000000003</v>
      </c>
      <c r="F57">
        <f t="shared" si="2"/>
        <v>0.55308969000000008</v>
      </c>
      <c r="I57">
        <v>1.996</v>
      </c>
    </row>
    <row r="58" spans="1:9" x14ac:dyDescent="0.45">
      <c r="A58" t="s">
        <v>48</v>
      </c>
      <c r="B58">
        <v>5.0670000000000002</v>
      </c>
      <c r="C58">
        <v>5.7389000000000001</v>
      </c>
      <c r="D58">
        <f t="shared" si="0"/>
        <v>0.67189999999999994</v>
      </c>
      <c r="E58">
        <f t="shared" si="1"/>
        <v>0.67189999999999994</v>
      </c>
      <c r="F58">
        <f t="shared" si="2"/>
        <v>0.45144960999999995</v>
      </c>
      <c r="I58">
        <v>5.0670000000000002</v>
      </c>
    </row>
    <row r="59" spans="1:9" x14ac:dyDescent="0.45">
      <c r="A59" t="s">
        <v>49</v>
      </c>
      <c r="B59">
        <v>4.16</v>
      </c>
      <c r="C59">
        <v>4.3316999999999997</v>
      </c>
      <c r="D59">
        <f t="shared" si="0"/>
        <v>0.17169999999999952</v>
      </c>
      <c r="E59">
        <f t="shared" si="1"/>
        <v>0.17169999999999952</v>
      </c>
      <c r="F59">
        <f t="shared" si="2"/>
        <v>2.9480889999999836E-2</v>
      </c>
      <c r="I59">
        <v>4.16</v>
      </c>
    </row>
    <row r="60" spans="1:9" x14ac:dyDescent="0.45">
      <c r="A60" t="s">
        <v>50</v>
      </c>
      <c r="B60">
        <v>3.2610000000000001</v>
      </c>
      <c r="C60">
        <v>8.1740999999999993</v>
      </c>
      <c r="D60">
        <f t="shared" si="0"/>
        <v>4.9130999999999991</v>
      </c>
      <c r="E60">
        <f t="shared" si="1"/>
        <v>4.9130999999999991</v>
      </c>
      <c r="F60">
        <f t="shared" si="2"/>
        <v>24.13855160999999</v>
      </c>
      <c r="I60">
        <v>3.2610000000000001</v>
      </c>
    </row>
    <row r="61" spans="1:9" x14ac:dyDescent="0.45">
      <c r="A61" t="s">
        <v>51</v>
      </c>
      <c r="B61">
        <v>4.18</v>
      </c>
      <c r="C61">
        <v>3.5047999999999999</v>
      </c>
      <c r="D61">
        <f t="shared" si="0"/>
        <v>-0.6751999999999998</v>
      </c>
      <c r="E61">
        <f t="shared" si="1"/>
        <v>0.6751999999999998</v>
      </c>
      <c r="F61">
        <f t="shared" si="2"/>
        <v>0.45589503999999975</v>
      </c>
      <c r="I61">
        <v>4.18</v>
      </c>
    </row>
    <row r="62" spans="1:9" x14ac:dyDescent="0.45">
      <c r="A62" t="s">
        <v>52</v>
      </c>
      <c r="B62">
        <v>2.4809999999999999</v>
      </c>
      <c r="C62">
        <v>1.6243000000000001</v>
      </c>
      <c r="D62">
        <f t="shared" ref="D62:D122" si="3">(C62-B62)</f>
        <v>-0.8566999999999998</v>
      </c>
      <c r="E62">
        <f t="shared" ref="E62:E122" si="4">ABS(D62)</f>
        <v>0.8566999999999998</v>
      </c>
      <c r="F62">
        <f t="shared" ref="F62:F122" si="5">E62^2</f>
        <v>0.73393488999999967</v>
      </c>
      <c r="I62">
        <v>2.4809999999999999</v>
      </c>
    </row>
    <row r="63" spans="1:9" x14ac:dyDescent="0.45">
      <c r="A63" t="s">
        <v>53</v>
      </c>
      <c r="B63">
        <v>2.6509999999999998</v>
      </c>
      <c r="C63">
        <v>3.2326999999999999</v>
      </c>
      <c r="D63">
        <f t="shared" si="3"/>
        <v>0.58170000000000011</v>
      </c>
      <c r="E63">
        <f t="shared" si="4"/>
        <v>0.58170000000000011</v>
      </c>
      <c r="F63">
        <f t="shared" si="5"/>
        <v>0.33837489000000015</v>
      </c>
      <c r="I63">
        <v>2.6509999999999998</v>
      </c>
    </row>
    <row r="64" spans="1:9" x14ac:dyDescent="0.45">
      <c r="A64" t="s">
        <v>129</v>
      </c>
      <c r="B64">
        <v>3.0030000000000001</v>
      </c>
      <c r="C64">
        <v>2.7827000000000002</v>
      </c>
      <c r="D64">
        <f t="shared" si="3"/>
        <v>-0.22029999999999994</v>
      </c>
      <c r="E64">
        <f t="shared" si="4"/>
        <v>0.22029999999999994</v>
      </c>
      <c r="F64">
        <f t="shared" si="5"/>
        <v>4.8532089999999972E-2</v>
      </c>
      <c r="I64">
        <v>3.0030000000000001</v>
      </c>
    </row>
    <row r="65" spans="1:9" x14ac:dyDescent="0.45">
      <c r="A65" t="s">
        <v>130</v>
      </c>
      <c r="B65">
        <v>4.09</v>
      </c>
      <c r="C65">
        <v>3.0655999999999999</v>
      </c>
      <c r="D65">
        <f t="shared" si="3"/>
        <v>-1.0244</v>
      </c>
      <c r="E65">
        <f t="shared" si="4"/>
        <v>1.0244</v>
      </c>
      <c r="F65">
        <f t="shared" si="5"/>
        <v>1.0493953599999999</v>
      </c>
      <c r="I65">
        <v>4.09</v>
      </c>
    </row>
    <row r="66" spans="1:9" x14ac:dyDescent="0.45">
      <c r="A66" t="s">
        <v>54</v>
      </c>
      <c r="B66">
        <v>3.798</v>
      </c>
      <c r="C66">
        <v>3.9188000000000001</v>
      </c>
      <c r="D66">
        <f t="shared" si="3"/>
        <v>0.12080000000000002</v>
      </c>
      <c r="E66">
        <f t="shared" si="4"/>
        <v>0.12080000000000002</v>
      </c>
      <c r="F66">
        <f t="shared" si="5"/>
        <v>1.4592640000000004E-2</v>
      </c>
      <c r="I66">
        <v>3.798</v>
      </c>
    </row>
    <row r="67" spans="1:9" x14ac:dyDescent="0.45">
      <c r="A67" t="s">
        <v>55</v>
      </c>
      <c r="B67">
        <v>1.9750000000000001</v>
      </c>
      <c r="C67">
        <v>4.6695000000000002</v>
      </c>
      <c r="D67">
        <f t="shared" si="3"/>
        <v>2.6945000000000001</v>
      </c>
      <c r="E67">
        <f t="shared" si="4"/>
        <v>2.6945000000000001</v>
      </c>
      <c r="F67">
        <f t="shared" si="5"/>
        <v>7.2603302500000009</v>
      </c>
      <c r="I67">
        <v>1.9750000000000001</v>
      </c>
    </row>
    <row r="68" spans="1:9" x14ac:dyDescent="0.45">
      <c r="A68" t="s">
        <v>56</v>
      </c>
      <c r="B68">
        <v>3.36</v>
      </c>
      <c r="C68">
        <v>3.1964000000000001</v>
      </c>
      <c r="D68">
        <f t="shared" si="3"/>
        <v>-0.16359999999999975</v>
      </c>
      <c r="E68">
        <f t="shared" si="4"/>
        <v>0.16359999999999975</v>
      </c>
      <c r="F68">
        <f t="shared" si="5"/>
        <v>2.6764959999999918E-2</v>
      </c>
      <c r="I68">
        <v>3.36</v>
      </c>
    </row>
    <row r="69" spans="1:9" x14ac:dyDescent="0.45">
      <c r="A69" t="s">
        <v>57</v>
      </c>
      <c r="B69">
        <v>3.3210000000000002</v>
      </c>
      <c r="C69">
        <v>5.1121999999999996</v>
      </c>
      <c r="D69">
        <f t="shared" si="3"/>
        <v>1.7911999999999995</v>
      </c>
      <c r="E69">
        <f t="shared" si="4"/>
        <v>1.7911999999999995</v>
      </c>
      <c r="F69">
        <f t="shared" si="5"/>
        <v>3.2083974399999979</v>
      </c>
      <c r="I69">
        <v>3.3210000000000002</v>
      </c>
    </row>
    <row r="70" spans="1:9" x14ac:dyDescent="0.45">
      <c r="A70" t="s">
        <v>58</v>
      </c>
      <c r="B70">
        <v>6.0730000000000004</v>
      </c>
      <c r="C70">
        <v>5.7622999999999998</v>
      </c>
      <c r="D70">
        <f t="shared" si="3"/>
        <v>-0.31070000000000064</v>
      </c>
      <c r="E70">
        <f t="shared" si="4"/>
        <v>0.31070000000000064</v>
      </c>
      <c r="F70">
        <f t="shared" si="5"/>
        <v>9.6534490000000403E-2</v>
      </c>
      <c r="I70">
        <v>6.0730000000000004</v>
      </c>
    </row>
    <row r="71" spans="1:9" x14ac:dyDescent="0.45">
      <c r="A71" t="s">
        <v>131</v>
      </c>
      <c r="B71">
        <v>3.3450000000000002</v>
      </c>
      <c r="C71">
        <v>2.1631</v>
      </c>
      <c r="D71">
        <f t="shared" si="3"/>
        <v>-1.1819000000000002</v>
      </c>
      <c r="E71">
        <f t="shared" si="4"/>
        <v>1.1819000000000002</v>
      </c>
      <c r="F71">
        <f t="shared" si="5"/>
        <v>1.3968876100000005</v>
      </c>
      <c r="I71">
        <v>3.3450000000000002</v>
      </c>
    </row>
    <row r="72" spans="1:9" x14ac:dyDescent="0.45">
      <c r="A72" t="s">
        <v>132</v>
      </c>
      <c r="B72">
        <v>2.5409999999999999</v>
      </c>
      <c r="C72">
        <v>3.2848000000000002</v>
      </c>
      <c r="D72">
        <f t="shared" si="3"/>
        <v>0.74380000000000024</v>
      </c>
      <c r="E72">
        <f t="shared" si="4"/>
        <v>0.74380000000000024</v>
      </c>
      <c r="F72">
        <f t="shared" si="5"/>
        <v>0.55323844000000033</v>
      </c>
      <c r="I72">
        <v>2.5409999999999999</v>
      </c>
    </row>
    <row r="73" spans="1:9" x14ac:dyDescent="0.45">
      <c r="A73" t="s">
        <v>133</v>
      </c>
      <c r="B73">
        <v>2.2320000000000002</v>
      </c>
      <c r="C73">
        <v>2.2058</v>
      </c>
      <c r="D73">
        <f t="shared" si="3"/>
        <v>-2.6200000000000223E-2</v>
      </c>
      <c r="E73">
        <f t="shared" si="4"/>
        <v>2.6200000000000223E-2</v>
      </c>
      <c r="F73">
        <f t="shared" si="5"/>
        <v>6.8644000000001168E-4</v>
      </c>
      <c r="I73">
        <v>2.2320000000000002</v>
      </c>
    </row>
    <row r="74" spans="1:9" x14ac:dyDescent="0.45">
      <c r="A74" t="s">
        <v>59</v>
      </c>
      <c r="B74">
        <v>3.4460000000000002</v>
      </c>
      <c r="C74">
        <v>3.7930000000000001</v>
      </c>
      <c r="D74">
        <f t="shared" si="3"/>
        <v>0.34699999999999998</v>
      </c>
      <c r="E74">
        <f t="shared" si="4"/>
        <v>0.34699999999999998</v>
      </c>
      <c r="F74">
        <f t="shared" si="5"/>
        <v>0.12040899999999999</v>
      </c>
      <c r="I74">
        <v>3.4460000000000002</v>
      </c>
    </row>
    <row r="75" spans="1:9" x14ac:dyDescent="0.45">
      <c r="A75" t="s">
        <v>60</v>
      </c>
      <c r="B75">
        <v>3.6190000000000002</v>
      </c>
      <c r="C75">
        <v>3.9805999999999999</v>
      </c>
      <c r="D75">
        <f t="shared" si="3"/>
        <v>0.3615999999999997</v>
      </c>
      <c r="E75">
        <f t="shared" si="4"/>
        <v>0.3615999999999997</v>
      </c>
      <c r="F75">
        <f t="shared" si="5"/>
        <v>0.13075455999999977</v>
      </c>
      <c r="I75">
        <v>3.6190000000000002</v>
      </c>
    </row>
    <row r="76" spans="1:9" x14ac:dyDescent="0.45">
      <c r="A76" t="s">
        <v>61</v>
      </c>
      <c r="B76">
        <v>2.3069999999999999</v>
      </c>
      <c r="C76">
        <v>3.8889</v>
      </c>
      <c r="D76">
        <f t="shared" si="3"/>
        <v>1.5819000000000001</v>
      </c>
      <c r="E76">
        <f t="shared" si="4"/>
        <v>1.5819000000000001</v>
      </c>
      <c r="F76">
        <f t="shared" si="5"/>
        <v>2.5024076100000001</v>
      </c>
      <c r="I76">
        <v>2.3069999999999999</v>
      </c>
    </row>
    <row r="77" spans="1:9" x14ac:dyDescent="0.45">
      <c r="A77" t="s">
        <v>62</v>
      </c>
      <c r="B77">
        <v>3.4049999999999998</v>
      </c>
      <c r="C77">
        <v>2.4584999999999999</v>
      </c>
      <c r="D77">
        <f t="shared" si="3"/>
        <v>-0.9464999999999999</v>
      </c>
      <c r="E77">
        <f t="shared" si="4"/>
        <v>0.9464999999999999</v>
      </c>
      <c r="F77">
        <f t="shared" si="5"/>
        <v>0.89586224999999986</v>
      </c>
      <c r="I77">
        <v>3.4049999999999998</v>
      </c>
    </row>
    <row r="78" spans="1:9" x14ac:dyDescent="0.45">
      <c r="A78" t="s">
        <v>63</v>
      </c>
      <c r="B78">
        <v>4.7789999999999999</v>
      </c>
      <c r="C78">
        <v>2.9441999999999999</v>
      </c>
      <c r="D78">
        <f t="shared" si="3"/>
        <v>-1.8348</v>
      </c>
      <c r="E78">
        <f t="shared" si="4"/>
        <v>1.8348</v>
      </c>
      <c r="F78">
        <f t="shared" si="5"/>
        <v>3.3664910400000001</v>
      </c>
      <c r="I78">
        <v>4.7789999999999999</v>
      </c>
    </row>
    <row r="79" spans="1:9" x14ac:dyDescent="0.45">
      <c r="A79" t="s">
        <v>64</v>
      </c>
      <c r="B79">
        <v>3.5960000000000001</v>
      </c>
      <c r="C79">
        <v>4.3815</v>
      </c>
      <c r="D79">
        <f t="shared" si="3"/>
        <v>0.78549999999999986</v>
      </c>
      <c r="E79">
        <f t="shared" si="4"/>
        <v>0.78549999999999986</v>
      </c>
      <c r="F79">
        <f t="shared" si="5"/>
        <v>0.61701024999999976</v>
      </c>
      <c r="I79">
        <v>3.5960000000000001</v>
      </c>
    </row>
    <row r="80" spans="1:9" x14ac:dyDescent="0.45">
      <c r="A80" t="s">
        <v>65</v>
      </c>
      <c r="B80">
        <v>4.7300000000000004</v>
      </c>
      <c r="C80">
        <v>2.7949000000000002</v>
      </c>
      <c r="D80">
        <f t="shared" si="3"/>
        <v>-1.9351000000000003</v>
      </c>
      <c r="E80">
        <f t="shared" si="4"/>
        <v>1.9351000000000003</v>
      </c>
      <c r="F80">
        <f t="shared" si="5"/>
        <v>3.7446120100000009</v>
      </c>
      <c r="I80">
        <v>4.7300000000000004</v>
      </c>
    </row>
    <row r="81" spans="1:9" x14ac:dyDescent="0.45">
      <c r="A81" t="s">
        <v>66</v>
      </c>
      <c r="B81">
        <v>3.1379999999999999</v>
      </c>
      <c r="C81">
        <v>2.9527000000000001</v>
      </c>
      <c r="D81">
        <f t="shared" si="3"/>
        <v>-0.1852999999999998</v>
      </c>
      <c r="E81">
        <f t="shared" si="4"/>
        <v>0.1852999999999998</v>
      </c>
      <c r="F81">
        <f t="shared" si="5"/>
        <v>3.4336089999999923E-2</v>
      </c>
      <c r="I81">
        <v>3.1379999999999999</v>
      </c>
    </row>
    <row r="82" spans="1:9" x14ac:dyDescent="0.45">
      <c r="A82" t="s">
        <v>67</v>
      </c>
      <c r="B82">
        <v>2.4620000000000002</v>
      </c>
      <c r="C82">
        <v>5.0591999999999997</v>
      </c>
      <c r="D82">
        <f t="shared" si="3"/>
        <v>2.5971999999999995</v>
      </c>
      <c r="E82">
        <f t="shared" si="4"/>
        <v>2.5971999999999995</v>
      </c>
      <c r="F82">
        <f t="shared" si="5"/>
        <v>6.7454478399999971</v>
      </c>
      <c r="I82">
        <v>2.4620000000000002</v>
      </c>
    </row>
    <row r="83" spans="1:9" x14ac:dyDescent="0.45">
      <c r="A83" t="s">
        <v>134</v>
      </c>
      <c r="B83">
        <v>6.6790000000000003</v>
      </c>
      <c r="C83">
        <v>4.6620999999999997</v>
      </c>
      <c r="D83">
        <f t="shared" si="3"/>
        <v>-2.0169000000000006</v>
      </c>
      <c r="E83">
        <f t="shared" si="4"/>
        <v>2.0169000000000006</v>
      </c>
      <c r="F83">
        <f t="shared" si="5"/>
        <v>4.067885610000002</v>
      </c>
      <c r="I83">
        <v>6.6790000000000003</v>
      </c>
    </row>
    <row r="84" spans="1:9" x14ac:dyDescent="0.45">
      <c r="A84" t="s">
        <v>135</v>
      </c>
      <c r="B84">
        <v>7.3890000000000002</v>
      </c>
      <c r="C84">
        <v>7.4009999999999998</v>
      </c>
      <c r="D84">
        <f t="shared" si="3"/>
        <v>1.1999999999999567E-2</v>
      </c>
      <c r="E84">
        <f t="shared" si="4"/>
        <v>1.1999999999999567E-2</v>
      </c>
      <c r="F84">
        <f t="shared" si="5"/>
        <v>1.439999999999896E-4</v>
      </c>
      <c r="I84">
        <v>7.3890000000000002</v>
      </c>
    </row>
    <row r="85" spans="1:9" x14ac:dyDescent="0.45">
      <c r="A85" t="s">
        <v>136</v>
      </c>
      <c r="B85">
        <v>5.2930000000000001</v>
      </c>
      <c r="C85">
        <v>6.4119999999999999</v>
      </c>
      <c r="D85">
        <f t="shared" si="3"/>
        <v>1.1189999999999998</v>
      </c>
      <c r="E85">
        <f t="shared" si="4"/>
        <v>1.1189999999999998</v>
      </c>
      <c r="F85">
        <f t="shared" si="5"/>
        <v>1.2521609999999994</v>
      </c>
      <c r="I85">
        <v>5.2930000000000001</v>
      </c>
    </row>
    <row r="86" spans="1:9" x14ac:dyDescent="0.45">
      <c r="A86" t="s">
        <v>137</v>
      </c>
      <c r="B86">
        <v>4</v>
      </c>
      <c r="C86">
        <v>6.8371000000000004</v>
      </c>
      <c r="D86">
        <f t="shared" si="3"/>
        <v>2.8371000000000004</v>
      </c>
      <c r="E86">
        <f t="shared" si="4"/>
        <v>2.8371000000000004</v>
      </c>
      <c r="F86">
        <f t="shared" si="5"/>
        <v>8.0491364100000027</v>
      </c>
      <c r="I86">
        <v>4</v>
      </c>
    </row>
    <row r="87" spans="1:9" x14ac:dyDescent="0.45">
      <c r="A87" t="s">
        <v>138</v>
      </c>
      <c r="B87">
        <v>5.1749999999999998</v>
      </c>
      <c r="C87">
        <v>6.2927</v>
      </c>
      <c r="D87">
        <f t="shared" si="3"/>
        <v>1.1177000000000001</v>
      </c>
      <c r="E87">
        <f t="shared" si="4"/>
        <v>1.1177000000000001</v>
      </c>
      <c r="F87">
        <f t="shared" si="5"/>
        <v>1.2492532900000004</v>
      </c>
      <c r="I87">
        <v>5.1749999999999998</v>
      </c>
    </row>
    <row r="88" spans="1:9" x14ac:dyDescent="0.45">
      <c r="A88" t="s">
        <v>69</v>
      </c>
      <c r="B88">
        <v>2.33</v>
      </c>
      <c r="C88">
        <v>1.5803</v>
      </c>
      <c r="D88">
        <f t="shared" si="3"/>
        <v>-0.74970000000000003</v>
      </c>
      <c r="E88">
        <f t="shared" si="4"/>
        <v>0.74970000000000003</v>
      </c>
      <c r="F88">
        <f t="shared" si="5"/>
        <v>0.56205009000000006</v>
      </c>
      <c r="I88">
        <v>2.33</v>
      </c>
    </row>
    <row r="89" spans="1:9" x14ac:dyDescent="0.45">
      <c r="A89" t="s">
        <v>71</v>
      </c>
      <c r="B89">
        <v>2.3250000000000002</v>
      </c>
      <c r="C89">
        <v>2.1133999999999999</v>
      </c>
      <c r="D89">
        <f t="shared" si="3"/>
        <v>-0.21160000000000023</v>
      </c>
      <c r="E89">
        <f t="shared" si="4"/>
        <v>0.21160000000000023</v>
      </c>
      <c r="F89">
        <f t="shared" si="5"/>
        <v>4.4774560000000095E-2</v>
      </c>
      <c r="I89">
        <v>2.3250000000000002</v>
      </c>
    </row>
    <row r="90" spans="1:9" x14ac:dyDescent="0.45">
      <c r="A90" t="s">
        <v>72</v>
      </c>
      <c r="B90">
        <v>4.6689999999999996</v>
      </c>
      <c r="C90">
        <v>4.7031999999999998</v>
      </c>
      <c r="D90">
        <f t="shared" si="3"/>
        <v>3.420000000000023E-2</v>
      </c>
      <c r="E90">
        <f t="shared" si="4"/>
        <v>3.420000000000023E-2</v>
      </c>
      <c r="F90">
        <f t="shared" si="5"/>
        <v>1.1696400000000158E-3</v>
      </c>
      <c r="I90">
        <v>4.6689999999999996</v>
      </c>
    </row>
    <row r="91" spans="1:9" x14ac:dyDescent="0.45">
      <c r="A91" t="s">
        <v>73</v>
      </c>
      <c r="B91">
        <v>5.7610000000000001</v>
      </c>
      <c r="C91">
        <v>6.8033999999999999</v>
      </c>
      <c r="D91">
        <f t="shared" si="3"/>
        <v>1.0423999999999998</v>
      </c>
      <c r="E91">
        <f t="shared" si="4"/>
        <v>1.0423999999999998</v>
      </c>
      <c r="F91">
        <f t="shared" si="5"/>
        <v>1.0865977599999994</v>
      </c>
      <c r="I91">
        <v>5.7610000000000001</v>
      </c>
    </row>
    <row r="92" spans="1:9" x14ac:dyDescent="0.45">
      <c r="A92" t="s">
        <v>74</v>
      </c>
      <c r="B92">
        <v>2.9740000000000002</v>
      </c>
      <c r="C92">
        <v>5.3250999999999999</v>
      </c>
      <c r="D92">
        <f t="shared" si="3"/>
        <v>2.3510999999999997</v>
      </c>
      <c r="E92">
        <f t="shared" si="4"/>
        <v>2.3510999999999997</v>
      </c>
      <c r="F92">
        <f t="shared" si="5"/>
        <v>5.5276712099999985</v>
      </c>
      <c r="I92">
        <v>2.9740000000000002</v>
      </c>
    </row>
    <row r="93" spans="1:9" x14ac:dyDescent="0.45">
      <c r="A93" t="s">
        <v>75</v>
      </c>
      <c r="B93">
        <v>7.0170000000000003</v>
      </c>
      <c r="C93">
        <v>8.4687999999999999</v>
      </c>
      <c r="D93">
        <f t="shared" si="3"/>
        <v>1.4517999999999995</v>
      </c>
      <c r="E93">
        <f t="shared" si="4"/>
        <v>1.4517999999999995</v>
      </c>
      <c r="F93">
        <f t="shared" si="5"/>
        <v>2.1077232399999986</v>
      </c>
      <c r="I93">
        <v>7.0170000000000003</v>
      </c>
    </row>
    <row r="94" spans="1:9" x14ac:dyDescent="0.45">
      <c r="A94" t="s">
        <v>76</v>
      </c>
      <c r="B94">
        <v>3.0070000000000001</v>
      </c>
      <c r="C94">
        <v>6.5141999999999998</v>
      </c>
      <c r="D94">
        <f t="shared" si="3"/>
        <v>3.5071999999999997</v>
      </c>
      <c r="E94">
        <f t="shared" si="4"/>
        <v>3.5071999999999997</v>
      </c>
      <c r="F94">
        <f t="shared" si="5"/>
        <v>12.300451839999997</v>
      </c>
      <c r="I94">
        <v>3.0070000000000001</v>
      </c>
    </row>
    <row r="95" spans="1:9" x14ac:dyDescent="0.45">
      <c r="A95" t="s">
        <v>77</v>
      </c>
      <c r="B95">
        <v>5.1639999999999997</v>
      </c>
      <c r="C95">
        <v>4.6951999999999998</v>
      </c>
      <c r="D95">
        <f t="shared" si="3"/>
        <v>-0.46879999999999988</v>
      </c>
      <c r="E95">
        <f t="shared" si="4"/>
        <v>0.46879999999999988</v>
      </c>
      <c r="F95">
        <f t="shared" si="5"/>
        <v>0.2197734399999999</v>
      </c>
      <c r="I95">
        <v>5.1639999999999997</v>
      </c>
    </row>
    <row r="96" spans="1:9" x14ac:dyDescent="0.45">
      <c r="A96" t="s">
        <v>78</v>
      </c>
      <c r="B96">
        <v>8.4079999999999995</v>
      </c>
      <c r="C96">
        <v>6.7881999999999998</v>
      </c>
      <c r="D96">
        <f t="shared" si="3"/>
        <v>-1.6197999999999997</v>
      </c>
      <c r="E96">
        <f t="shared" si="4"/>
        <v>1.6197999999999997</v>
      </c>
      <c r="F96">
        <f t="shared" si="5"/>
        <v>2.623752039999999</v>
      </c>
      <c r="I96">
        <v>8.4079999999999995</v>
      </c>
    </row>
    <row r="97" spans="1:9" x14ac:dyDescent="0.45">
      <c r="A97" t="s">
        <v>79</v>
      </c>
      <c r="B97">
        <v>5.7530000000000001</v>
      </c>
      <c r="C97">
        <v>3.2065000000000001</v>
      </c>
      <c r="D97">
        <f t="shared" si="3"/>
        <v>-2.5465</v>
      </c>
      <c r="E97">
        <f t="shared" si="4"/>
        <v>2.5465</v>
      </c>
      <c r="F97">
        <f t="shared" si="5"/>
        <v>6.4846622499999995</v>
      </c>
      <c r="I97">
        <v>5.7530000000000001</v>
      </c>
    </row>
    <row r="98" spans="1:9" x14ac:dyDescent="0.45">
      <c r="A98" t="s">
        <v>80</v>
      </c>
      <c r="B98">
        <v>5.2160000000000002</v>
      </c>
      <c r="C98">
        <v>8.4675999999999991</v>
      </c>
      <c r="D98">
        <f t="shared" si="3"/>
        <v>3.2515999999999989</v>
      </c>
      <c r="E98">
        <f t="shared" si="4"/>
        <v>3.2515999999999989</v>
      </c>
      <c r="F98">
        <f t="shared" si="5"/>
        <v>10.572902559999994</v>
      </c>
      <c r="I98">
        <v>5.2160000000000002</v>
      </c>
    </row>
    <row r="99" spans="1:9" x14ac:dyDescent="0.45">
      <c r="A99" t="s">
        <v>81</v>
      </c>
      <c r="B99">
        <v>7.9770000000000003</v>
      </c>
      <c r="C99">
        <v>4.8941999999999997</v>
      </c>
      <c r="D99">
        <f t="shared" si="3"/>
        <v>-3.0828000000000007</v>
      </c>
      <c r="E99">
        <f t="shared" si="4"/>
        <v>3.0828000000000007</v>
      </c>
      <c r="F99">
        <f t="shared" si="5"/>
        <v>9.503655840000004</v>
      </c>
      <c r="I99">
        <v>7.9770000000000003</v>
      </c>
    </row>
    <row r="100" spans="1:9" x14ac:dyDescent="0.45">
      <c r="A100" t="s">
        <v>82</v>
      </c>
      <c r="B100">
        <v>6.016</v>
      </c>
      <c r="C100">
        <v>8.2866999999999997</v>
      </c>
      <c r="D100">
        <f t="shared" si="3"/>
        <v>2.2706999999999997</v>
      </c>
      <c r="E100">
        <f t="shared" si="4"/>
        <v>2.2706999999999997</v>
      </c>
      <c r="F100">
        <f t="shared" si="5"/>
        <v>5.1560784899999987</v>
      </c>
      <c r="I100">
        <v>6.016</v>
      </c>
    </row>
    <row r="101" spans="1:9" x14ac:dyDescent="0.45">
      <c r="A101" t="s">
        <v>84</v>
      </c>
      <c r="B101">
        <v>2.4129999999999998</v>
      </c>
      <c r="C101">
        <v>3.5247999999999999</v>
      </c>
      <c r="D101">
        <f t="shared" si="3"/>
        <v>1.1118000000000001</v>
      </c>
      <c r="E101">
        <f t="shared" si="4"/>
        <v>1.1118000000000001</v>
      </c>
      <c r="F101">
        <f t="shared" si="5"/>
        <v>1.2360992400000004</v>
      </c>
      <c r="I101">
        <v>2.4129999999999998</v>
      </c>
    </row>
    <row r="102" spans="1:9" x14ac:dyDescent="0.45">
      <c r="A102" t="s">
        <v>139</v>
      </c>
      <c r="B102">
        <v>2.4</v>
      </c>
      <c r="C102">
        <v>2.6814</v>
      </c>
      <c r="D102">
        <f t="shared" si="3"/>
        <v>0.28140000000000009</v>
      </c>
      <c r="E102">
        <f t="shared" si="4"/>
        <v>0.28140000000000009</v>
      </c>
      <c r="F102">
        <f t="shared" si="5"/>
        <v>7.9185960000000055E-2</v>
      </c>
      <c r="I102">
        <v>2.4</v>
      </c>
    </row>
    <row r="103" spans="1:9" x14ac:dyDescent="0.45">
      <c r="A103" t="s">
        <v>140</v>
      </c>
      <c r="B103">
        <v>7.1740000000000004</v>
      </c>
      <c r="C103">
        <v>7.1795</v>
      </c>
      <c r="D103">
        <f t="shared" si="3"/>
        <v>5.4999999999996163E-3</v>
      </c>
      <c r="E103">
        <f t="shared" si="4"/>
        <v>5.4999999999996163E-3</v>
      </c>
      <c r="F103">
        <f t="shared" si="5"/>
        <v>3.0249999999995778E-5</v>
      </c>
      <c r="I103">
        <v>7.1740000000000004</v>
      </c>
    </row>
    <row r="104" spans="1:9" x14ac:dyDescent="0.45">
      <c r="A104" t="s">
        <v>85</v>
      </c>
      <c r="B104">
        <v>1.6120000000000001</v>
      </c>
      <c r="C104">
        <v>3.8708999999999998</v>
      </c>
      <c r="D104">
        <f t="shared" si="3"/>
        <v>2.2588999999999997</v>
      </c>
      <c r="E104">
        <f t="shared" si="4"/>
        <v>2.2588999999999997</v>
      </c>
      <c r="F104">
        <f t="shared" si="5"/>
        <v>5.1026292099999981</v>
      </c>
      <c r="I104">
        <v>1.6120000000000001</v>
      </c>
    </row>
    <row r="105" spans="1:9" x14ac:dyDescent="0.45">
      <c r="A105" t="s">
        <v>86</v>
      </c>
      <c r="B105">
        <v>3.4129999999999998</v>
      </c>
      <c r="C105">
        <v>3.6049000000000002</v>
      </c>
      <c r="D105">
        <f t="shared" si="3"/>
        <v>0.1919000000000004</v>
      </c>
      <c r="E105">
        <f t="shared" si="4"/>
        <v>0.1919000000000004</v>
      </c>
      <c r="F105">
        <f t="shared" si="5"/>
        <v>3.6825610000000154E-2</v>
      </c>
      <c r="I105">
        <v>3.4129999999999998</v>
      </c>
    </row>
    <row r="106" spans="1:9" x14ac:dyDescent="0.45">
      <c r="A106" t="s">
        <v>87</v>
      </c>
      <c r="B106">
        <v>3.0720000000000001</v>
      </c>
      <c r="C106">
        <v>5.1578999999999997</v>
      </c>
      <c r="D106">
        <f t="shared" si="3"/>
        <v>2.0858999999999996</v>
      </c>
      <c r="E106">
        <f t="shared" si="4"/>
        <v>2.0858999999999996</v>
      </c>
      <c r="F106">
        <f t="shared" si="5"/>
        <v>4.3509788099999982</v>
      </c>
      <c r="I106">
        <v>3.0720000000000001</v>
      </c>
    </row>
    <row r="107" spans="1:9" x14ac:dyDescent="0.45">
      <c r="A107" t="s">
        <v>88</v>
      </c>
      <c r="B107">
        <v>1.698</v>
      </c>
      <c r="C107">
        <v>4.2302</v>
      </c>
      <c r="D107">
        <f t="shared" si="3"/>
        <v>2.5322</v>
      </c>
      <c r="E107">
        <f t="shared" si="4"/>
        <v>2.5322</v>
      </c>
      <c r="F107">
        <f t="shared" si="5"/>
        <v>6.4120368399999998</v>
      </c>
      <c r="I107">
        <v>1.698</v>
      </c>
    </row>
    <row r="108" spans="1:9" x14ac:dyDescent="0.45">
      <c r="A108" t="s">
        <v>89</v>
      </c>
      <c r="B108">
        <v>3.6549999999999998</v>
      </c>
      <c r="C108">
        <v>4.8000999999999996</v>
      </c>
      <c r="D108">
        <f t="shared" si="3"/>
        <v>1.1450999999999998</v>
      </c>
      <c r="E108">
        <f t="shared" si="4"/>
        <v>1.1450999999999998</v>
      </c>
      <c r="F108">
        <f t="shared" si="5"/>
        <v>1.3112540099999994</v>
      </c>
      <c r="I108">
        <v>3.6549999999999998</v>
      </c>
    </row>
    <row r="109" spans="1:9" x14ac:dyDescent="0.45">
      <c r="A109" t="s">
        <v>90</v>
      </c>
      <c r="B109">
        <v>4.4569999999999999</v>
      </c>
      <c r="C109">
        <v>3.1004</v>
      </c>
      <c r="D109">
        <f t="shared" si="3"/>
        <v>-1.3565999999999998</v>
      </c>
      <c r="E109">
        <f t="shared" si="4"/>
        <v>1.3565999999999998</v>
      </c>
      <c r="F109">
        <f t="shared" si="5"/>
        <v>1.8403635599999995</v>
      </c>
      <c r="I109">
        <v>4.4569999999999999</v>
      </c>
    </row>
    <row r="110" spans="1:9" x14ac:dyDescent="0.45">
      <c r="A110" t="s">
        <v>91</v>
      </c>
      <c r="B110">
        <v>9.8520000000000003</v>
      </c>
      <c r="C110">
        <v>9.5962999999999994</v>
      </c>
      <c r="D110">
        <f t="shared" si="3"/>
        <v>-0.25570000000000093</v>
      </c>
      <c r="E110">
        <f t="shared" si="4"/>
        <v>0.25570000000000093</v>
      </c>
      <c r="F110">
        <f t="shared" si="5"/>
        <v>6.5382490000000473E-2</v>
      </c>
      <c r="I110">
        <v>9.8520000000000003</v>
      </c>
    </row>
    <row r="111" spans="1:9" x14ac:dyDescent="0.45">
      <c r="A111" t="s">
        <v>92</v>
      </c>
      <c r="B111">
        <v>4.5010000000000003</v>
      </c>
      <c r="C111">
        <v>3.5949</v>
      </c>
      <c r="D111">
        <f t="shared" si="3"/>
        <v>-0.90610000000000035</v>
      </c>
      <c r="E111">
        <f t="shared" si="4"/>
        <v>0.90610000000000035</v>
      </c>
      <c r="F111">
        <f t="shared" si="5"/>
        <v>0.82101721000000061</v>
      </c>
      <c r="I111">
        <v>4.5010000000000003</v>
      </c>
    </row>
    <row r="112" spans="1:9" x14ac:dyDescent="0.45">
      <c r="A112" t="s">
        <v>93</v>
      </c>
      <c r="B112">
        <v>1.3220000000000001</v>
      </c>
      <c r="C112">
        <v>3.3098000000000001</v>
      </c>
      <c r="D112">
        <f t="shared" si="3"/>
        <v>1.9878</v>
      </c>
      <c r="E112">
        <f t="shared" si="4"/>
        <v>1.9878</v>
      </c>
      <c r="F112">
        <f t="shared" si="5"/>
        <v>3.9513488400000001</v>
      </c>
      <c r="I112">
        <v>1.3220000000000001</v>
      </c>
    </row>
    <row r="113" spans="1:9" x14ac:dyDescent="0.45">
      <c r="A113" t="s">
        <v>94</v>
      </c>
      <c r="B113">
        <v>4.9429999999999996</v>
      </c>
      <c r="C113">
        <v>2.5908000000000002</v>
      </c>
      <c r="D113">
        <f t="shared" si="3"/>
        <v>-2.3521999999999994</v>
      </c>
      <c r="E113">
        <f t="shared" si="4"/>
        <v>2.3521999999999994</v>
      </c>
      <c r="F113">
        <f t="shared" si="5"/>
        <v>5.5328448399999974</v>
      </c>
      <c r="I113">
        <v>4.9429999999999996</v>
      </c>
    </row>
    <row r="114" spans="1:9" x14ac:dyDescent="0.45">
      <c r="A114" t="s">
        <v>95</v>
      </c>
      <c r="B114">
        <v>2.9279999999999999</v>
      </c>
      <c r="C114">
        <v>2.5493999999999999</v>
      </c>
      <c r="D114">
        <f t="shared" si="3"/>
        <v>-0.37860000000000005</v>
      </c>
      <c r="E114">
        <f t="shared" si="4"/>
        <v>0.37860000000000005</v>
      </c>
      <c r="F114">
        <f t="shared" si="5"/>
        <v>0.14333796000000004</v>
      </c>
      <c r="I114">
        <v>2.9279999999999999</v>
      </c>
    </row>
    <row r="115" spans="1:9" x14ac:dyDescent="0.45">
      <c r="A115" t="s">
        <v>96</v>
      </c>
      <c r="B115">
        <v>2.1280000000000001</v>
      </c>
      <c r="C115">
        <v>3.4192</v>
      </c>
      <c r="D115">
        <f t="shared" si="3"/>
        <v>1.2911999999999999</v>
      </c>
      <c r="E115">
        <f t="shared" si="4"/>
        <v>1.2911999999999999</v>
      </c>
      <c r="F115">
        <f t="shared" si="5"/>
        <v>1.6671974399999998</v>
      </c>
      <c r="I115">
        <v>2.1280000000000001</v>
      </c>
    </row>
    <row r="116" spans="1:9" x14ac:dyDescent="0.45">
      <c r="A116" t="s">
        <v>97</v>
      </c>
      <c r="B116">
        <v>3.5169999999999999</v>
      </c>
      <c r="C116">
        <v>2.3094000000000001</v>
      </c>
      <c r="D116">
        <f t="shared" si="3"/>
        <v>-1.2075999999999998</v>
      </c>
      <c r="E116">
        <f t="shared" si="4"/>
        <v>1.2075999999999998</v>
      </c>
      <c r="F116">
        <f t="shared" si="5"/>
        <v>1.4582977599999996</v>
      </c>
      <c r="I116">
        <v>3.5169999999999999</v>
      </c>
    </row>
    <row r="117" spans="1:9" x14ac:dyDescent="0.45">
      <c r="A117" t="s">
        <v>98</v>
      </c>
      <c r="B117">
        <v>3.5920000000000001</v>
      </c>
      <c r="C117">
        <v>3.6890999999999998</v>
      </c>
      <c r="D117">
        <f t="shared" si="3"/>
        <v>9.7099999999999742E-2</v>
      </c>
      <c r="E117">
        <f t="shared" si="4"/>
        <v>9.7099999999999742E-2</v>
      </c>
      <c r="F117">
        <f t="shared" si="5"/>
        <v>9.4284099999999496E-3</v>
      </c>
      <c r="I117">
        <v>3.5920000000000001</v>
      </c>
    </row>
    <row r="118" spans="1:9" x14ac:dyDescent="0.45">
      <c r="A118" t="s">
        <v>99</v>
      </c>
      <c r="B118">
        <v>3.88</v>
      </c>
      <c r="C118">
        <v>4.0391000000000004</v>
      </c>
      <c r="D118">
        <f t="shared" si="3"/>
        <v>0.15910000000000046</v>
      </c>
      <c r="E118">
        <f t="shared" si="4"/>
        <v>0.15910000000000046</v>
      </c>
      <c r="F118">
        <f t="shared" si="5"/>
        <v>2.5312810000000147E-2</v>
      </c>
      <c r="I118">
        <v>3.88</v>
      </c>
    </row>
    <row r="119" spans="1:9" x14ac:dyDescent="0.45">
      <c r="A119" t="s">
        <v>100</v>
      </c>
      <c r="B119">
        <v>6.0129999999999999</v>
      </c>
      <c r="C119">
        <v>10.065200000000001</v>
      </c>
      <c r="D119">
        <f t="shared" si="3"/>
        <v>4.0522000000000009</v>
      </c>
      <c r="E119">
        <f t="shared" si="4"/>
        <v>4.0522000000000009</v>
      </c>
      <c r="F119">
        <f t="shared" si="5"/>
        <v>16.420324840000006</v>
      </c>
      <c r="I119">
        <v>6.0129999999999999</v>
      </c>
    </row>
    <row r="120" spans="1:9" x14ac:dyDescent="0.45">
      <c r="A120" t="s">
        <v>101</v>
      </c>
      <c r="B120">
        <v>3.762</v>
      </c>
      <c r="C120">
        <v>4.2245999999999997</v>
      </c>
      <c r="D120">
        <f t="shared" si="3"/>
        <v>0.46259999999999968</v>
      </c>
      <c r="E120">
        <f t="shared" si="4"/>
        <v>0.46259999999999968</v>
      </c>
      <c r="F120">
        <f t="shared" si="5"/>
        <v>0.2139987599999997</v>
      </c>
      <c r="I120">
        <v>3.762</v>
      </c>
    </row>
    <row r="121" spans="1:9" x14ac:dyDescent="0.45">
      <c r="A121" t="s">
        <v>102</v>
      </c>
      <c r="B121">
        <v>4.2009999999999996</v>
      </c>
      <c r="C121">
        <v>3.5423</v>
      </c>
      <c r="D121">
        <f t="shared" si="3"/>
        <v>-0.65869999999999962</v>
      </c>
      <c r="E121">
        <f t="shared" si="4"/>
        <v>0.65869999999999962</v>
      </c>
      <c r="F121">
        <f t="shared" si="5"/>
        <v>0.43388568999999949</v>
      </c>
      <c r="I121">
        <v>4.2009999999999996</v>
      </c>
    </row>
    <row r="122" spans="1:9" x14ac:dyDescent="0.45">
      <c r="A122" t="s">
        <v>103</v>
      </c>
      <c r="B122">
        <v>2.9540000000000002</v>
      </c>
      <c r="C122">
        <v>4.3268000000000004</v>
      </c>
      <c r="D122">
        <f t="shared" si="3"/>
        <v>1.3728000000000002</v>
      </c>
      <c r="E122">
        <f t="shared" si="4"/>
        <v>1.3728000000000002</v>
      </c>
      <c r="F122">
        <f t="shared" si="5"/>
        <v>1.8845798400000007</v>
      </c>
      <c r="I122">
        <v>2.9540000000000002</v>
      </c>
    </row>
    <row r="123" spans="1:9" x14ac:dyDescent="0.45">
      <c r="A123" t="s">
        <v>104</v>
      </c>
      <c r="B123">
        <v>3.11</v>
      </c>
      <c r="C123">
        <v>2.7565</v>
      </c>
      <c r="D123">
        <f t="shared" ref="D123:D133" si="6">(C123-B123)</f>
        <v>-0.35349999999999993</v>
      </c>
      <c r="E123">
        <f t="shared" ref="E123:E133" si="7">ABS(D123)</f>
        <v>0.35349999999999993</v>
      </c>
      <c r="F123">
        <f t="shared" ref="F123:F133" si="8">E123^2</f>
        <v>0.12496224999999994</v>
      </c>
      <c r="I123">
        <v>3.11</v>
      </c>
    </row>
    <row r="124" spans="1:9" x14ac:dyDescent="0.45">
      <c r="A124" t="s">
        <v>105</v>
      </c>
      <c r="B124">
        <v>2.952</v>
      </c>
      <c r="C124">
        <v>3.8308</v>
      </c>
      <c r="D124">
        <f t="shared" si="6"/>
        <v>0.87880000000000003</v>
      </c>
      <c r="E124">
        <f t="shared" si="7"/>
        <v>0.87880000000000003</v>
      </c>
      <c r="F124">
        <f t="shared" si="8"/>
        <v>0.77228943999999999</v>
      </c>
      <c r="I124">
        <v>2.952</v>
      </c>
    </row>
    <row r="125" spans="1:9" x14ac:dyDescent="0.45">
      <c r="A125" t="s">
        <v>106</v>
      </c>
      <c r="B125">
        <v>1.889</v>
      </c>
      <c r="C125">
        <v>2.7791000000000001</v>
      </c>
      <c r="D125">
        <f t="shared" si="6"/>
        <v>0.89010000000000011</v>
      </c>
      <c r="E125">
        <f t="shared" si="7"/>
        <v>0.89010000000000011</v>
      </c>
      <c r="F125">
        <f t="shared" si="8"/>
        <v>0.7922780100000002</v>
      </c>
      <c r="I125">
        <v>1.889</v>
      </c>
    </row>
    <row r="126" spans="1:9" x14ac:dyDescent="0.45">
      <c r="A126" t="s">
        <v>141</v>
      </c>
      <c r="B126">
        <v>3.32</v>
      </c>
      <c r="C126">
        <v>2.714</v>
      </c>
      <c r="D126">
        <f t="shared" si="6"/>
        <v>-0.60599999999999987</v>
      </c>
      <c r="E126">
        <f t="shared" si="7"/>
        <v>0.60599999999999987</v>
      </c>
      <c r="F126">
        <f t="shared" si="8"/>
        <v>0.36723599999999984</v>
      </c>
      <c r="I126">
        <v>3.32</v>
      </c>
    </row>
    <row r="127" spans="1:9" x14ac:dyDescent="0.45">
      <c r="A127" t="s">
        <v>142</v>
      </c>
      <c r="B127">
        <v>4.4050000000000002</v>
      </c>
      <c r="C127">
        <v>2.6714000000000002</v>
      </c>
      <c r="D127">
        <f t="shared" si="6"/>
        <v>-1.7336</v>
      </c>
      <c r="E127">
        <f t="shared" si="7"/>
        <v>1.7336</v>
      </c>
      <c r="F127">
        <f t="shared" si="8"/>
        <v>3.0053689600000002</v>
      </c>
      <c r="I127">
        <v>4.4050000000000002</v>
      </c>
    </row>
    <row r="128" spans="1:9" x14ac:dyDescent="0.45">
      <c r="A128" t="s">
        <v>107</v>
      </c>
      <c r="B128">
        <v>3.6819999999999999</v>
      </c>
      <c r="C128">
        <v>4.3160999999999996</v>
      </c>
      <c r="D128">
        <f t="shared" si="6"/>
        <v>0.63409999999999966</v>
      </c>
      <c r="E128">
        <f t="shared" si="7"/>
        <v>0.63409999999999966</v>
      </c>
      <c r="F128">
        <f t="shared" si="8"/>
        <v>0.40208280999999957</v>
      </c>
      <c r="I128">
        <v>3.6819999999999999</v>
      </c>
    </row>
    <row r="129" spans="1:9" x14ac:dyDescent="0.45">
      <c r="A129" t="s">
        <v>108</v>
      </c>
      <c r="B129">
        <v>4.3579999999999997</v>
      </c>
      <c r="C129">
        <v>3.6257999999999999</v>
      </c>
      <c r="D129">
        <f t="shared" si="6"/>
        <v>-0.73219999999999974</v>
      </c>
      <c r="E129">
        <f t="shared" si="7"/>
        <v>0.73219999999999974</v>
      </c>
      <c r="F129">
        <f t="shared" si="8"/>
        <v>0.53611683999999959</v>
      </c>
      <c r="I129">
        <v>4.3579999999999997</v>
      </c>
    </row>
    <row r="130" spans="1:9" x14ac:dyDescent="0.45">
      <c r="A130" t="s">
        <v>109</v>
      </c>
      <c r="B130">
        <v>3.3260000000000001</v>
      </c>
      <c r="C130">
        <v>3.9378000000000002</v>
      </c>
      <c r="D130">
        <f t="shared" si="6"/>
        <v>0.61180000000000012</v>
      </c>
      <c r="E130">
        <f t="shared" si="7"/>
        <v>0.61180000000000012</v>
      </c>
      <c r="F130">
        <f t="shared" si="8"/>
        <v>0.37429924000000014</v>
      </c>
      <c r="I130">
        <v>3.3260000000000001</v>
      </c>
    </row>
    <row r="131" spans="1:9" x14ac:dyDescent="0.45">
      <c r="A131" t="s">
        <v>110</v>
      </c>
      <c r="B131">
        <v>2.9889999999999999</v>
      </c>
      <c r="C131">
        <v>3.4746999999999999</v>
      </c>
      <c r="D131">
        <f t="shared" si="6"/>
        <v>0.48570000000000002</v>
      </c>
      <c r="E131">
        <f t="shared" si="7"/>
        <v>0.48570000000000002</v>
      </c>
      <c r="F131">
        <f t="shared" si="8"/>
        <v>0.23590449000000002</v>
      </c>
      <c r="I131">
        <v>2.9889999999999999</v>
      </c>
    </row>
    <row r="132" spans="1:9" x14ac:dyDescent="0.45">
      <c r="A132" t="s">
        <v>111</v>
      </c>
      <c r="B132">
        <v>3.9049999999999998</v>
      </c>
      <c r="C132">
        <v>6.1821999999999999</v>
      </c>
      <c r="D132">
        <f t="shared" si="6"/>
        <v>2.2772000000000001</v>
      </c>
      <c r="E132">
        <f t="shared" si="7"/>
        <v>2.2772000000000001</v>
      </c>
      <c r="F132">
        <f t="shared" si="8"/>
        <v>5.1856398400000003</v>
      </c>
      <c r="I132">
        <v>3.9049999999999998</v>
      </c>
    </row>
    <row r="133" spans="1:9" x14ac:dyDescent="0.45">
      <c r="A133" t="s">
        <v>112</v>
      </c>
      <c r="B133">
        <v>3.3490000000000002</v>
      </c>
      <c r="C133">
        <v>5.0495000000000001</v>
      </c>
      <c r="D133">
        <f t="shared" si="6"/>
        <v>1.7004999999999999</v>
      </c>
      <c r="E133">
        <f t="shared" si="7"/>
        <v>1.7004999999999999</v>
      </c>
      <c r="F133">
        <f t="shared" si="8"/>
        <v>2.8917002499999995</v>
      </c>
      <c r="I133">
        <v>3.3490000000000002</v>
      </c>
    </row>
    <row r="134" spans="1:9" x14ac:dyDescent="0.45">
      <c r="D134">
        <f>AVERAGE(D2:D133)</f>
        <v>0.28458712121212099</v>
      </c>
      <c r="E134">
        <f>AVERAGE(E2:E133)</f>
        <v>1.2575628787878792</v>
      </c>
      <c r="F134">
        <f>SQRT(AVERAGE(F2:F133))</f>
        <v>1.6135019066623475</v>
      </c>
    </row>
    <row r="135" spans="1:9" x14ac:dyDescent="0.45">
      <c r="B135">
        <f>MIN(B2:B133)</f>
        <v>1.0760000000000001</v>
      </c>
      <c r="C135">
        <f>MIN(C2:C133)</f>
        <v>1.5803</v>
      </c>
    </row>
    <row r="136" spans="1:9" x14ac:dyDescent="0.45">
      <c r="B136">
        <f>MAX(B2:B133)</f>
        <v>9.8520000000000003</v>
      </c>
      <c r="C136">
        <f>MAX(C2:C133)</f>
        <v>10.065200000000001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4B38-7892-4B51-BCAA-AF37AB885131}">
  <dimension ref="A1:H137"/>
  <sheetViews>
    <sheetView workbookViewId="0">
      <selection activeCell="H1" sqref="H1:H137"/>
    </sheetView>
  </sheetViews>
  <sheetFormatPr defaultRowHeight="14.25" x14ac:dyDescent="0.45"/>
  <sheetData>
    <row r="1" spans="1:8" x14ac:dyDescent="0.45">
      <c r="A1" t="s">
        <v>6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</row>
    <row r="2" spans="1:8" x14ac:dyDescent="0.45">
      <c r="A2" t="s">
        <v>113</v>
      </c>
      <c r="B2">
        <v>-0.191</v>
      </c>
      <c r="C2">
        <v>-0.57499999999999996</v>
      </c>
      <c r="D2">
        <v>-1.22</v>
      </c>
      <c r="E2">
        <v>-0.47099999999999997</v>
      </c>
      <c r="F2">
        <v>-0.65</v>
      </c>
      <c r="G2">
        <v>-0.96699999999999997</v>
      </c>
      <c r="H2">
        <v>3.194</v>
      </c>
    </row>
    <row r="3" spans="1:8" x14ac:dyDescent="0.45">
      <c r="A3" t="s">
        <v>114</v>
      </c>
      <c r="B3">
        <v>0.59899999999999998</v>
      </c>
      <c r="C3">
        <v>0.65700000000000003</v>
      </c>
      <c r="D3">
        <v>-0.72699999999999998</v>
      </c>
      <c r="E3">
        <v>0.81299999999999994</v>
      </c>
      <c r="F3">
        <v>0.86299999999999999</v>
      </c>
      <c r="G3">
        <v>-0.42</v>
      </c>
      <c r="H3">
        <v>3.198</v>
      </c>
    </row>
    <row r="4" spans="1:8" x14ac:dyDescent="0.45">
      <c r="A4" t="s">
        <v>115</v>
      </c>
      <c r="B4">
        <v>0.45400000000000001</v>
      </c>
      <c r="C4">
        <v>0.24099999999999999</v>
      </c>
      <c r="D4">
        <v>-1.4</v>
      </c>
      <c r="E4">
        <v>0.81</v>
      </c>
      <c r="F4">
        <v>-0.57199999999999995</v>
      </c>
      <c r="G4">
        <v>-1.5</v>
      </c>
      <c r="H4">
        <v>4.5720000000000001</v>
      </c>
    </row>
    <row r="5" spans="1:8" x14ac:dyDescent="0.45">
      <c r="A5" t="s">
        <v>116</v>
      </c>
      <c r="B5">
        <v>-0.58699999999999997</v>
      </c>
      <c r="C5">
        <v>-1.3160000000000001</v>
      </c>
      <c r="D5">
        <v>-1.6080000000000001</v>
      </c>
      <c r="E5">
        <v>-0.98799999999999999</v>
      </c>
      <c r="F5">
        <v>-1.1080000000000001</v>
      </c>
      <c r="G5">
        <v>-2.0379999999999998</v>
      </c>
      <c r="H5">
        <v>6.407</v>
      </c>
    </row>
    <row r="6" spans="1:8" x14ac:dyDescent="0.45">
      <c r="A6" t="s">
        <v>117</v>
      </c>
      <c r="B6">
        <v>0.38200000000000001</v>
      </c>
      <c r="C6">
        <v>-0.38100000000000001</v>
      </c>
      <c r="D6">
        <v>-0.70899999999999996</v>
      </c>
      <c r="E6">
        <v>0.18099999999999999</v>
      </c>
      <c r="F6">
        <v>-0.379</v>
      </c>
      <c r="G6">
        <v>-0.60599999999999998</v>
      </c>
      <c r="H6">
        <v>1.873</v>
      </c>
    </row>
    <row r="7" spans="1:8" x14ac:dyDescent="0.45">
      <c r="A7" t="s">
        <v>118</v>
      </c>
      <c r="B7">
        <v>-0.27100000000000002</v>
      </c>
      <c r="C7">
        <v>0.54</v>
      </c>
      <c r="D7">
        <v>-1.8340000000000001</v>
      </c>
      <c r="E7">
        <v>-0.66900000000000004</v>
      </c>
      <c r="F7">
        <v>0.38100000000000001</v>
      </c>
      <c r="G7">
        <v>-2.2320000000000002</v>
      </c>
      <c r="H7">
        <v>6.0010000000000003</v>
      </c>
    </row>
    <row r="8" spans="1:8" x14ac:dyDescent="0.45">
      <c r="A8" t="s">
        <v>7</v>
      </c>
      <c r="B8">
        <v>-0.47299999999999998</v>
      </c>
      <c r="C8">
        <v>-0.95299999999999996</v>
      </c>
      <c r="D8">
        <v>-0.40699999999999997</v>
      </c>
      <c r="E8">
        <v>-0.38700000000000001</v>
      </c>
      <c r="F8">
        <v>-0.92</v>
      </c>
      <c r="G8">
        <v>-0.33300000000000002</v>
      </c>
      <c r="H8">
        <v>2.6749999999999998</v>
      </c>
    </row>
    <row r="9" spans="1:8" x14ac:dyDescent="0.45">
      <c r="A9" t="s">
        <v>8</v>
      </c>
      <c r="B9">
        <v>-0.14499999999999999</v>
      </c>
      <c r="C9">
        <v>0.52200000000000002</v>
      </c>
      <c r="D9">
        <v>0.161</v>
      </c>
      <c r="E9">
        <v>4.0000000000000001E-3</v>
      </c>
      <c r="F9">
        <v>0.39</v>
      </c>
      <c r="G9">
        <v>0.16500000000000001</v>
      </c>
      <c r="H9">
        <v>1.0760000000000001</v>
      </c>
    </row>
    <row r="10" spans="1:8" x14ac:dyDescent="0.45">
      <c r="A10" t="s">
        <v>9</v>
      </c>
      <c r="B10">
        <v>0.20399999999999999</v>
      </c>
      <c r="C10">
        <v>-0.47099999999999997</v>
      </c>
      <c r="D10">
        <v>-0.94099999999999995</v>
      </c>
      <c r="E10">
        <v>0.41399999999999998</v>
      </c>
      <c r="F10">
        <v>-0.52200000000000002</v>
      </c>
      <c r="G10">
        <v>-0.751</v>
      </c>
      <c r="H10">
        <v>2.5510000000000002</v>
      </c>
    </row>
    <row r="11" spans="1:8" x14ac:dyDescent="0.45">
      <c r="A11" t="s">
        <v>10</v>
      </c>
      <c r="B11">
        <v>-1.788</v>
      </c>
      <c r="C11">
        <v>-0.33500000000000002</v>
      </c>
      <c r="D11">
        <v>0.27800000000000002</v>
      </c>
      <c r="E11">
        <v>-1.7330000000000001</v>
      </c>
      <c r="F11">
        <v>-0.53300000000000003</v>
      </c>
      <c r="G11">
        <v>0.37</v>
      </c>
      <c r="H11">
        <v>4.7030000000000003</v>
      </c>
    </row>
    <row r="12" spans="1:8" x14ac:dyDescent="0.45">
      <c r="A12" t="s">
        <v>11</v>
      </c>
      <c r="B12">
        <v>0.58199999999999996</v>
      </c>
      <c r="C12">
        <v>-0.125</v>
      </c>
      <c r="D12">
        <v>-0.92900000000000005</v>
      </c>
      <c r="E12">
        <v>0.42499999999999999</v>
      </c>
      <c r="F12">
        <v>-0.35499999999999998</v>
      </c>
      <c r="G12">
        <v>-0.73099999999999998</v>
      </c>
      <c r="H12">
        <v>2.3319999999999999</v>
      </c>
    </row>
    <row r="13" spans="1:8" x14ac:dyDescent="0.45">
      <c r="A13" t="s">
        <v>12</v>
      </c>
      <c r="B13">
        <v>-1.1020000000000001</v>
      </c>
      <c r="C13">
        <v>-1.0669999999999999</v>
      </c>
      <c r="D13">
        <v>-0.186</v>
      </c>
      <c r="E13">
        <v>-1.1850000000000001</v>
      </c>
      <c r="F13">
        <v>-0.97799999999999998</v>
      </c>
      <c r="G13">
        <v>-0.48599999999999999</v>
      </c>
      <c r="H13">
        <v>4.0960000000000001</v>
      </c>
    </row>
    <row r="14" spans="1:8" x14ac:dyDescent="0.45">
      <c r="A14" t="s">
        <v>13</v>
      </c>
      <c r="B14">
        <v>0.35899999999999999</v>
      </c>
      <c r="C14">
        <v>-0.60699999999999998</v>
      </c>
      <c r="D14">
        <v>-5.1999999999999998E-2</v>
      </c>
      <c r="E14">
        <v>0.13200000000000001</v>
      </c>
      <c r="F14">
        <v>-0.628</v>
      </c>
      <c r="G14">
        <v>-8.7999999999999995E-2</v>
      </c>
      <c r="H14">
        <v>1.645</v>
      </c>
    </row>
    <row r="15" spans="1:8" x14ac:dyDescent="0.45">
      <c r="A15" t="s">
        <v>119</v>
      </c>
      <c r="B15">
        <v>0.69299999999999995</v>
      </c>
      <c r="C15">
        <v>0.42199999999999999</v>
      </c>
      <c r="D15">
        <v>-0.61399999999999999</v>
      </c>
      <c r="E15">
        <v>0.82899999999999996</v>
      </c>
      <c r="F15">
        <v>0.16700000000000001</v>
      </c>
      <c r="G15">
        <v>-0.14000000000000001</v>
      </c>
      <c r="H15">
        <v>2.1789999999999998</v>
      </c>
    </row>
    <row r="16" spans="1:8" x14ac:dyDescent="0.45">
      <c r="A16" t="s">
        <v>14</v>
      </c>
      <c r="B16">
        <v>-1.8819999999999999</v>
      </c>
      <c r="C16">
        <v>-1.1040000000000001</v>
      </c>
      <c r="D16">
        <v>0.67500000000000004</v>
      </c>
      <c r="E16">
        <v>-1.708</v>
      </c>
      <c r="F16">
        <v>-1</v>
      </c>
      <c r="G16">
        <v>0.66700000000000004</v>
      </c>
      <c r="H16">
        <v>5.3090000000000002</v>
      </c>
    </row>
    <row r="17" spans="1:8" x14ac:dyDescent="0.45">
      <c r="A17" t="s">
        <v>120</v>
      </c>
      <c r="B17">
        <v>-0.54800000000000004</v>
      </c>
      <c r="C17">
        <v>-0.90700000000000003</v>
      </c>
      <c r="D17">
        <v>1.331</v>
      </c>
      <c r="E17">
        <v>-0.248</v>
      </c>
      <c r="F17">
        <v>-0.95899999999999996</v>
      </c>
      <c r="G17">
        <v>2.2280000000000002</v>
      </c>
      <c r="H17">
        <v>6.1970000000000001</v>
      </c>
    </row>
    <row r="18" spans="1:8" x14ac:dyDescent="0.45">
      <c r="A18" t="s">
        <v>121</v>
      </c>
      <c r="B18">
        <v>0.79300000000000004</v>
      </c>
      <c r="C18">
        <v>0.109</v>
      </c>
      <c r="D18">
        <v>-1.046</v>
      </c>
      <c r="E18">
        <v>0.81299999999999994</v>
      </c>
      <c r="F18">
        <v>-0.152</v>
      </c>
      <c r="G18">
        <v>-0.92300000000000004</v>
      </c>
      <c r="H18">
        <v>3.149</v>
      </c>
    </row>
    <row r="19" spans="1:8" x14ac:dyDescent="0.45">
      <c r="A19" t="s">
        <v>122</v>
      </c>
      <c r="B19">
        <v>1.127</v>
      </c>
      <c r="C19">
        <v>-1.8859999999999999</v>
      </c>
      <c r="D19">
        <v>4.2000000000000003E-2</v>
      </c>
      <c r="E19">
        <v>0.60799999999999998</v>
      </c>
      <c r="F19">
        <v>-1.3640000000000001</v>
      </c>
      <c r="G19">
        <v>-0.51</v>
      </c>
      <c r="H19">
        <v>4.0110000000000001</v>
      </c>
    </row>
    <row r="20" spans="1:8" x14ac:dyDescent="0.45">
      <c r="A20" t="s">
        <v>123</v>
      </c>
      <c r="B20">
        <v>-1.698</v>
      </c>
      <c r="C20">
        <v>0.38</v>
      </c>
      <c r="D20">
        <v>-1.411</v>
      </c>
      <c r="E20">
        <v>-1.514</v>
      </c>
      <c r="F20">
        <v>0.40899999999999997</v>
      </c>
      <c r="G20">
        <v>-1.31</v>
      </c>
      <c r="H20">
        <v>5.194</v>
      </c>
    </row>
    <row r="21" spans="1:8" x14ac:dyDescent="0.45">
      <c r="A21" t="s">
        <v>124</v>
      </c>
      <c r="B21">
        <v>-1.1830000000000001</v>
      </c>
      <c r="C21">
        <v>-1.26</v>
      </c>
      <c r="D21">
        <v>0.93300000000000005</v>
      </c>
      <c r="E21">
        <v>-0.99399999999999999</v>
      </c>
      <c r="F21">
        <v>-1.103</v>
      </c>
      <c r="G21">
        <v>0.69499999999999995</v>
      </c>
      <c r="H21">
        <v>4.1669999999999998</v>
      </c>
    </row>
    <row r="22" spans="1:8" x14ac:dyDescent="0.45">
      <c r="A22" t="s">
        <v>125</v>
      </c>
      <c r="B22">
        <v>-1.966</v>
      </c>
      <c r="C22">
        <v>1.3740000000000001</v>
      </c>
      <c r="D22">
        <v>0.85499999999999998</v>
      </c>
      <c r="E22">
        <v>-1.62</v>
      </c>
      <c r="F22">
        <v>1.2350000000000001</v>
      </c>
      <c r="G22">
        <v>0.58299999999999996</v>
      </c>
      <c r="H22">
        <v>5.3849999999999998</v>
      </c>
    </row>
    <row r="23" spans="1:8" x14ac:dyDescent="0.45">
      <c r="A23" t="s">
        <v>15</v>
      </c>
      <c r="B23">
        <v>-0.48599999999999999</v>
      </c>
      <c r="C23">
        <v>0.92</v>
      </c>
      <c r="D23">
        <v>-0.79400000000000004</v>
      </c>
      <c r="E23">
        <v>-0.50900000000000001</v>
      </c>
      <c r="F23">
        <v>1.0309999999999999</v>
      </c>
      <c r="G23">
        <v>-1.073</v>
      </c>
      <c r="H23">
        <v>3.996</v>
      </c>
    </row>
    <row r="24" spans="1:8" x14ac:dyDescent="0.45">
      <c r="A24" t="s">
        <v>16</v>
      </c>
      <c r="B24">
        <v>0.21199999999999999</v>
      </c>
      <c r="C24">
        <v>0.71199999999999997</v>
      </c>
      <c r="D24">
        <v>-0.72599999999999998</v>
      </c>
      <c r="E24">
        <v>0.18</v>
      </c>
      <c r="F24">
        <v>0.45200000000000001</v>
      </c>
      <c r="G24">
        <v>-0.89300000000000002</v>
      </c>
      <c r="H24">
        <v>2.585</v>
      </c>
    </row>
    <row r="25" spans="1:8" x14ac:dyDescent="0.45">
      <c r="A25" t="s">
        <v>17</v>
      </c>
      <c r="B25">
        <v>0.29699999999999999</v>
      </c>
      <c r="C25">
        <v>0.29799999999999999</v>
      </c>
      <c r="D25">
        <v>0.26900000000000002</v>
      </c>
      <c r="E25">
        <v>0.41899999999999998</v>
      </c>
      <c r="F25">
        <v>-7.5999999999999998E-2</v>
      </c>
      <c r="G25">
        <v>0.38</v>
      </c>
      <c r="H25">
        <v>1.4510000000000001</v>
      </c>
    </row>
    <row r="26" spans="1:8" x14ac:dyDescent="0.45">
      <c r="A26" t="s">
        <v>18</v>
      </c>
      <c r="B26">
        <v>-0.182</v>
      </c>
      <c r="C26">
        <v>0.17399999999999999</v>
      </c>
      <c r="D26">
        <v>-0.89600000000000002</v>
      </c>
      <c r="E26">
        <v>-0.55200000000000005</v>
      </c>
      <c r="F26">
        <v>0.27300000000000002</v>
      </c>
      <c r="G26">
        <v>-0.55300000000000005</v>
      </c>
      <c r="H26">
        <v>2.1040000000000001</v>
      </c>
    </row>
    <row r="27" spans="1:8" x14ac:dyDescent="0.45">
      <c r="A27" t="s">
        <v>19</v>
      </c>
      <c r="B27">
        <v>1.6779999999999999</v>
      </c>
      <c r="C27">
        <v>1.091</v>
      </c>
      <c r="D27">
        <v>0.46700000000000003</v>
      </c>
      <c r="E27">
        <v>1.5429999999999999</v>
      </c>
      <c r="F27">
        <v>1.167</v>
      </c>
      <c r="G27">
        <v>8.7999999999999995E-2</v>
      </c>
      <c r="H27">
        <v>4.923</v>
      </c>
    </row>
    <row r="28" spans="1:8" x14ac:dyDescent="0.45">
      <c r="A28" t="s">
        <v>20</v>
      </c>
      <c r="B28">
        <v>2.3889999999999998</v>
      </c>
      <c r="C28">
        <v>0.78500000000000003</v>
      </c>
      <c r="D28">
        <v>2.3210000000000002</v>
      </c>
      <c r="E28">
        <v>2.13</v>
      </c>
      <c r="F28">
        <v>0.79</v>
      </c>
      <c r="G28">
        <v>1.9359999999999999</v>
      </c>
      <c r="H28">
        <v>7.5860000000000003</v>
      </c>
    </row>
    <row r="29" spans="1:8" x14ac:dyDescent="0.45">
      <c r="A29" t="s">
        <v>21</v>
      </c>
      <c r="B29">
        <v>1.2010000000000001</v>
      </c>
      <c r="C29">
        <v>0.79800000000000004</v>
      </c>
      <c r="D29">
        <v>-1.0589999999999999</v>
      </c>
      <c r="E29">
        <v>1.0920000000000001</v>
      </c>
      <c r="F29">
        <v>0.45400000000000001</v>
      </c>
      <c r="G29">
        <v>-0.78100000000000003</v>
      </c>
      <c r="H29">
        <v>3.6019999999999999</v>
      </c>
    </row>
    <row r="30" spans="1:8" x14ac:dyDescent="0.45">
      <c r="A30" t="s">
        <v>22</v>
      </c>
      <c r="B30">
        <v>-1.7689999999999999</v>
      </c>
      <c r="C30">
        <v>-1.4379999999999999</v>
      </c>
      <c r="D30">
        <v>-0.54500000000000004</v>
      </c>
      <c r="E30">
        <v>-1.3520000000000001</v>
      </c>
      <c r="F30">
        <v>-1.1919999999999999</v>
      </c>
      <c r="G30">
        <v>-0.624</v>
      </c>
      <c r="H30">
        <v>4.8479999999999999</v>
      </c>
    </row>
    <row r="31" spans="1:8" x14ac:dyDescent="0.45">
      <c r="A31" t="s">
        <v>23</v>
      </c>
      <c r="B31">
        <v>2.4159999999999999</v>
      </c>
      <c r="C31">
        <v>0.82199999999999995</v>
      </c>
      <c r="D31">
        <v>1.431</v>
      </c>
      <c r="E31">
        <v>2.0449999999999999</v>
      </c>
      <c r="F31">
        <v>1.274</v>
      </c>
      <c r="G31">
        <v>1.4750000000000001</v>
      </c>
      <c r="H31">
        <v>7.1820000000000004</v>
      </c>
    </row>
    <row r="32" spans="1:8" x14ac:dyDescent="0.45">
      <c r="A32" t="s">
        <v>24</v>
      </c>
      <c r="B32">
        <v>-2.1309999999999998</v>
      </c>
      <c r="C32">
        <v>-0.7</v>
      </c>
      <c r="D32">
        <v>0.41499999999999998</v>
      </c>
      <c r="E32">
        <v>-1.5329999999999999</v>
      </c>
      <c r="F32">
        <v>-0.78</v>
      </c>
      <c r="G32">
        <v>0.46100000000000002</v>
      </c>
      <c r="H32">
        <v>4.5259999999999998</v>
      </c>
    </row>
    <row r="33" spans="1:8" x14ac:dyDescent="0.45">
      <c r="A33" t="s">
        <v>25</v>
      </c>
      <c r="B33">
        <v>0.94599999999999995</v>
      </c>
      <c r="C33">
        <v>-1.101</v>
      </c>
      <c r="D33">
        <v>2.141</v>
      </c>
      <c r="E33">
        <v>0.83799999999999997</v>
      </c>
      <c r="F33">
        <v>-1.3240000000000001</v>
      </c>
      <c r="G33">
        <v>2.0289999999999999</v>
      </c>
      <c r="H33">
        <v>6.516</v>
      </c>
    </row>
    <row r="34" spans="1:8" x14ac:dyDescent="0.45">
      <c r="A34" t="s">
        <v>26</v>
      </c>
      <c r="B34">
        <v>-1.7370000000000001</v>
      </c>
      <c r="C34">
        <v>-0.21099999999999999</v>
      </c>
      <c r="D34">
        <v>-1.3720000000000001</v>
      </c>
      <c r="E34">
        <v>-2.032</v>
      </c>
      <c r="F34">
        <v>-0.34</v>
      </c>
      <c r="G34">
        <v>-0.874</v>
      </c>
      <c r="H34">
        <v>5.69</v>
      </c>
    </row>
    <row r="35" spans="1:8" x14ac:dyDescent="0.45">
      <c r="A35" t="s">
        <v>27</v>
      </c>
      <c r="B35">
        <v>-0.42699999999999999</v>
      </c>
      <c r="C35">
        <v>1.867</v>
      </c>
      <c r="D35">
        <v>-2.0009999999999999</v>
      </c>
      <c r="E35">
        <v>-0.39400000000000002</v>
      </c>
      <c r="F35">
        <v>1.968</v>
      </c>
      <c r="G35">
        <v>-1.95</v>
      </c>
      <c r="H35">
        <v>7.1130000000000004</v>
      </c>
    </row>
    <row r="36" spans="1:8" x14ac:dyDescent="0.45">
      <c r="A36" t="s">
        <v>28</v>
      </c>
      <c r="B36">
        <v>-1.548</v>
      </c>
      <c r="C36">
        <v>-0.27400000000000002</v>
      </c>
      <c r="D36">
        <v>-0.17399999999999999</v>
      </c>
      <c r="E36">
        <v>-1.746</v>
      </c>
      <c r="F36">
        <v>-6.4000000000000001E-2</v>
      </c>
      <c r="G36">
        <v>-0.443</v>
      </c>
      <c r="H36">
        <v>4.5819999999999999</v>
      </c>
    </row>
    <row r="37" spans="1:8" x14ac:dyDescent="0.45">
      <c r="A37" t="s">
        <v>126</v>
      </c>
      <c r="B37">
        <v>-0.86499999999999999</v>
      </c>
      <c r="C37">
        <v>1.085</v>
      </c>
      <c r="D37">
        <v>0.54100000000000004</v>
      </c>
      <c r="E37">
        <v>-0.53300000000000003</v>
      </c>
      <c r="F37">
        <v>1.073</v>
      </c>
      <c r="G37">
        <v>7.8E-2</v>
      </c>
      <c r="H37">
        <v>3.0510000000000002</v>
      </c>
    </row>
    <row r="38" spans="1:8" x14ac:dyDescent="0.45">
      <c r="A38" t="s">
        <v>29</v>
      </c>
      <c r="B38">
        <v>-1.823</v>
      </c>
      <c r="C38">
        <v>-1.165</v>
      </c>
      <c r="D38">
        <v>-0.27</v>
      </c>
      <c r="E38">
        <v>-1.8919999999999999</v>
      </c>
      <c r="F38">
        <v>-1.0469999999999999</v>
      </c>
      <c r="G38">
        <v>-0.191</v>
      </c>
      <c r="H38">
        <v>5.5179999999999998</v>
      </c>
    </row>
    <row r="39" spans="1:8" x14ac:dyDescent="0.45">
      <c r="A39" t="s">
        <v>30</v>
      </c>
      <c r="B39">
        <v>-1.087</v>
      </c>
      <c r="C39">
        <v>0.248</v>
      </c>
      <c r="D39">
        <v>-1.599</v>
      </c>
      <c r="E39">
        <v>-1.0720000000000001</v>
      </c>
      <c r="F39">
        <v>0.42599999999999999</v>
      </c>
      <c r="G39">
        <v>-1.6719999999999999</v>
      </c>
      <c r="H39">
        <v>5.1639999999999997</v>
      </c>
    </row>
    <row r="40" spans="1:8" x14ac:dyDescent="0.45">
      <c r="A40" t="s">
        <v>31</v>
      </c>
      <c r="B40">
        <v>1.052</v>
      </c>
      <c r="C40">
        <v>0.86099999999999999</v>
      </c>
      <c r="D40">
        <v>-0.73599999999999999</v>
      </c>
      <c r="E40">
        <v>1.1719999999999999</v>
      </c>
      <c r="F40">
        <v>0.70199999999999996</v>
      </c>
      <c r="G40">
        <v>-0.64300000000000002</v>
      </c>
      <c r="H40">
        <v>3.8380000000000001</v>
      </c>
    </row>
    <row r="41" spans="1:8" x14ac:dyDescent="0.45">
      <c r="A41" t="s">
        <v>127</v>
      </c>
      <c r="B41">
        <v>0.84399999999999997</v>
      </c>
      <c r="C41">
        <v>0.124</v>
      </c>
      <c r="D41">
        <v>-0.65500000000000003</v>
      </c>
      <c r="E41">
        <v>0.74399999999999999</v>
      </c>
      <c r="F41">
        <v>0.45300000000000001</v>
      </c>
      <c r="G41">
        <v>-0.38900000000000001</v>
      </c>
      <c r="H41">
        <v>2.4249999999999998</v>
      </c>
    </row>
    <row r="42" spans="1:8" x14ac:dyDescent="0.45">
      <c r="A42" t="s">
        <v>128</v>
      </c>
      <c r="B42">
        <v>-1.8160000000000001</v>
      </c>
      <c r="C42">
        <v>-0.122</v>
      </c>
      <c r="D42">
        <v>1.571</v>
      </c>
      <c r="E42">
        <v>-1.37</v>
      </c>
      <c r="F42">
        <v>-0.25</v>
      </c>
      <c r="G42">
        <v>1.968</v>
      </c>
      <c r="H42">
        <v>6.1280000000000001</v>
      </c>
    </row>
    <row r="43" spans="1:8" x14ac:dyDescent="0.45">
      <c r="A43" t="s">
        <v>32</v>
      </c>
      <c r="B43">
        <v>1.099</v>
      </c>
      <c r="C43">
        <v>-1.68</v>
      </c>
      <c r="D43">
        <v>0.73799999999999999</v>
      </c>
      <c r="E43">
        <v>1.095</v>
      </c>
      <c r="F43">
        <v>-1.3720000000000001</v>
      </c>
      <c r="G43">
        <v>0.79400000000000004</v>
      </c>
      <c r="H43">
        <v>4.8959999999999999</v>
      </c>
    </row>
    <row r="44" spans="1:8" x14ac:dyDescent="0.45">
      <c r="A44" t="s">
        <v>33</v>
      </c>
      <c r="B44">
        <v>-0.22700000000000001</v>
      </c>
      <c r="C44">
        <v>0.36499999999999999</v>
      </c>
      <c r="D44">
        <v>1.0369999999999999</v>
      </c>
      <c r="E44">
        <v>-0.42699999999999999</v>
      </c>
      <c r="F44">
        <v>0.249</v>
      </c>
      <c r="G44">
        <v>0.95099999999999996</v>
      </c>
      <c r="H44">
        <v>2.7240000000000002</v>
      </c>
    </row>
    <row r="45" spans="1:8" x14ac:dyDescent="0.45">
      <c r="A45" t="s">
        <v>34</v>
      </c>
      <c r="B45">
        <v>1.0289999999999999</v>
      </c>
      <c r="C45">
        <v>0.01</v>
      </c>
      <c r="D45">
        <v>1.2E-2</v>
      </c>
      <c r="E45">
        <v>0.96799999999999997</v>
      </c>
      <c r="F45">
        <v>0.23</v>
      </c>
      <c r="G45">
        <v>6.0999999999999999E-2</v>
      </c>
      <c r="H45">
        <v>2.5339999999999998</v>
      </c>
    </row>
    <row r="46" spans="1:8" x14ac:dyDescent="0.45">
      <c r="A46" t="s">
        <v>35</v>
      </c>
      <c r="B46">
        <v>1.3180000000000001</v>
      </c>
      <c r="C46">
        <v>-0.251</v>
      </c>
      <c r="D46">
        <v>1.367</v>
      </c>
      <c r="E46">
        <v>1.093</v>
      </c>
      <c r="F46">
        <v>-0.192</v>
      </c>
      <c r="G46">
        <v>1.2729999999999999</v>
      </c>
      <c r="H46">
        <v>4.2919999999999998</v>
      </c>
    </row>
    <row r="47" spans="1:8" x14ac:dyDescent="0.45">
      <c r="A47" t="s">
        <v>36</v>
      </c>
      <c r="B47">
        <v>0.66600000000000004</v>
      </c>
      <c r="C47">
        <v>-0.95599999999999996</v>
      </c>
      <c r="D47">
        <v>1.014</v>
      </c>
      <c r="E47">
        <v>0.755</v>
      </c>
      <c r="F47">
        <v>-0.79500000000000004</v>
      </c>
      <c r="G47">
        <v>0.97199999999999998</v>
      </c>
      <c r="H47">
        <v>3.7240000000000002</v>
      </c>
    </row>
    <row r="48" spans="1:8" x14ac:dyDescent="0.45">
      <c r="A48" t="s">
        <v>37</v>
      </c>
      <c r="B48">
        <v>-1.7330000000000001</v>
      </c>
      <c r="C48">
        <v>-2.0169999999999999</v>
      </c>
      <c r="D48">
        <v>1.849</v>
      </c>
      <c r="E48">
        <v>-1.75</v>
      </c>
      <c r="F48">
        <v>-1.7589999999999999</v>
      </c>
      <c r="G48">
        <v>1.661</v>
      </c>
      <c r="H48">
        <v>7.59</v>
      </c>
    </row>
    <row r="49" spans="1:8" x14ac:dyDescent="0.45">
      <c r="A49" t="s">
        <v>38</v>
      </c>
      <c r="B49">
        <v>-0.498</v>
      </c>
      <c r="C49">
        <v>1.7450000000000001</v>
      </c>
      <c r="D49">
        <v>1.54</v>
      </c>
      <c r="E49">
        <v>-0.375</v>
      </c>
      <c r="F49">
        <v>1.6259999999999999</v>
      </c>
      <c r="G49">
        <v>1.474</v>
      </c>
      <c r="H49">
        <v>5.6580000000000004</v>
      </c>
    </row>
    <row r="50" spans="1:8" x14ac:dyDescent="0.45">
      <c r="A50" t="s">
        <v>39</v>
      </c>
      <c r="B50">
        <v>0.109</v>
      </c>
      <c r="C50">
        <v>-0.84399999999999997</v>
      </c>
      <c r="D50">
        <v>1.044</v>
      </c>
      <c r="E50">
        <v>0.19</v>
      </c>
      <c r="F50">
        <v>-0.67900000000000005</v>
      </c>
      <c r="G50">
        <v>1.0029999999999999</v>
      </c>
      <c r="H50">
        <v>3.1160000000000001</v>
      </c>
    </row>
    <row r="51" spans="1:8" x14ac:dyDescent="0.45">
      <c r="A51" t="s">
        <v>40</v>
      </c>
      <c r="B51">
        <v>1.7589999999999999</v>
      </c>
      <c r="C51">
        <v>0.67800000000000005</v>
      </c>
      <c r="D51">
        <v>-1.0569999999999999</v>
      </c>
      <c r="E51">
        <v>1.6339999999999999</v>
      </c>
      <c r="F51">
        <v>0.81</v>
      </c>
      <c r="G51">
        <v>-1.246</v>
      </c>
      <c r="H51">
        <v>5.6139999999999999</v>
      </c>
    </row>
    <row r="52" spans="1:8" x14ac:dyDescent="0.45">
      <c r="A52" t="s">
        <v>41</v>
      </c>
      <c r="B52">
        <v>3.5000000000000003E-2</v>
      </c>
      <c r="C52">
        <v>-1.6E-2</v>
      </c>
      <c r="D52">
        <v>0.438</v>
      </c>
      <c r="E52">
        <v>-2.1999999999999999E-2</v>
      </c>
      <c r="F52">
        <v>0.26400000000000001</v>
      </c>
      <c r="G52">
        <v>0.53900000000000003</v>
      </c>
      <c r="H52">
        <v>1.5249999999999999</v>
      </c>
    </row>
    <row r="53" spans="1:8" x14ac:dyDescent="0.45">
      <c r="A53" t="s">
        <v>42</v>
      </c>
      <c r="B53">
        <v>-0.79400000000000004</v>
      </c>
      <c r="C53">
        <v>-0.77400000000000002</v>
      </c>
      <c r="D53">
        <v>-1.7130000000000001</v>
      </c>
      <c r="E53">
        <v>-1.127</v>
      </c>
      <c r="F53">
        <v>-1.0920000000000001</v>
      </c>
      <c r="G53">
        <v>-1.6020000000000001</v>
      </c>
      <c r="H53">
        <v>5.6989999999999998</v>
      </c>
    </row>
    <row r="54" spans="1:8" x14ac:dyDescent="0.45">
      <c r="A54" t="s">
        <v>43</v>
      </c>
      <c r="B54">
        <v>-0.498</v>
      </c>
      <c r="C54">
        <v>-0.29199999999999998</v>
      </c>
      <c r="D54">
        <v>0.35399999999999998</v>
      </c>
      <c r="E54">
        <v>-0.432</v>
      </c>
      <c r="F54">
        <v>-0.44800000000000001</v>
      </c>
      <c r="G54">
        <v>0.377</v>
      </c>
      <c r="H54">
        <v>1.8480000000000001</v>
      </c>
    </row>
    <row r="55" spans="1:8" x14ac:dyDescent="0.45">
      <c r="A55" t="s">
        <v>44</v>
      </c>
      <c r="B55">
        <v>-0.57899999999999996</v>
      </c>
      <c r="C55">
        <v>-0.73099999999999998</v>
      </c>
      <c r="D55">
        <v>-0.49399999999999999</v>
      </c>
      <c r="E55">
        <v>-0.496</v>
      </c>
      <c r="F55">
        <v>-0.51200000000000001</v>
      </c>
      <c r="G55">
        <v>-0.52600000000000002</v>
      </c>
      <c r="H55">
        <v>2.2519999999999998</v>
      </c>
    </row>
    <row r="56" spans="1:8" x14ac:dyDescent="0.45">
      <c r="A56" t="s">
        <v>45</v>
      </c>
      <c r="B56">
        <v>-1.1910000000000001</v>
      </c>
      <c r="C56">
        <v>0.28599999999999998</v>
      </c>
      <c r="D56">
        <v>-0.23499999999999999</v>
      </c>
      <c r="E56">
        <v>-0.96399999999999997</v>
      </c>
      <c r="F56">
        <v>0.121</v>
      </c>
      <c r="G56">
        <v>0.184</v>
      </c>
      <c r="H56">
        <v>2.512</v>
      </c>
    </row>
    <row r="57" spans="1:8" x14ac:dyDescent="0.45">
      <c r="A57" t="s">
        <v>46</v>
      </c>
      <c r="B57">
        <v>-0.97799999999999998</v>
      </c>
      <c r="C57">
        <v>3.0979999999999999</v>
      </c>
      <c r="D57">
        <v>1.0880000000000001</v>
      </c>
      <c r="E57">
        <v>-1.0580000000000001</v>
      </c>
      <c r="F57">
        <v>3.0619999999999998</v>
      </c>
      <c r="G57">
        <v>1.288</v>
      </c>
      <c r="H57">
        <v>8.8610000000000007</v>
      </c>
    </row>
    <row r="58" spans="1:8" x14ac:dyDescent="0.45">
      <c r="A58" t="s">
        <v>47</v>
      </c>
      <c r="B58">
        <v>0.27700000000000002</v>
      </c>
      <c r="C58">
        <v>-0.505</v>
      </c>
      <c r="D58">
        <v>0.247</v>
      </c>
      <c r="E58">
        <v>0.68500000000000005</v>
      </c>
      <c r="F58">
        <v>-0.38300000000000001</v>
      </c>
      <c r="G58">
        <v>0.02</v>
      </c>
      <c r="H58">
        <v>1.996</v>
      </c>
    </row>
    <row r="59" spans="1:8" x14ac:dyDescent="0.45">
      <c r="A59" t="s">
        <v>48</v>
      </c>
      <c r="B59">
        <v>-0.875</v>
      </c>
      <c r="C59">
        <v>1.08</v>
      </c>
      <c r="D59">
        <v>1.946</v>
      </c>
      <c r="E59">
        <v>-0.67700000000000005</v>
      </c>
      <c r="F59">
        <v>0.997</v>
      </c>
      <c r="G59">
        <v>1.5880000000000001</v>
      </c>
      <c r="H59">
        <v>5.0670000000000002</v>
      </c>
    </row>
    <row r="60" spans="1:8" x14ac:dyDescent="0.45">
      <c r="A60" t="s">
        <v>49</v>
      </c>
      <c r="B60">
        <v>-0.54</v>
      </c>
      <c r="C60">
        <v>-1.4730000000000001</v>
      </c>
      <c r="D60">
        <v>-0.48</v>
      </c>
      <c r="E60">
        <v>-0.10299999999999999</v>
      </c>
      <c r="F60">
        <v>-1.5129999999999999</v>
      </c>
      <c r="G60">
        <v>-0.61499999999999999</v>
      </c>
      <c r="H60">
        <v>4.16</v>
      </c>
    </row>
    <row r="61" spans="1:8" x14ac:dyDescent="0.45">
      <c r="A61" t="s">
        <v>50</v>
      </c>
      <c r="B61">
        <v>-1.496</v>
      </c>
      <c r="C61">
        <v>1.6519999999999999</v>
      </c>
      <c r="D61">
        <v>0.20100000000000001</v>
      </c>
      <c r="E61">
        <v>-0.77500000000000002</v>
      </c>
      <c r="F61">
        <v>1.0209999999999999</v>
      </c>
      <c r="G61">
        <v>-4.2999999999999997E-2</v>
      </c>
      <c r="H61">
        <v>3.2610000000000001</v>
      </c>
    </row>
    <row r="62" spans="1:8" x14ac:dyDescent="0.45">
      <c r="A62" t="s">
        <v>51</v>
      </c>
      <c r="B62">
        <v>0.98299999999999998</v>
      </c>
      <c r="C62">
        <v>-1.0409999999999999</v>
      </c>
      <c r="D62">
        <v>-0.92700000000000005</v>
      </c>
      <c r="E62">
        <v>0.80700000000000005</v>
      </c>
      <c r="F62">
        <v>-0.87</v>
      </c>
      <c r="G62">
        <v>-1.1379999999999999</v>
      </c>
      <c r="H62">
        <v>4.18</v>
      </c>
    </row>
    <row r="63" spans="1:8" x14ac:dyDescent="0.45">
      <c r="A63" t="s">
        <v>52</v>
      </c>
      <c r="B63">
        <v>0.40799999999999997</v>
      </c>
      <c r="C63">
        <v>0.68300000000000005</v>
      </c>
      <c r="D63">
        <v>0.14099999999999999</v>
      </c>
      <c r="E63">
        <v>0.42199999999999999</v>
      </c>
      <c r="F63">
        <v>0.58499999999999996</v>
      </c>
      <c r="G63">
        <v>0.65800000000000003</v>
      </c>
      <c r="H63">
        <v>2.4809999999999999</v>
      </c>
    </row>
    <row r="64" spans="1:8" x14ac:dyDescent="0.45">
      <c r="A64" t="s">
        <v>53</v>
      </c>
      <c r="B64">
        <v>-0.48599999999999999</v>
      </c>
      <c r="C64">
        <v>0.91300000000000003</v>
      </c>
      <c r="D64">
        <v>0.41599999999999998</v>
      </c>
      <c r="E64">
        <v>-0.50700000000000001</v>
      </c>
      <c r="F64">
        <v>0.88900000000000001</v>
      </c>
      <c r="G64">
        <v>0.20100000000000001</v>
      </c>
      <c r="H64">
        <v>2.6509999999999998</v>
      </c>
    </row>
    <row r="65" spans="1:8" x14ac:dyDescent="0.45">
      <c r="A65" t="s">
        <v>129</v>
      </c>
      <c r="B65">
        <v>-0.84599999999999997</v>
      </c>
      <c r="C65">
        <v>0.66800000000000004</v>
      </c>
      <c r="D65">
        <v>-0.36699999999999999</v>
      </c>
      <c r="E65">
        <v>-0.54</v>
      </c>
      <c r="F65">
        <v>1.034</v>
      </c>
      <c r="G65">
        <v>0.189</v>
      </c>
      <c r="H65">
        <v>3.0030000000000001</v>
      </c>
    </row>
    <row r="66" spans="1:8" x14ac:dyDescent="0.45">
      <c r="A66" t="s">
        <v>130</v>
      </c>
      <c r="B66">
        <v>0.53100000000000003</v>
      </c>
      <c r="C66">
        <v>0.19600000000000001</v>
      </c>
      <c r="D66">
        <v>1.4470000000000001</v>
      </c>
      <c r="E66">
        <v>0.376</v>
      </c>
      <c r="F66">
        <v>-0.16700000000000001</v>
      </c>
      <c r="G66">
        <v>1.556</v>
      </c>
      <c r="H66">
        <v>4.09</v>
      </c>
    </row>
    <row r="67" spans="1:8" x14ac:dyDescent="0.45">
      <c r="A67" t="s">
        <v>54</v>
      </c>
      <c r="B67">
        <v>-0.54</v>
      </c>
      <c r="C67">
        <v>0.44800000000000001</v>
      </c>
      <c r="D67">
        <v>-1.411</v>
      </c>
      <c r="E67">
        <v>-0.46100000000000002</v>
      </c>
      <c r="F67">
        <v>0.30399999999999999</v>
      </c>
      <c r="G67">
        <v>-1.389</v>
      </c>
      <c r="H67">
        <v>3.798</v>
      </c>
    </row>
    <row r="68" spans="1:8" x14ac:dyDescent="0.45">
      <c r="A68" t="s">
        <v>55</v>
      </c>
      <c r="B68">
        <v>-9.9000000000000005E-2</v>
      </c>
      <c r="C68">
        <v>-0.71299999999999997</v>
      </c>
      <c r="D68">
        <v>-0.67600000000000005</v>
      </c>
      <c r="E68">
        <v>2.5999999999999999E-2</v>
      </c>
      <c r="F68">
        <v>-0.38500000000000001</v>
      </c>
      <c r="G68">
        <v>-0.67500000000000004</v>
      </c>
      <c r="H68">
        <v>1.9750000000000001</v>
      </c>
    </row>
    <row r="69" spans="1:8" x14ac:dyDescent="0.45">
      <c r="A69" t="s">
        <v>56</v>
      </c>
      <c r="B69">
        <v>0.73399999999999999</v>
      </c>
      <c r="C69">
        <v>-0.56200000000000006</v>
      </c>
      <c r="D69">
        <v>1.0629999999999999</v>
      </c>
      <c r="E69">
        <v>0.81200000000000006</v>
      </c>
      <c r="F69">
        <v>-0.65500000000000003</v>
      </c>
      <c r="G69">
        <v>0.81200000000000006</v>
      </c>
      <c r="H69">
        <v>3.36</v>
      </c>
    </row>
    <row r="70" spans="1:8" x14ac:dyDescent="0.45">
      <c r="A70" t="s">
        <v>57</v>
      </c>
      <c r="B70">
        <v>1.4350000000000001</v>
      </c>
      <c r="C70">
        <v>0.10100000000000001</v>
      </c>
      <c r="D70">
        <v>0.14099999999999999</v>
      </c>
      <c r="E70">
        <v>1.204</v>
      </c>
      <c r="F70">
        <v>0.29099999999999998</v>
      </c>
      <c r="G70">
        <v>0.41699999999999998</v>
      </c>
      <c r="H70">
        <v>3.3210000000000002</v>
      </c>
    </row>
    <row r="71" spans="1:8" x14ac:dyDescent="0.45">
      <c r="A71" t="s">
        <v>58</v>
      </c>
      <c r="B71">
        <v>1.462</v>
      </c>
      <c r="C71">
        <v>-6.6000000000000003E-2</v>
      </c>
      <c r="D71">
        <v>2.3039999999999998</v>
      </c>
      <c r="E71">
        <v>1.1279999999999999</v>
      </c>
      <c r="F71">
        <v>-7.0000000000000007E-2</v>
      </c>
      <c r="G71">
        <v>2.105</v>
      </c>
      <c r="H71">
        <v>6.0730000000000004</v>
      </c>
    </row>
    <row r="72" spans="1:8" x14ac:dyDescent="0.45">
      <c r="A72" t="s">
        <v>131</v>
      </c>
      <c r="B72">
        <v>0.33400000000000002</v>
      </c>
      <c r="C72">
        <v>-0.316</v>
      </c>
      <c r="D72">
        <v>-1.2</v>
      </c>
      <c r="E72">
        <v>0.66800000000000004</v>
      </c>
      <c r="F72">
        <v>-5.8000000000000003E-2</v>
      </c>
      <c r="G72">
        <v>-1.133</v>
      </c>
      <c r="H72">
        <v>3.3450000000000002</v>
      </c>
    </row>
    <row r="73" spans="1:8" x14ac:dyDescent="0.45">
      <c r="A73" t="s">
        <v>132</v>
      </c>
      <c r="B73">
        <v>-0.39500000000000002</v>
      </c>
      <c r="C73">
        <v>-0.64300000000000002</v>
      </c>
      <c r="D73">
        <v>-0.439</v>
      </c>
      <c r="E73">
        <v>-0.25600000000000001</v>
      </c>
      <c r="F73">
        <v>-0.88700000000000001</v>
      </c>
      <c r="G73">
        <v>0.38300000000000001</v>
      </c>
      <c r="H73">
        <v>2.5409999999999999</v>
      </c>
    </row>
    <row r="74" spans="1:8" x14ac:dyDescent="0.45">
      <c r="A74" t="s">
        <v>133</v>
      </c>
      <c r="B74">
        <v>0.38600000000000001</v>
      </c>
      <c r="C74">
        <v>-0.40699999999999997</v>
      </c>
      <c r="D74">
        <v>-0.84799999999999998</v>
      </c>
      <c r="E74">
        <v>0.41699999999999998</v>
      </c>
      <c r="F74">
        <v>-0.373</v>
      </c>
      <c r="G74">
        <v>-0.67700000000000005</v>
      </c>
      <c r="H74">
        <v>2.2320000000000002</v>
      </c>
    </row>
    <row r="75" spans="1:8" x14ac:dyDescent="0.45">
      <c r="A75" t="s">
        <v>59</v>
      </c>
      <c r="B75">
        <v>-7.4999999999999997E-2</v>
      </c>
      <c r="C75">
        <v>-0.73799999999999999</v>
      </c>
      <c r="D75">
        <v>-1.304</v>
      </c>
      <c r="E75">
        <v>0.128</v>
      </c>
      <c r="F75">
        <v>-0.443</v>
      </c>
      <c r="G75">
        <v>-1.2749999999999999</v>
      </c>
      <c r="H75">
        <v>3.4460000000000002</v>
      </c>
    </row>
    <row r="76" spans="1:8" x14ac:dyDescent="0.45">
      <c r="A76" t="s">
        <v>60</v>
      </c>
      <c r="B76">
        <v>-0.82099999999999995</v>
      </c>
      <c r="C76">
        <v>-1.2270000000000001</v>
      </c>
      <c r="D76">
        <v>-0.19</v>
      </c>
      <c r="E76">
        <v>-0.59099999999999997</v>
      </c>
      <c r="F76">
        <v>-1.2729999999999999</v>
      </c>
      <c r="G76">
        <v>-0.23799999999999999</v>
      </c>
      <c r="H76">
        <v>3.6190000000000002</v>
      </c>
    </row>
    <row r="77" spans="1:8" x14ac:dyDescent="0.45">
      <c r="A77" t="s">
        <v>61</v>
      </c>
      <c r="B77">
        <v>-0.78600000000000003</v>
      </c>
      <c r="C77">
        <v>-8.1000000000000003E-2</v>
      </c>
      <c r="D77">
        <v>-0.66700000000000004</v>
      </c>
      <c r="E77">
        <v>-0.57699999999999996</v>
      </c>
      <c r="F77">
        <v>-0.25700000000000001</v>
      </c>
      <c r="G77">
        <v>-0.65200000000000002</v>
      </c>
      <c r="H77">
        <v>2.3069999999999999</v>
      </c>
    </row>
    <row r="78" spans="1:8" x14ac:dyDescent="0.45">
      <c r="A78" t="s">
        <v>62</v>
      </c>
      <c r="B78">
        <v>-0.24299999999999999</v>
      </c>
      <c r="C78">
        <v>0.13900000000000001</v>
      </c>
      <c r="D78">
        <v>1.544</v>
      </c>
      <c r="E78">
        <v>-0.39500000000000002</v>
      </c>
      <c r="F78">
        <v>4.7E-2</v>
      </c>
      <c r="G78">
        <v>1.2789999999999999</v>
      </c>
      <c r="H78">
        <v>3.4049999999999998</v>
      </c>
    </row>
    <row r="79" spans="1:8" x14ac:dyDescent="0.45">
      <c r="A79" t="s">
        <v>63</v>
      </c>
      <c r="B79">
        <v>0.66600000000000004</v>
      </c>
      <c r="C79">
        <v>-1.3360000000000001</v>
      </c>
      <c r="D79">
        <v>0.94899999999999995</v>
      </c>
      <c r="E79">
        <v>0.57099999999999995</v>
      </c>
      <c r="F79">
        <v>-1.496</v>
      </c>
      <c r="G79">
        <v>0.98599999999999999</v>
      </c>
      <c r="H79">
        <v>4.7789999999999999</v>
      </c>
    </row>
    <row r="80" spans="1:8" x14ac:dyDescent="0.45">
      <c r="A80" t="s">
        <v>64</v>
      </c>
      <c r="B80">
        <v>0.71099999999999997</v>
      </c>
      <c r="C80">
        <v>-1.2250000000000001</v>
      </c>
      <c r="D80">
        <v>1.02</v>
      </c>
      <c r="E80">
        <v>0.67100000000000004</v>
      </c>
      <c r="F80">
        <v>-1.022</v>
      </c>
      <c r="G80">
        <v>0.71099999999999997</v>
      </c>
      <c r="H80">
        <v>3.5960000000000001</v>
      </c>
    </row>
    <row r="81" spans="1:8" x14ac:dyDescent="0.45">
      <c r="A81" t="s">
        <v>65</v>
      </c>
      <c r="B81">
        <v>0.92900000000000005</v>
      </c>
      <c r="C81">
        <v>-1.1819999999999999</v>
      </c>
      <c r="D81">
        <v>-0.65200000000000002</v>
      </c>
      <c r="E81">
        <v>0.89400000000000002</v>
      </c>
      <c r="F81">
        <v>-1.3480000000000001</v>
      </c>
      <c r="G81">
        <v>-0.92100000000000004</v>
      </c>
      <c r="H81">
        <v>4.7300000000000004</v>
      </c>
    </row>
    <row r="82" spans="1:8" x14ac:dyDescent="0.45">
      <c r="A82" t="s">
        <v>66</v>
      </c>
      <c r="B82">
        <v>0.77300000000000002</v>
      </c>
      <c r="C82">
        <v>-0.27600000000000002</v>
      </c>
      <c r="D82">
        <v>-1.087</v>
      </c>
      <c r="E82">
        <v>0.872</v>
      </c>
      <c r="F82">
        <v>-0.123</v>
      </c>
      <c r="G82">
        <v>-0.86499999999999999</v>
      </c>
      <c r="H82">
        <v>3.1379999999999999</v>
      </c>
    </row>
    <row r="83" spans="1:8" x14ac:dyDescent="0.45">
      <c r="A83" t="s">
        <v>67</v>
      </c>
      <c r="B83">
        <v>-0.19700000000000001</v>
      </c>
      <c r="C83">
        <v>-0.248</v>
      </c>
      <c r="D83">
        <v>1.087</v>
      </c>
      <c r="E83">
        <v>-0.17499999999999999</v>
      </c>
      <c r="F83">
        <v>-0.32800000000000001</v>
      </c>
      <c r="G83">
        <v>0.89500000000000002</v>
      </c>
      <c r="H83">
        <v>2.4620000000000002</v>
      </c>
    </row>
    <row r="84" spans="1:8" x14ac:dyDescent="0.45">
      <c r="A84" t="s">
        <v>134</v>
      </c>
      <c r="B84">
        <v>-1.0920000000000001</v>
      </c>
      <c r="C84">
        <v>-0.42099999999999999</v>
      </c>
      <c r="D84">
        <v>1.8220000000000001</v>
      </c>
      <c r="E84">
        <v>-1.077</v>
      </c>
      <c r="F84">
        <v>-0.82199999999999995</v>
      </c>
      <c r="G84">
        <v>2.2519999999999998</v>
      </c>
      <c r="H84">
        <v>6.6790000000000003</v>
      </c>
    </row>
    <row r="85" spans="1:8" x14ac:dyDescent="0.45">
      <c r="A85" t="s">
        <v>135</v>
      </c>
      <c r="B85">
        <v>2.4209999999999998</v>
      </c>
      <c r="C85">
        <v>-1.804</v>
      </c>
      <c r="D85">
        <v>-0.17899999999999999</v>
      </c>
      <c r="E85">
        <v>2.4569999999999999</v>
      </c>
      <c r="F85">
        <v>-1.5209999999999999</v>
      </c>
      <c r="G85">
        <v>-0.315</v>
      </c>
      <c r="H85">
        <v>7.3890000000000002</v>
      </c>
    </row>
    <row r="86" spans="1:8" x14ac:dyDescent="0.45">
      <c r="A86" t="s">
        <v>136</v>
      </c>
      <c r="B86">
        <v>-1.62</v>
      </c>
      <c r="C86">
        <v>-0.98799999999999999</v>
      </c>
      <c r="D86">
        <v>-1.3120000000000001</v>
      </c>
      <c r="E86">
        <v>-1.3660000000000001</v>
      </c>
      <c r="F86">
        <v>-0.95199999999999996</v>
      </c>
      <c r="G86">
        <v>-1.25</v>
      </c>
      <c r="H86">
        <v>5.2930000000000001</v>
      </c>
    </row>
    <row r="87" spans="1:8" x14ac:dyDescent="0.45">
      <c r="A87" t="s">
        <v>137</v>
      </c>
      <c r="B87">
        <v>-1.0169999999999999</v>
      </c>
      <c r="C87">
        <v>-1.2390000000000001</v>
      </c>
      <c r="D87">
        <v>0.94699999999999995</v>
      </c>
      <c r="E87">
        <v>-0.84899999999999998</v>
      </c>
      <c r="F87">
        <v>-1.087</v>
      </c>
      <c r="G87">
        <v>0.75800000000000001</v>
      </c>
      <c r="H87">
        <v>4</v>
      </c>
    </row>
    <row r="88" spans="1:8" x14ac:dyDescent="0.45">
      <c r="A88" t="s">
        <v>138</v>
      </c>
      <c r="B88">
        <v>-2.1760000000000002</v>
      </c>
      <c r="C88">
        <v>0.92800000000000005</v>
      </c>
      <c r="D88">
        <v>0.626</v>
      </c>
      <c r="E88">
        <v>-1.879</v>
      </c>
      <c r="F88">
        <v>0.69199999999999995</v>
      </c>
      <c r="G88">
        <v>0.36799999999999999</v>
      </c>
      <c r="H88">
        <v>5.1749999999999998</v>
      </c>
    </row>
    <row r="89" spans="1:8" x14ac:dyDescent="0.45">
      <c r="A89" t="s">
        <v>68</v>
      </c>
      <c r="B89">
        <v>-0.74099999999999999</v>
      </c>
      <c r="C89">
        <v>-4.2000000000000003E-2</v>
      </c>
      <c r="D89">
        <v>-0.90700000000000003</v>
      </c>
      <c r="E89">
        <v>-0.24199999999999999</v>
      </c>
      <c r="F89">
        <v>-0.19</v>
      </c>
      <c r="G89">
        <v>-0.59</v>
      </c>
      <c r="H89">
        <v>1.6919999999999999</v>
      </c>
    </row>
    <row r="90" spans="1:8" x14ac:dyDescent="0.45">
      <c r="A90" t="s">
        <v>69</v>
      </c>
      <c r="B90">
        <v>0.51200000000000001</v>
      </c>
      <c r="C90">
        <v>-0.58499999999999996</v>
      </c>
      <c r="D90">
        <v>0.25800000000000001</v>
      </c>
      <c r="E90">
        <v>0.47799999999999998</v>
      </c>
      <c r="F90">
        <v>-0.78200000000000003</v>
      </c>
      <c r="G90">
        <v>1.6E-2</v>
      </c>
      <c r="H90">
        <v>2.33</v>
      </c>
    </row>
    <row r="91" spans="1:8" x14ac:dyDescent="0.45">
      <c r="A91" t="s">
        <v>70</v>
      </c>
      <c r="B91">
        <v>3.5999999999999997E-2</v>
      </c>
      <c r="C91">
        <v>-0.746</v>
      </c>
      <c r="D91">
        <v>-2.5710000000000002</v>
      </c>
      <c r="E91">
        <v>-0.33200000000000002</v>
      </c>
      <c r="F91">
        <v>-1.0409999999999999</v>
      </c>
      <c r="G91">
        <v>-2.3519999999999999</v>
      </c>
      <c r="H91">
        <v>6.5919999999999996</v>
      </c>
    </row>
    <row r="92" spans="1:8" x14ac:dyDescent="0.45">
      <c r="A92" t="s">
        <v>71</v>
      </c>
      <c r="B92">
        <v>0.55700000000000005</v>
      </c>
      <c r="C92">
        <v>0.89300000000000002</v>
      </c>
      <c r="D92">
        <v>-0.18099999999999999</v>
      </c>
      <c r="E92">
        <v>0.26800000000000002</v>
      </c>
      <c r="F92">
        <v>0.72099999999999997</v>
      </c>
      <c r="G92">
        <v>-0.495</v>
      </c>
      <c r="H92">
        <v>2.3250000000000002</v>
      </c>
    </row>
    <row r="93" spans="1:8" x14ac:dyDescent="0.45">
      <c r="A93" t="s">
        <v>72</v>
      </c>
      <c r="B93">
        <v>-0.42399999999999999</v>
      </c>
      <c r="C93">
        <v>-1.5109999999999999</v>
      </c>
      <c r="D93">
        <v>0.72499999999999998</v>
      </c>
      <c r="E93">
        <v>-0.35699999999999998</v>
      </c>
      <c r="F93">
        <v>-1.764</v>
      </c>
      <c r="G93">
        <v>0.37</v>
      </c>
      <c r="H93">
        <v>4.6689999999999996</v>
      </c>
    </row>
    <row r="94" spans="1:8" x14ac:dyDescent="0.45">
      <c r="A94" t="s">
        <v>73</v>
      </c>
      <c r="B94">
        <v>-1.75</v>
      </c>
      <c r="C94">
        <v>0.23499999999999999</v>
      </c>
      <c r="D94">
        <v>-1.8919999999999999</v>
      </c>
      <c r="E94">
        <v>-1.6519999999999999</v>
      </c>
      <c r="F94">
        <v>4.7E-2</v>
      </c>
      <c r="G94">
        <v>-1.5509999999999999</v>
      </c>
      <c r="H94">
        <v>5.7610000000000001</v>
      </c>
    </row>
    <row r="95" spans="1:8" x14ac:dyDescent="0.45">
      <c r="A95" t="s">
        <v>74</v>
      </c>
      <c r="B95">
        <v>0.17</v>
      </c>
      <c r="C95">
        <v>-1.2210000000000001</v>
      </c>
      <c r="D95">
        <v>-0.81299999999999994</v>
      </c>
      <c r="E95">
        <v>0.26100000000000001</v>
      </c>
      <c r="F95">
        <v>-1.0529999999999999</v>
      </c>
      <c r="G95">
        <v>-0.438</v>
      </c>
      <c r="H95">
        <v>2.9740000000000002</v>
      </c>
    </row>
    <row r="96" spans="1:8" x14ac:dyDescent="0.45">
      <c r="A96" t="s">
        <v>75</v>
      </c>
      <c r="B96">
        <v>-2.819</v>
      </c>
      <c r="C96">
        <v>0.92</v>
      </c>
      <c r="D96">
        <v>-1.3089999999999999</v>
      </c>
      <c r="E96">
        <v>-2.3969999999999998</v>
      </c>
      <c r="F96">
        <v>0.56299999999999994</v>
      </c>
      <c r="G96">
        <v>-1.25</v>
      </c>
      <c r="H96">
        <v>7.0170000000000003</v>
      </c>
    </row>
    <row r="97" spans="1:8" x14ac:dyDescent="0.45">
      <c r="A97" t="s">
        <v>76</v>
      </c>
      <c r="B97">
        <v>-0.13</v>
      </c>
      <c r="C97">
        <v>1.1020000000000001</v>
      </c>
      <c r="D97">
        <v>1.101</v>
      </c>
      <c r="E97">
        <v>0.11899999999999999</v>
      </c>
      <c r="F97">
        <v>0.91500000000000004</v>
      </c>
      <c r="G97">
        <v>0.74099999999999999</v>
      </c>
      <c r="H97">
        <v>3.0070000000000001</v>
      </c>
    </row>
    <row r="98" spans="1:8" x14ac:dyDescent="0.45">
      <c r="A98" t="s">
        <v>77</v>
      </c>
      <c r="B98">
        <v>0.46600000000000003</v>
      </c>
      <c r="C98">
        <v>-1.4730000000000001</v>
      </c>
      <c r="D98">
        <v>1.8779999999999999</v>
      </c>
      <c r="E98">
        <v>0.45600000000000002</v>
      </c>
      <c r="F98">
        <v>-1.143</v>
      </c>
      <c r="G98">
        <v>1.6160000000000001</v>
      </c>
      <c r="H98">
        <v>5.1639999999999997</v>
      </c>
    </row>
    <row r="99" spans="1:8" x14ac:dyDescent="0.45">
      <c r="A99" t="s">
        <v>78</v>
      </c>
      <c r="B99">
        <v>2.1070000000000002</v>
      </c>
      <c r="C99">
        <v>2.0179999999999998</v>
      </c>
      <c r="D99">
        <v>0.84399999999999997</v>
      </c>
      <c r="E99">
        <v>2.048</v>
      </c>
      <c r="F99">
        <v>2.4119999999999999</v>
      </c>
      <c r="G99">
        <v>0.96599999999999997</v>
      </c>
      <c r="H99">
        <v>8.4079999999999995</v>
      </c>
    </row>
    <row r="100" spans="1:8" x14ac:dyDescent="0.45">
      <c r="A100" t="s">
        <v>79</v>
      </c>
      <c r="B100">
        <v>0.32100000000000001</v>
      </c>
      <c r="C100">
        <v>-1.117</v>
      </c>
      <c r="D100">
        <v>-1.8340000000000001</v>
      </c>
      <c r="E100">
        <v>0.46500000000000002</v>
      </c>
      <c r="F100">
        <v>-1.2929999999999999</v>
      </c>
      <c r="G100">
        <v>-1.7989999999999999</v>
      </c>
      <c r="H100">
        <v>5.7530000000000001</v>
      </c>
    </row>
    <row r="101" spans="1:8" x14ac:dyDescent="0.45">
      <c r="A101" t="s">
        <v>80</v>
      </c>
      <c r="B101">
        <v>-0.75800000000000001</v>
      </c>
      <c r="C101">
        <v>0.40699999999999997</v>
      </c>
      <c r="D101">
        <v>-1.798</v>
      </c>
      <c r="E101">
        <v>-0.89700000000000002</v>
      </c>
      <c r="F101">
        <v>1.0820000000000001</v>
      </c>
      <c r="G101">
        <v>-1.4950000000000001</v>
      </c>
      <c r="H101">
        <v>5.2160000000000002</v>
      </c>
    </row>
    <row r="102" spans="1:8" x14ac:dyDescent="0.45">
      <c r="A102" t="s">
        <v>81</v>
      </c>
      <c r="B102">
        <v>0.22700000000000001</v>
      </c>
      <c r="C102">
        <v>1.7230000000000001</v>
      </c>
      <c r="D102">
        <v>1.9690000000000001</v>
      </c>
      <c r="E102">
        <v>0.63</v>
      </c>
      <c r="F102">
        <v>2.5390000000000001</v>
      </c>
      <c r="G102">
        <v>1.734</v>
      </c>
      <c r="H102">
        <v>7.9770000000000003</v>
      </c>
    </row>
    <row r="103" spans="1:8" x14ac:dyDescent="0.45">
      <c r="A103" t="s">
        <v>82</v>
      </c>
      <c r="B103">
        <v>-0.39300000000000002</v>
      </c>
      <c r="C103">
        <v>1.6990000000000001</v>
      </c>
      <c r="D103">
        <v>-1.3720000000000001</v>
      </c>
      <c r="E103">
        <v>-0.41199999999999998</v>
      </c>
      <c r="F103">
        <v>1.76</v>
      </c>
      <c r="G103">
        <v>-1.528</v>
      </c>
      <c r="H103">
        <v>6.016</v>
      </c>
    </row>
    <row r="104" spans="1:8" x14ac:dyDescent="0.45">
      <c r="A104" t="s">
        <v>83</v>
      </c>
      <c r="B104">
        <v>-0.88500000000000001</v>
      </c>
      <c r="C104">
        <v>0.88900000000000001</v>
      </c>
      <c r="D104">
        <v>-1.0880000000000001</v>
      </c>
      <c r="E104">
        <v>-1.0900000000000001</v>
      </c>
      <c r="F104">
        <v>1.0549999999999999</v>
      </c>
      <c r="G104">
        <v>-0.73899999999999999</v>
      </c>
      <c r="H104">
        <v>4.2880000000000003</v>
      </c>
    </row>
    <row r="105" spans="1:8" x14ac:dyDescent="0.45">
      <c r="A105" t="s">
        <v>84</v>
      </c>
      <c r="B105">
        <v>0.998</v>
      </c>
      <c r="C105">
        <v>-0.83199999999999996</v>
      </c>
      <c r="D105">
        <v>0.622</v>
      </c>
      <c r="E105">
        <v>0.64</v>
      </c>
      <c r="F105">
        <v>-0.61599999999999999</v>
      </c>
      <c r="G105">
        <v>0.33400000000000002</v>
      </c>
      <c r="H105">
        <v>2.4129999999999998</v>
      </c>
    </row>
    <row r="106" spans="1:8" x14ac:dyDescent="0.45">
      <c r="A106" t="s">
        <v>139</v>
      </c>
      <c r="B106">
        <v>-0.20200000000000001</v>
      </c>
      <c r="C106">
        <v>0.90800000000000003</v>
      </c>
      <c r="D106">
        <v>-0.45</v>
      </c>
      <c r="E106">
        <v>0.218</v>
      </c>
      <c r="F106">
        <v>0.86099999999999999</v>
      </c>
      <c r="G106">
        <v>-0.32</v>
      </c>
      <c r="H106">
        <v>2.4</v>
      </c>
    </row>
    <row r="107" spans="1:8" x14ac:dyDescent="0.45">
      <c r="A107" t="s">
        <v>140</v>
      </c>
      <c r="B107">
        <v>-1.94</v>
      </c>
      <c r="C107">
        <v>-2.02</v>
      </c>
      <c r="D107">
        <v>-0.39600000000000002</v>
      </c>
      <c r="E107">
        <v>-1.4950000000000001</v>
      </c>
      <c r="F107">
        <v>-2.363</v>
      </c>
      <c r="G107">
        <v>-0.38600000000000001</v>
      </c>
      <c r="H107">
        <v>7.1740000000000004</v>
      </c>
    </row>
    <row r="108" spans="1:8" x14ac:dyDescent="0.45">
      <c r="A108" t="s">
        <v>85</v>
      </c>
      <c r="B108">
        <v>0.37</v>
      </c>
      <c r="C108">
        <v>0.59699999999999998</v>
      </c>
      <c r="D108">
        <v>-0.33400000000000002</v>
      </c>
      <c r="E108">
        <v>0.46800000000000003</v>
      </c>
      <c r="F108">
        <v>0.39400000000000002</v>
      </c>
      <c r="G108">
        <v>-0.16900000000000001</v>
      </c>
      <c r="H108">
        <v>1.6120000000000001</v>
      </c>
    </row>
    <row r="109" spans="1:8" x14ac:dyDescent="0.45">
      <c r="A109" t="s">
        <v>86</v>
      </c>
      <c r="B109">
        <v>0.26300000000000001</v>
      </c>
      <c r="C109">
        <v>-0.219</v>
      </c>
      <c r="D109">
        <v>-1.369</v>
      </c>
      <c r="E109">
        <v>0.26400000000000001</v>
      </c>
      <c r="F109">
        <v>-0.47199999999999998</v>
      </c>
      <c r="G109">
        <v>-1.2290000000000001</v>
      </c>
      <c r="H109">
        <v>3.4129999999999998</v>
      </c>
    </row>
    <row r="110" spans="1:8" x14ac:dyDescent="0.45">
      <c r="A110" t="s">
        <v>87</v>
      </c>
      <c r="B110">
        <v>-0.14899999999999999</v>
      </c>
      <c r="C110">
        <v>-1.28</v>
      </c>
      <c r="D110">
        <v>0.17399999999999999</v>
      </c>
      <c r="E110">
        <v>-0.309</v>
      </c>
      <c r="F110">
        <v>-1.1479999999999999</v>
      </c>
      <c r="G110">
        <v>-0.215</v>
      </c>
      <c r="H110">
        <v>3.0720000000000001</v>
      </c>
    </row>
    <row r="111" spans="1:8" x14ac:dyDescent="0.45">
      <c r="A111" t="s">
        <v>88</v>
      </c>
      <c r="B111">
        <v>-0.52400000000000002</v>
      </c>
      <c r="C111">
        <v>-0.313</v>
      </c>
      <c r="D111">
        <v>0.623</v>
      </c>
      <c r="E111">
        <v>-0.374</v>
      </c>
      <c r="F111">
        <v>-0.214</v>
      </c>
      <c r="G111">
        <v>0.51100000000000001</v>
      </c>
      <c r="H111">
        <v>1.698</v>
      </c>
    </row>
    <row r="112" spans="1:8" x14ac:dyDescent="0.45">
      <c r="A112" t="s">
        <v>89</v>
      </c>
      <c r="B112">
        <v>-0.90800000000000003</v>
      </c>
      <c r="C112">
        <v>-0.65800000000000003</v>
      </c>
      <c r="D112">
        <v>-0.72</v>
      </c>
      <c r="E112">
        <v>-0.92600000000000005</v>
      </c>
      <c r="F112">
        <v>-1.036</v>
      </c>
      <c r="G112">
        <v>-0.372</v>
      </c>
      <c r="H112">
        <v>3.6549999999999998</v>
      </c>
    </row>
    <row r="113" spans="1:8" x14ac:dyDescent="0.45">
      <c r="A113" t="s">
        <v>90</v>
      </c>
      <c r="B113">
        <v>-0.57999999999999996</v>
      </c>
      <c r="C113">
        <v>1.238</v>
      </c>
      <c r="D113">
        <v>1.0049999999999999</v>
      </c>
      <c r="E113">
        <v>-0.497</v>
      </c>
      <c r="F113">
        <v>1.0880000000000001</v>
      </c>
      <c r="G113">
        <v>1.2829999999999999</v>
      </c>
      <c r="H113">
        <v>4.4569999999999999</v>
      </c>
    </row>
    <row r="114" spans="1:8" x14ac:dyDescent="0.45">
      <c r="A114" t="s">
        <v>91</v>
      </c>
      <c r="B114">
        <v>3.4430000000000001</v>
      </c>
      <c r="C114">
        <v>-0.121</v>
      </c>
      <c r="D114">
        <v>-2.077</v>
      </c>
      <c r="E114">
        <v>3.3420000000000001</v>
      </c>
      <c r="F114">
        <v>-2.7E-2</v>
      </c>
      <c r="G114">
        <v>-1.9630000000000001</v>
      </c>
      <c r="H114">
        <v>9.8520000000000003</v>
      </c>
    </row>
    <row r="115" spans="1:8" x14ac:dyDescent="0.45">
      <c r="A115" t="s">
        <v>92</v>
      </c>
      <c r="B115">
        <v>0.92500000000000004</v>
      </c>
      <c r="C115">
        <v>1.0389999999999999</v>
      </c>
      <c r="D115">
        <v>-1.228</v>
      </c>
      <c r="E115">
        <v>0.86499999999999999</v>
      </c>
      <c r="F115">
        <v>1.016</v>
      </c>
      <c r="G115">
        <v>-1.1639999999999999</v>
      </c>
      <c r="H115">
        <v>4.5010000000000003</v>
      </c>
    </row>
    <row r="116" spans="1:8" x14ac:dyDescent="0.45">
      <c r="A116" t="s">
        <v>93</v>
      </c>
      <c r="B116">
        <v>-0.20200000000000001</v>
      </c>
      <c r="C116">
        <v>0.42</v>
      </c>
      <c r="D116">
        <v>-0.05</v>
      </c>
      <c r="E116">
        <v>7.0000000000000001E-3</v>
      </c>
      <c r="F116">
        <v>0.497</v>
      </c>
      <c r="G116">
        <v>-0.154</v>
      </c>
      <c r="H116">
        <v>1.3220000000000001</v>
      </c>
    </row>
    <row r="117" spans="1:8" x14ac:dyDescent="0.45">
      <c r="A117" t="s">
        <v>94</v>
      </c>
      <c r="B117">
        <v>0.44700000000000001</v>
      </c>
      <c r="C117">
        <v>-1.262</v>
      </c>
      <c r="D117">
        <v>-1.4930000000000001</v>
      </c>
      <c r="E117">
        <v>0.52300000000000002</v>
      </c>
      <c r="F117">
        <v>-1.208</v>
      </c>
      <c r="G117">
        <v>-1.4319999999999999</v>
      </c>
      <c r="H117">
        <v>4.9429999999999996</v>
      </c>
    </row>
    <row r="118" spans="1:8" x14ac:dyDescent="0.45">
      <c r="A118" t="s">
        <v>95</v>
      </c>
      <c r="B118">
        <v>-1.365</v>
      </c>
      <c r="C118">
        <v>-0.47199999999999998</v>
      </c>
      <c r="D118">
        <v>0.34799999999999998</v>
      </c>
      <c r="E118">
        <v>-1.0089999999999999</v>
      </c>
      <c r="F118">
        <v>-0.46100000000000002</v>
      </c>
      <c r="G118">
        <v>0.312</v>
      </c>
      <c r="H118">
        <v>2.9279999999999999</v>
      </c>
    </row>
    <row r="119" spans="1:8" x14ac:dyDescent="0.45">
      <c r="A119" t="s">
        <v>96</v>
      </c>
      <c r="B119">
        <v>-0.85299999999999998</v>
      </c>
      <c r="C119">
        <v>-0.34499999999999997</v>
      </c>
      <c r="D119">
        <v>0.16900000000000001</v>
      </c>
      <c r="E119">
        <v>-0.65300000000000002</v>
      </c>
      <c r="F119">
        <v>-0.44</v>
      </c>
      <c r="G119">
        <v>0.28499999999999998</v>
      </c>
      <c r="H119">
        <v>2.1280000000000001</v>
      </c>
    </row>
    <row r="120" spans="1:8" x14ac:dyDescent="0.45">
      <c r="A120" t="s">
        <v>97</v>
      </c>
      <c r="B120">
        <v>-1.119</v>
      </c>
      <c r="C120">
        <v>1.107</v>
      </c>
      <c r="D120">
        <v>0.20499999999999999</v>
      </c>
      <c r="E120">
        <v>-1.0349999999999999</v>
      </c>
      <c r="F120">
        <v>0.90600000000000003</v>
      </c>
      <c r="G120">
        <v>0.14699999999999999</v>
      </c>
      <c r="H120">
        <v>3.5169999999999999</v>
      </c>
    </row>
    <row r="121" spans="1:8" x14ac:dyDescent="0.45">
      <c r="A121" t="s">
        <v>98</v>
      </c>
      <c r="B121">
        <v>-1.175</v>
      </c>
      <c r="C121">
        <v>-1.3080000000000001</v>
      </c>
      <c r="D121">
        <v>6.0999999999999999E-2</v>
      </c>
      <c r="E121">
        <v>-0.876</v>
      </c>
      <c r="F121">
        <v>-1.109</v>
      </c>
      <c r="G121">
        <v>2.5999999999999999E-2</v>
      </c>
      <c r="H121">
        <v>3.5920000000000001</v>
      </c>
    </row>
    <row r="122" spans="1:8" x14ac:dyDescent="0.45">
      <c r="A122" t="s">
        <v>99</v>
      </c>
      <c r="B122">
        <v>0.17499999999999999</v>
      </c>
      <c r="C122">
        <v>0.86199999999999999</v>
      </c>
      <c r="D122">
        <v>-0.56499999999999995</v>
      </c>
      <c r="E122">
        <v>0.23899999999999999</v>
      </c>
      <c r="F122">
        <v>1.143</v>
      </c>
      <c r="G122">
        <v>-0.98299999999999998</v>
      </c>
      <c r="H122">
        <v>3.88</v>
      </c>
    </row>
    <row r="123" spans="1:8" x14ac:dyDescent="0.45">
      <c r="A123" t="s">
        <v>100</v>
      </c>
      <c r="B123">
        <v>-0.99299999999999999</v>
      </c>
      <c r="C123">
        <v>2.105</v>
      </c>
      <c r="D123">
        <v>-7.3999999999999996E-2</v>
      </c>
      <c r="E123">
        <v>-1.08</v>
      </c>
      <c r="F123">
        <v>2.1040000000000001</v>
      </c>
      <c r="G123">
        <v>4.8000000000000001E-2</v>
      </c>
      <c r="H123">
        <v>6.0129999999999999</v>
      </c>
    </row>
    <row r="124" spans="1:8" x14ac:dyDescent="0.45">
      <c r="A124" t="s">
        <v>101</v>
      </c>
      <c r="B124">
        <v>-1.36</v>
      </c>
      <c r="C124">
        <v>-0.48799999999999999</v>
      </c>
      <c r="D124">
        <v>-0.92</v>
      </c>
      <c r="E124">
        <v>-0.872</v>
      </c>
      <c r="F124">
        <v>-0.44600000000000001</v>
      </c>
      <c r="G124">
        <v>-1.1100000000000001</v>
      </c>
      <c r="H124">
        <v>3.762</v>
      </c>
    </row>
    <row r="125" spans="1:8" x14ac:dyDescent="0.45">
      <c r="A125" t="s">
        <v>102</v>
      </c>
      <c r="B125">
        <v>0.8</v>
      </c>
      <c r="C125">
        <v>-0.40899999999999997</v>
      </c>
      <c r="D125">
        <v>-0.77300000000000002</v>
      </c>
      <c r="E125">
        <v>1.117</v>
      </c>
      <c r="F125">
        <v>-0.66400000000000003</v>
      </c>
      <c r="G125">
        <v>-1.0209999999999999</v>
      </c>
      <c r="H125">
        <v>4.2009999999999996</v>
      </c>
    </row>
    <row r="126" spans="1:8" x14ac:dyDescent="0.45">
      <c r="A126" t="s">
        <v>103</v>
      </c>
      <c r="B126">
        <v>-0.38500000000000001</v>
      </c>
      <c r="C126">
        <v>-0.41799999999999998</v>
      </c>
      <c r="D126">
        <v>-0.315</v>
      </c>
      <c r="E126">
        <v>-0.45300000000000001</v>
      </c>
      <c r="F126">
        <v>-0.76700000000000002</v>
      </c>
      <c r="G126">
        <v>-0.746</v>
      </c>
      <c r="H126">
        <v>2.9540000000000002</v>
      </c>
    </row>
    <row r="127" spans="1:8" x14ac:dyDescent="0.45">
      <c r="A127" t="s">
        <v>104</v>
      </c>
      <c r="B127">
        <v>-0.14899999999999999</v>
      </c>
      <c r="C127">
        <v>-1.109</v>
      </c>
      <c r="D127">
        <v>0.68600000000000005</v>
      </c>
      <c r="E127">
        <v>-0.218</v>
      </c>
      <c r="F127">
        <v>-1.099</v>
      </c>
      <c r="G127">
        <v>0.49099999999999999</v>
      </c>
      <c r="H127">
        <v>3.11</v>
      </c>
    </row>
    <row r="128" spans="1:8" x14ac:dyDescent="0.45">
      <c r="A128" t="s">
        <v>105</v>
      </c>
      <c r="B128">
        <v>-0.157</v>
      </c>
      <c r="C128">
        <v>-0.89400000000000002</v>
      </c>
      <c r="D128">
        <v>-1.046</v>
      </c>
      <c r="E128">
        <v>-0.25900000000000001</v>
      </c>
      <c r="F128">
        <v>-0.66700000000000004</v>
      </c>
      <c r="G128">
        <v>-0.91500000000000004</v>
      </c>
      <c r="H128">
        <v>2.952</v>
      </c>
    </row>
    <row r="129" spans="1:8" x14ac:dyDescent="0.45">
      <c r="A129" t="s">
        <v>106</v>
      </c>
      <c r="B129">
        <v>-0.69899999999999995</v>
      </c>
      <c r="C129">
        <v>-0.375</v>
      </c>
      <c r="D129">
        <v>-8.2000000000000003E-2</v>
      </c>
      <c r="E129">
        <v>-0.63300000000000001</v>
      </c>
      <c r="F129">
        <v>-0.38</v>
      </c>
      <c r="G129">
        <v>8.3000000000000004E-2</v>
      </c>
      <c r="H129">
        <v>1.889</v>
      </c>
    </row>
    <row r="130" spans="1:8" x14ac:dyDescent="0.45">
      <c r="A130" t="s">
        <v>141</v>
      </c>
      <c r="B130">
        <v>-0.16600000000000001</v>
      </c>
      <c r="C130">
        <v>0.154</v>
      </c>
      <c r="D130">
        <v>1.22</v>
      </c>
      <c r="E130">
        <v>-8.6999999999999994E-2</v>
      </c>
      <c r="F130">
        <v>0.82599999999999996</v>
      </c>
      <c r="G130">
        <v>1.0089999999999999</v>
      </c>
      <c r="H130">
        <v>3.32</v>
      </c>
    </row>
    <row r="131" spans="1:8" x14ac:dyDescent="0.45">
      <c r="A131" t="s">
        <v>142</v>
      </c>
      <c r="B131">
        <v>5.6000000000000001E-2</v>
      </c>
      <c r="C131">
        <v>-0.73699999999999999</v>
      </c>
      <c r="D131">
        <v>-1.482</v>
      </c>
      <c r="E131">
        <v>-3.9E-2</v>
      </c>
      <c r="F131">
        <v>-1.0669999999999999</v>
      </c>
      <c r="G131">
        <v>-1.365</v>
      </c>
      <c r="H131">
        <v>4.4050000000000002</v>
      </c>
    </row>
    <row r="132" spans="1:8" x14ac:dyDescent="0.45">
      <c r="A132" t="s">
        <v>107</v>
      </c>
      <c r="B132">
        <v>-0.22500000000000001</v>
      </c>
      <c r="C132">
        <v>-3.3000000000000002E-2</v>
      </c>
      <c r="D132">
        <v>-1.2969999999999999</v>
      </c>
      <c r="E132">
        <v>-0.10100000000000001</v>
      </c>
      <c r="F132">
        <v>-0.14899999999999999</v>
      </c>
      <c r="G132">
        <v>-1.4379999999999999</v>
      </c>
      <c r="H132">
        <v>3.6819999999999999</v>
      </c>
    </row>
    <row r="133" spans="1:8" x14ac:dyDescent="0.45">
      <c r="A133" t="s">
        <v>108</v>
      </c>
      <c r="B133">
        <v>0.94</v>
      </c>
      <c r="C133">
        <v>0.34599999999999997</v>
      </c>
      <c r="D133">
        <v>-1.296</v>
      </c>
      <c r="E133">
        <v>1.179</v>
      </c>
      <c r="F133">
        <v>0.55700000000000005</v>
      </c>
      <c r="G133">
        <v>-1.113</v>
      </c>
      <c r="H133">
        <v>4.3579999999999997</v>
      </c>
    </row>
    <row r="134" spans="1:8" x14ac:dyDescent="0.45">
      <c r="A134" t="s">
        <v>109</v>
      </c>
      <c r="B134">
        <v>-0.76400000000000001</v>
      </c>
      <c r="C134">
        <v>-0.96699999999999997</v>
      </c>
      <c r="D134">
        <v>0.65600000000000003</v>
      </c>
      <c r="E134">
        <v>-0.79900000000000004</v>
      </c>
      <c r="F134">
        <v>-0.93</v>
      </c>
      <c r="G134">
        <v>0.45700000000000002</v>
      </c>
      <c r="H134">
        <v>3.3260000000000001</v>
      </c>
    </row>
    <row r="135" spans="1:8" x14ac:dyDescent="0.45">
      <c r="A135" t="s">
        <v>110</v>
      </c>
      <c r="B135">
        <v>-0.85899999999999999</v>
      </c>
      <c r="C135">
        <v>-0.29499999999999998</v>
      </c>
      <c r="D135">
        <v>-0.79800000000000004</v>
      </c>
      <c r="E135">
        <v>-0.76600000000000001</v>
      </c>
      <c r="F135">
        <v>-8.4000000000000005E-2</v>
      </c>
      <c r="G135">
        <v>-0.88800000000000001</v>
      </c>
      <c r="H135">
        <v>2.9889999999999999</v>
      </c>
    </row>
    <row r="136" spans="1:8" x14ac:dyDescent="0.45">
      <c r="A136" t="s">
        <v>111</v>
      </c>
      <c r="B136">
        <v>1.1719999999999999</v>
      </c>
      <c r="C136">
        <v>-0.65300000000000002</v>
      </c>
      <c r="D136">
        <v>-1.3440000000000001</v>
      </c>
      <c r="E136">
        <v>1.0920000000000001</v>
      </c>
      <c r="F136">
        <v>-0.58399999999999996</v>
      </c>
      <c r="G136">
        <v>-0.90900000000000003</v>
      </c>
      <c r="H136">
        <v>3.9049999999999998</v>
      </c>
    </row>
    <row r="137" spans="1:8" x14ac:dyDescent="0.45">
      <c r="A137" t="s">
        <v>112</v>
      </c>
      <c r="B137">
        <v>1.1180000000000001</v>
      </c>
      <c r="C137">
        <v>-0.98</v>
      </c>
      <c r="D137">
        <v>0.93799999999999994</v>
      </c>
      <c r="E137">
        <v>0.79600000000000004</v>
      </c>
      <c r="F137">
        <v>-0.78900000000000003</v>
      </c>
      <c r="G137">
        <v>0.69199999999999995</v>
      </c>
      <c r="H137">
        <v>3.3490000000000002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02B1-D3F6-4AF9-B2C6-40BE188DD4A2}">
  <dimension ref="A1:E137"/>
  <sheetViews>
    <sheetView topLeftCell="A127" workbookViewId="0">
      <selection activeCell="C148" sqref="C148"/>
    </sheetView>
  </sheetViews>
  <sheetFormatPr defaultRowHeight="14.25" x14ac:dyDescent="0.45"/>
  <sheetData>
    <row r="1" spans="1:5" x14ac:dyDescent="0.45">
      <c r="A1" t="s">
        <v>6</v>
      </c>
      <c r="B1" t="s">
        <v>150</v>
      </c>
      <c r="C1" t="s">
        <v>151</v>
      </c>
      <c r="D1" t="s">
        <v>152</v>
      </c>
      <c r="E1" t="s">
        <v>153</v>
      </c>
    </row>
    <row r="2" spans="1:5" x14ac:dyDescent="0.45">
      <c r="A2" t="s">
        <v>113</v>
      </c>
      <c r="B2">
        <v>0.68700000000000006</v>
      </c>
      <c r="C2">
        <v>-2.7799999999999998E-2</v>
      </c>
      <c r="D2">
        <v>-2.3538000000000001</v>
      </c>
      <c r="E2">
        <v>2.4521999999999999</v>
      </c>
    </row>
    <row r="3" spans="1:5" x14ac:dyDescent="0.45">
      <c r="A3" t="s">
        <v>114</v>
      </c>
      <c r="B3">
        <v>-0.12709999999999999</v>
      </c>
      <c r="C3">
        <v>9.9500000000000005E-2</v>
      </c>
      <c r="D3">
        <v>-2.1558000000000002</v>
      </c>
      <c r="E3">
        <v>2.1617999999999999</v>
      </c>
    </row>
    <row r="4" spans="1:5" x14ac:dyDescent="0.45">
      <c r="A4" t="s">
        <v>115</v>
      </c>
      <c r="B4">
        <v>-1.7001999999999999</v>
      </c>
      <c r="C4">
        <v>1.8432999999999999</v>
      </c>
      <c r="D4">
        <v>-0.63060000000000005</v>
      </c>
      <c r="E4">
        <v>2.5857000000000001</v>
      </c>
    </row>
    <row r="5" spans="1:5" x14ac:dyDescent="0.45">
      <c r="A5" t="s">
        <v>116</v>
      </c>
      <c r="B5">
        <v>4.1456</v>
      </c>
      <c r="C5">
        <v>0.78779999999999994</v>
      </c>
      <c r="D5">
        <v>0.98809999999999998</v>
      </c>
      <c r="E5">
        <v>4.3338999999999999</v>
      </c>
    </row>
    <row r="6" spans="1:5" x14ac:dyDescent="0.45">
      <c r="A6" t="s">
        <v>117</v>
      </c>
      <c r="B6">
        <v>-0.92190000000000005</v>
      </c>
      <c r="C6">
        <v>-0.36980000000000002</v>
      </c>
      <c r="D6">
        <v>1.7668999999999999</v>
      </c>
      <c r="E6">
        <v>2.0268999999999999</v>
      </c>
    </row>
    <row r="7" spans="1:5" x14ac:dyDescent="0.45">
      <c r="A7" t="s">
        <v>118</v>
      </c>
      <c r="B7">
        <v>7.7200000000000005E-2</v>
      </c>
      <c r="C7">
        <v>1.2998000000000001</v>
      </c>
      <c r="D7">
        <v>1.5883</v>
      </c>
      <c r="E7">
        <v>2.0537999999999998</v>
      </c>
    </row>
    <row r="8" spans="1:5" x14ac:dyDescent="0.45">
      <c r="A8" t="s">
        <v>7</v>
      </c>
      <c r="B8">
        <v>4.6543000000000001</v>
      </c>
      <c r="C8">
        <v>-0.27339999999999998</v>
      </c>
      <c r="D8">
        <v>-2.93E-2</v>
      </c>
      <c r="E8">
        <v>4.6623999999999999</v>
      </c>
    </row>
    <row r="9" spans="1:5" x14ac:dyDescent="0.45">
      <c r="A9" t="s">
        <v>8</v>
      </c>
      <c r="B9">
        <v>-3.7130000000000001</v>
      </c>
      <c r="C9">
        <v>-0.81200000000000006</v>
      </c>
      <c r="D9">
        <v>-1.6509</v>
      </c>
      <c r="E9">
        <v>4.1437999999999997</v>
      </c>
    </row>
    <row r="10" spans="1:5" x14ac:dyDescent="0.45">
      <c r="A10" t="s">
        <v>9</v>
      </c>
      <c r="B10">
        <v>2.8159000000000001</v>
      </c>
      <c r="C10">
        <v>1.1424000000000001</v>
      </c>
      <c r="D10">
        <v>-0.82799999999999996</v>
      </c>
      <c r="E10">
        <v>3.1496</v>
      </c>
    </row>
    <row r="11" spans="1:5" x14ac:dyDescent="0.45">
      <c r="A11" t="s">
        <v>10</v>
      </c>
      <c r="B11">
        <v>1.4155</v>
      </c>
      <c r="C11">
        <v>-0.2346</v>
      </c>
      <c r="D11">
        <v>3.2503000000000002</v>
      </c>
      <c r="E11">
        <v>3.5529000000000002</v>
      </c>
    </row>
    <row r="12" spans="1:5" x14ac:dyDescent="0.45">
      <c r="A12" t="s">
        <v>11</v>
      </c>
      <c r="B12">
        <v>-3.7623000000000002</v>
      </c>
      <c r="C12">
        <v>2.2618999999999998</v>
      </c>
      <c r="D12">
        <v>-6.9199999999999998E-2</v>
      </c>
      <c r="E12">
        <v>4.3903999999999996</v>
      </c>
    </row>
    <row r="13" spans="1:5" x14ac:dyDescent="0.45">
      <c r="A13" t="s">
        <v>12</v>
      </c>
      <c r="B13">
        <v>-1.2452000000000001</v>
      </c>
      <c r="C13">
        <v>-1.5664</v>
      </c>
      <c r="D13">
        <v>1.9505999999999999</v>
      </c>
      <c r="E13">
        <v>2.7945000000000002</v>
      </c>
    </row>
    <row r="14" spans="1:5" x14ac:dyDescent="0.45">
      <c r="A14" t="s">
        <v>13</v>
      </c>
      <c r="B14">
        <v>-2.4636999999999998</v>
      </c>
      <c r="C14">
        <v>-0.22259999999999999</v>
      </c>
      <c r="D14">
        <v>-1.9159999999999999</v>
      </c>
      <c r="E14">
        <v>3.1288999999999998</v>
      </c>
    </row>
    <row r="15" spans="1:5" x14ac:dyDescent="0.45">
      <c r="A15" t="s">
        <v>119</v>
      </c>
      <c r="B15">
        <v>1.5772999999999999</v>
      </c>
      <c r="C15">
        <v>-2.3738000000000001</v>
      </c>
      <c r="D15">
        <v>-0.64419999999999999</v>
      </c>
      <c r="E15">
        <v>2.9218999999999999</v>
      </c>
    </row>
    <row r="16" spans="1:5" x14ac:dyDescent="0.45">
      <c r="A16" t="s">
        <v>14</v>
      </c>
      <c r="B16">
        <v>-4.4794</v>
      </c>
      <c r="C16">
        <v>-2.254</v>
      </c>
      <c r="D16">
        <v>-0.67510000000000003</v>
      </c>
      <c r="E16">
        <v>5.0598000000000001</v>
      </c>
    </row>
    <row r="17" spans="1:5" x14ac:dyDescent="0.45">
      <c r="A17" t="s">
        <v>120</v>
      </c>
      <c r="B17">
        <v>1.0133000000000001</v>
      </c>
      <c r="C17">
        <v>0.40450000000000003</v>
      </c>
      <c r="D17">
        <v>-1.4988999999999999</v>
      </c>
      <c r="E17">
        <v>1.8539000000000001</v>
      </c>
    </row>
    <row r="18" spans="1:5" x14ac:dyDescent="0.45">
      <c r="A18" t="s">
        <v>121</v>
      </c>
      <c r="B18">
        <v>0.99839999999999995</v>
      </c>
      <c r="C18">
        <v>-1.7592000000000001</v>
      </c>
      <c r="D18">
        <v>-1.7144999999999999</v>
      </c>
      <c r="E18">
        <v>2.6516999999999999</v>
      </c>
    </row>
    <row r="19" spans="1:5" x14ac:dyDescent="0.45">
      <c r="A19" t="s">
        <v>122</v>
      </c>
      <c r="B19">
        <v>-2.4279999999999999</v>
      </c>
      <c r="C19">
        <v>2.4159000000000002</v>
      </c>
      <c r="D19">
        <v>3.6375000000000002</v>
      </c>
      <c r="E19">
        <v>4.9962999999999997</v>
      </c>
    </row>
    <row r="20" spans="1:5" x14ac:dyDescent="0.45">
      <c r="A20" t="s">
        <v>123</v>
      </c>
      <c r="B20">
        <v>-5.9482999999999997</v>
      </c>
      <c r="C20">
        <v>1.7633000000000001</v>
      </c>
      <c r="D20">
        <v>-1.6205000000000001</v>
      </c>
      <c r="E20">
        <v>6.4123000000000001</v>
      </c>
    </row>
    <row r="21" spans="1:5" x14ac:dyDescent="0.45">
      <c r="A21" t="s">
        <v>124</v>
      </c>
      <c r="B21">
        <v>-6.2884000000000002</v>
      </c>
      <c r="C21">
        <v>1.6593</v>
      </c>
      <c r="D21">
        <v>-0.92110000000000003</v>
      </c>
      <c r="E21">
        <v>6.5685000000000002</v>
      </c>
    </row>
    <row r="22" spans="1:5" x14ac:dyDescent="0.45">
      <c r="A22" t="s">
        <v>125</v>
      </c>
      <c r="B22">
        <v>6.8320999999999996</v>
      </c>
      <c r="C22">
        <v>1.4169</v>
      </c>
      <c r="D22">
        <v>-1.2181999999999999</v>
      </c>
      <c r="E22">
        <v>7.0830000000000002</v>
      </c>
    </row>
    <row r="23" spans="1:5" x14ac:dyDescent="0.45">
      <c r="A23" t="s">
        <v>15</v>
      </c>
      <c r="B23">
        <v>0.36449999999999999</v>
      </c>
      <c r="C23">
        <v>2.0118999999999998</v>
      </c>
      <c r="D23">
        <v>-2.6486000000000001</v>
      </c>
      <c r="E23">
        <v>3.3460000000000001</v>
      </c>
    </row>
    <row r="24" spans="1:5" x14ac:dyDescent="0.45">
      <c r="A24" t="s">
        <v>16</v>
      </c>
      <c r="B24">
        <v>-1.2502</v>
      </c>
      <c r="C24">
        <v>3.4249000000000001</v>
      </c>
      <c r="D24">
        <v>-1.8960999999999999</v>
      </c>
      <c r="E24">
        <v>4.1096000000000004</v>
      </c>
    </row>
    <row r="25" spans="1:5" x14ac:dyDescent="0.45">
      <c r="A25" t="s">
        <v>17</v>
      </c>
      <c r="B25">
        <v>-0.29959999999999998</v>
      </c>
      <c r="C25">
        <v>-2.1072000000000002</v>
      </c>
      <c r="D25">
        <v>-0.14860000000000001</v>
      </c>
      <c r="E25">
        <v>2.1335000000000002</v>
      </c>
    </row>
    <row r="26" spans="1:5" x14ac:dyDescent="0.45">
      <c r="A26" t="s">
        <v>18</v>
      </c>
      <c r="B26">
        <v>-0.37680000000000002</v>
      </c>
      <c r="C26">
        <v>-0.24329999999999999</v>
      </c>
      <c r="D26">
        <v>-2.3689</v>
      </c>
      <c r="E26">
        <v>2.411</v>
      </c>
    </row>
    <row r="27" spans="1:5" x14ac:dyDescent="0.45">
      <c r="A27" t="s">
        <v>19</v>
      </c>
      <c r="B27">
        <v>4.4786999999999999</v>
      </c>
      <c r="C27">
        <v>-1.879</v>
      </c>
      <c r="D27">
        <v>-1.5903</v>
      </c>
      <c r="E27">
        <v>5.1105999999999998</v>
      </c>
    </row>
    <row r="28" spans="1:5" x14ac:dyDescent="0.45">
      <c r="A28" t="s">
        <v>20</v>
      </c>
      <c r="B28">
        <v>-4.4882</v>
      </c>
      <c r="C28">
        <v>3.2557</v>
      </c>
      <c r="D28">
        <v>1.472</v>
      </c>
      <c r="E28">
        <v>5.7366999999999999</v>
      </c>
    </row>
    <row r="29" spans="1:5" x14ac:dyDescent="0.45">
      <c r="A29" t="s">
        <v>21</v>
      </c>
      <c r="B29">
        <v>-5.4208999999999996</v>
      </c>
      <c r="C29">
        <v>-1.2568999999999999</v>
      </c>
      <c r="D29">
        <v>2.1608000000000001</v>
      </c>
      <c r="E29">
        <v>5.9695</v>
      </c>
    </row>
    <row r="30" spans="1:5" x14ac:dyDescent="0.45">
      <c r="A30" t="s">
        <v>22</v>
      </c>
      <c r="B30">
        <v>-4.6723999999999997</v>
      </c>
      <c r="C30">
        <v>-2.9636999999999998</v>
      </c>
      <c r="D30">
        <v>-4.1745999999999999</v>
      </c>
      <c r="E30">
        <v>6.9311999999999996</v>
      </c>
    </row>
    <row r="31" spans="1:5" x14ac:dyDescent="0.45">
      <c r="A31" t="s">
        <v>23</v>
      </c>
      <c r="B31">
        <v>3.2875999999999999</v>
      </c>
      <c r="C31">
        <v>4.8144</v>
      </c>
      <c r="D31">
        <v>1.845</v>
      </c>
      <c r="E31">
        <v>6.1147999999999998</v>
      </c>
    </row>
    <row r="32" spans="1:5" x14ac:dyDescent="0.45">
      <c r="A32" t="s">
        <v>24</v>
      </c>
      <c r="B32">
        <v>-4.4760999999999997</v>
      </c>
      <c r="C32">
        <v>-1.7332000000000001</v>
      </c>
      <c r="D32">
        <v>0.32129999999999997</v>
      </c>
      <c r="E32">
        <v>4.8106999999999998</v>
      </c>
    </row>
    <row r="33" spans="1:5" x14ac:dyDescent="0.45">
      <c r="A33" t="s">
        <v>25</v>
      </c>
      <c r="B33">
        <v>3.7482000000000002</v>
      </c>
      <c r="C33">
        <v>0.54720000000000002</v>
      </c>
      <c r="D33">
        <v>-2.5630999999999999</v>
      </c>
      <c r="E33">
        <v>4.5735999999999999</v>
      </c>
    </row>
    <row r="34" spans="1:5" x14ac:dyDescent="0.45">
      <c r="A34" t="s">
        <v>26</v>
      </c>
      <c r="B34">
        <v>-7.4353999999999996</v>
      </c>
      <c r="C34">
        <v>-4.0118999999999998</v>
      </c>
      <c r="D34">
        <v>-1.4815</v>
      </c>
      <c r="E34">
        <v>8.5776000000000003</v>
      </c>
    </row>
    <row r="35" spans="1:5" x14ac:dyDescent="0.45">
      <c r="A35" t="s">
        <v>27</v>
      </c>
      <c r="B35">
        <v>-1.1713</v>
      </c>
      <c r="C35">
        <v>6.7106000000000003</v>
      </c>
      <c r="D35">
        <v>-0.69310000000000005</v>
      </c>
      <c r="E35">
        <v>6.8472</v>
      </c>
    </row>
    <row r="36" spans="1:5" x14ac:dyDescent="0.45">
      <c r="A36" t="s">
        <v>28</v>
      </c>
      <c r="B36">
        <v>-4.3971999999999998</v>
      </c>
      <c r="C36">
        <v>0.28910000000000002</v>
      </c>
      <c r="D36">
        <v>9.64E-2</v>
      </c>
      <c r="E36">
        <v>4.4077000000000002</v>
      </c>
    </row>
    <row r="37" spans="1:5" x14ac:dyDescent="0.45">
      <c r="A37" t="s">
        <v>126</v>
      </c>
      <c r="B37">
        <v>-0.20849999999999999</v>
      </c>
      <c r="C37">
        <v>2.7484000000000002</v>
      </c>
      <c r="D37">
        <v>-2.4579</v>
      </c>
      <c r="E37">
        <v>3.6930000000000001</v>
      </c>
    </row>
    <row r="38" spans="1:5" x14ac:dyDescent="0.45">
      <c r="A38" t="s">
        <v>29</v>
      </c>
      <c r="B38">
        <v>-6.2409999999999997</v>
      </c>
      <c r="C38">
        <v>6.1557000000000004</v>
      </c>
      <c r="D38">
        <v>-0.45050000000000001</v>
      </c>
      <c r="E38">
        <v>8.7774999999999999</v>
      </c>
    </row>
    <row r="39" spans="1:5" x14ac:dyDescent="0.45">
      <c r="A39" t="s">
        <v>30</v>
      </c>
      <c r="B39">
        <v>4.1745999999999999</v>
      </c>
      <c r="C39">
        <v>0.1404</v>
      </c>
      <c r="D39">
        <v>-3.4121999999999999</v>
      </c>
      <c r="E39">
        <v>5.3935000000000004</v>
      </c>
    </row>
    <row r="40" spans="1:5" x14ac:dyDescent="0.45">
      <c r="A40" t="s">
        <v>31</v>
      </c>
      <c r="B40">
        <v>2.8161999999999998</v>
      </c>
      <c r="C40">
        <v>0.43169999999999997</v>
      </c>
      <c r="D40">
        <v>1.7248000000000001</v>
      </c>
      <c r="E40">
        <v>3.3304999999999998</v>
      </c>
    </row>
    <row r="41" spans="1:5" x14ac:dyDescent="0.45">
      <c r="A41" t="s">
        <v>127</v>
      </c>
      <c r="B41">
        <v>-0.37980000000000003</v>
      </c>
      <c r="C41">
        <v>2.1819000000000002</v>
      </c>
      <c r="D41">
        <v>-1.5104</v>
      </c>
      <c r="E41">
        <v>2.6806999999999999</v>
      </c>
    </row>
    <row r="42" spans="1:5" x14ac:dyDescent="0.45">
      <c r="A42" t="s">
        <v>128</v>
      </c>
      <c r="B42">
        <v>6.2812999999999999</v>
      </c>
      <c r="C42">
        <v>-0.64970000000000006</v>
      </c>
      <c r="D42">
        <v>3.3348</v>
      </c>
      <c r="E42">
        <v>7.1412000000000004</v>
      </c>
    </row>
    <row r="43" spans="1:5" x14ac:dyDescent="0.45">
      <c r="A43" t="s">
        <v>32</v>
      </c>
      <c r="B43">
        <v>3.6661000000000001</v>
      </c>
      <c r="C43">
        <v>1.7517</v>
      </c>
      <c r="D43">
        <v>0.54379999999999995</v>
      </c>
      <c r="E43">
        <v>4.0993000000000004</v>
      </c>
    </row>
    <row r="44" spans="1:5" x14ac:dyDescent="0.45">
      <c r="A44" t="s">
        <v>33</v>
      </c>
      <c r="B44">
        <v>3.7328000000000001</v>
      </c>
      <c r="C44">
        <v>2.2170999999999998</v>
      </c>
      <c r="D44">
        <v>-1.1484000000000001</v>
      </c>
      <c r="E44">
        <v>4.4908999999999999</v>
      </c>
    </row>
    <row r="45" spans="1:5" x14ac:dyDescent="0.45">
      <c r="A45" t="s">
        <v>34</v>
      </c>
      <c r="B45">
        <v>-1.8503000000000001</v>
      </c>
      <c r="C45">
        <v>2.1135000000000002</v>
      </c>
      <c r="D45">
        <v>-8.0500000000000002E-2</v>
      </c>
      <c r="E45">
        <v>2.8102</v>
      </c>
    </row>
    <row r="46" spans="1:5" x14ac:dyDescent="0.45">
      <c r="A46" t="s">
        <v>35</v>
      </c>
      <c r="B46">
        <v>3.6736</v>
      </c>
      <c r="C46">
        <v>-0.39269999999999999</v>
      </c>
      <c r="D46">
        <v>-1.6183000000000001</v>
      </c>
      <c r="E46">
        <v>4.0334000000000003</v>
      </c>
    </row>
    <row r="47" spans="1:5" x14ac:dyDescent="0.45">
      <c r="A47" t="s">
        <v>36</v>
      </c>
      <c r="B47">
        <v>-0.56079999999999997</v>
      </c>
      <c r="C47">
        <v>-1.2916000000000001</v>
      </c>
      <c r="D47">
        <v>2.5684999999999998</v>
      </c>
      <c r="E47">
        <v>2.9291</v>
      </c>
    </row>
    <row r="48" spans="1:5" x14ac:dyDescent="0.45">
      <c r="A48" t="s">
        <v>37</v>
      </c>
      <c r="B48">
        <v>-3.3485999999999998</v>
      </c>
      <c r="C48">
        <v>-6.9127000000000001</v>
      </c>
      <c r="D48">
        <v>-0.72119999999999995</v>
      </c>
      <c r="E48">
        <v>7.7148000000000003</v>
      </c>
    </row>
    <row r="49" spans="1:5" x14ac:dyDescent="0.45">
      <c r="A49" t="s">
        <v>38</v>
      </c>
      <c r="B49">
        <v>-2.1697000000000002</v>
      </c>
      <c r="C49">
        <v>-1.6472</v>
      </c>
      <c r="D49">
        <v>-1.4826999999999999</v>
      </c>
      <c r="E49">
        <v>3.1015000000000001</v>
      </c>
    </row>
    <row r="50" spans="1:5" x14ac:dyDescent="0.45">
      <c r="A50" t="s">
        <v>39</v>
      </c>
      <c r="B50">
        <v>0.61460000000000004</v>
      </c>
      <c r="C50">
        <v>1.3775999999999999</v>
      </c>
      <c r="D50">
        <v>1.8504</v>
      </c>
      <c r="E50">
        <v>2.3874</v>
      </c>
    </row>
    <row r="51" spans="1:5" x14ac:dyDescent="0.45">
      <c r="A51" t="s">
        <v>40</v>
      </c>
      <c r="B51">
        <v>0.10589999999999999</v>
      </c>
      <c r="C51">
        <v>-0.2283</v>
      </c>
      <c r="D51">
        <v>2.2494000000000001</v>
      </c>
      <c r="E51">
        <v>2.2633999999999999</v>
      </c>
    </row>
    <row r="52" spans="1:5" x14ac:dyDescent="0.45">
      <c r="A52" t="s">
        <v>41</v>
      </c>
      <c r="B52">
        <v>0.59389999999999998</v>
      </c>
      <c r="C52">
        <v>-1.4556</v>
      </c>
      <c r="D52">
        <v>-1.7452000000000001</v>
      </c>
      <c r="E52">
        <v>2.3488000000000002</v>
      </c>
    </row>
    <row r="53" spans="1:5" x14ac:dyDescent="0.45">
      <c r="A53" t="s">
        <v>42</v>
      </c>
      <c r="B53">
        <v>0.64049999999999996</v>
      </c>
      <c r="C53">
        <v>-2.2305999999999999</v>
      </c>
      <c r="D53">
        <v>1.0857000000000001</v>
      </c>
      <c r="E53">
        <v>2.5621999999999998</v>
      </c>
    </row>
    <row r="54" spans="1:5" x14ac:dyDescent="0.45">
      <c r="A54" t="s">
        <v>43</v>
      </c>
      <c r="B54">
        <v>0.43099999999999999</v>
      </c>
      <c r="C54">
        <v>-1.3059000000000001</v>
      </c>
      <c r="D54">
        <v>-1.9458</v>
      </c>
      <c r="E54">
        <v>2.3826999999999998</v>
      </c>
    </row>
    <row r="55" spans="1:5" x14ac:dyDescent="0.45">
      <c r="A55" t="s">
        <v>44</v>
      </c>
      <c r="B55">
        <v>-2.1997</v>
      </c>
      <c r="C55">
        <v>-1.0007999999999999</v>
      </c>
      <c r="D55">
        <v>2.2482000000000002</v>
      </c>
      <c r="E55">
        <v>3.3007</v>
      </c>
    </row>
    <row r="56" spans="1:5" x14ac:dyDescent="0.45">
      <c r="A56" t="s">
        <v>45</v>
      </c>
      <c r="B56">
        <v>-3.4918999999999998</v>
      </c>
      <c r="C56">
        <v>0.67510000000000003</v>
      </c>
      <c r="D56">
        <v>1.7955000000000001</v>
      </c>
      <c r="E56">
        <v>3.9841000000000002</v>
      </c>
    </row>
    <row r="57" spans="1:5" x14ac:dyDescent="0.45">
      <c r="A57" t="s">
        <v>46</v>
      </c>
      <c r="B57">
        <v>-5.9333</v>
      </c>
      <c r="C57">
        <v>3.2000000000000001E-2</v>
      </c>
      <c r="D57">
        <v>-2.1299000000000001</v>
      </c>
      <c r="E57">
        <v>6.3041</v>
      </c>
    </row>
    <row r="58" spans="1:5" x14ac:dyDescent="0.45">
      <c r="A58" t="s">
        <v>47</v>
      </c>
      <c r="B58">
        <v>0.84960000000000002</v>
      </c>
      <c r="C58">
        <v>-2.6032999999999999</v>
      </c>
      <c r="D58">
        <v>-8.2299999999999998E-2</v>
      </c>
      <c r="E58">
        <v>2.7397</v>
      </c>
    </row>
    <row r="59" spans="1:5" x14ac:dyDescent="0.45">
      <c r="A59" t="s">
        <v>48</v>
      </c>
      <c r="B59">
        <v>-5.2450999999999999</v>
      </c>
      <c r="C59">
        <v>1.8228</v>
      </c>
      <c r="D59">
        <v>-1.4494</v>
      </c>
      <c r="E59">
        <v>5.7389000000000001</v>
      </c>
    </row>
    <row r="60" spans="1:5" x14ac:dyDescent="0.45">
      <c r="A60" t="s">
        <v>49</v>
      </c>
      <c r="B60">
        <v>-0.68820000000000003</v>
      </c>
      <c r="C60">
        <v>4.0491999999999999</v>
      </c>
      <c r="D60">
        <v>1.3763000000000001</v>
      </c>
      <c r="E60">
        <v>4.3316999999999997</v>
      </c>
    </row>
    <row r="61" spans="1:5" x14ac:dyDescent="0.45">
      <c r="A61" t="s">
        <v>50</v>
      </c>
      <c r="B61">
        <v>5.0315000000000003</v>
      </c>
      <c r="C61">
        <v>-4.8852000000000002</v>
      </c>
      <c r="D61">
        <v>4.1993</v>
      </c>
      <c r="E61">
        <v>8.1740999999999993</v>
      </c>
    </row>
    <row r="62" spans="1:5" x14ac:dyDescent="0.45">
      <c r="A62" t="s">
        <v>51</v>
      </c>
      <c r="B62">
        <v>-0.70169999999999999</v>
      </c>
      <c r="C62">
        <v>-1.5913999999999999</v>
      </c>
      <c r="D62">
        <v>-3.0427</v>
      </c>
      <c r="E62">
        <v>3.5047999999999999</v>
      </c>
    </row>
    <row r="63" spans="1:5" x14ac:dyDescent="0.45">
      <c r="A63" t="s">
        <v>52</v>
      </c>
      <c r="B63">
        <v>1.0474000000000001</v>
      </c>
      <c r="C63">
        <v>-0.74219999999999997</v>
      </c>
      <c r="D63">
        <v>0.99509999999999998</v>
      </c>
      <c r="E63">
        <v>1.6243000000000001</v>
      </c>
    </row>
    <row r="64" spans="1:5" x14ac:dyDescent="0.45">
      <c r="A64" t="s">
        <v>53</v>
      </c>
      <c r="B64">
        <v>-2.6114000000000002</v>
      </c>
      <c r="C64">
        <v>-1.4945999999999999</v>
      </c>
      <c r="D64">
        <v>1.1819</v>
      </c>
      <c r="E64">
        <v>3.2326999999999999</v>
      </c>
    </row>
    <row r="65" spans="1:5" x14ac:dyDescent="0.45">
      <c r="A65" t="s">
        <v>129</v>
      </c>
      <c r="B65">
        <v>2.6505000000000001</v>
      </c>
      <c r="C65">
        <v>-0.72030000000000005</v>
      </c>
      <c r="D65">
        <v>0.44640000000000002</v>
      </c>
      <c r="E65">
        <v>2.7827000000000002</v>
      </c>
    </row>
    <row r="66" spans="1:5" x14ac:dyDescent="0.45">
      <c r="A66" t="s">
        <v>130</v>
      </c>
      <c r="B66">
        <v>1.2699999999999999E-2</v>
      </c>
      <c r="C66">
        <v>0.57399999999999995</v>
      </c>
      <c r="D66">
        <v>3.0114000000000001</v>
      </c>
      <c r="E66">
        <v>3.0655999999999999</v>
      </c>
    </row>
    <row r="67" spans="1:5" x14ac:dyDescent="0.45">
      <c r="A67" t="s">
        <v>54</v>
      </c>
      <c r="B67">
        <v>-3.2155</v>
      </c>
      <c r="C67">
        <v>-1.0860000000000001</v>
      </c>
      <c r="D67">
        <v>1.9591000000000001</v>
      </c>
      <c r="E67">
        <v>3.9188000000000001</v>
      </c>
    </row>
    <row r="68" spans="1:5" x14ac:dyDescent="0.45">
      <c r="A68" t="s">
        <v>55</v>
      </c>
      <c r="B68">
        <v>-3.7774000000000001</v>
      </c>
      <c r="C68">
        <v>2.5594999999999999</v>
      </c>
      <c r="D68">
        <v>0.99209999999999998</v>
      </c>
      <c r="E68">
        <v>4.6695000000000002</v>
      </c>
    </row>
    <row r="69" spans="1:5" x14ac:dyDescent="0.45">
      <c r="A69" t="s">
        <v>56</v>
      </c>
      <c r="B69">
        <v>2.4518</v>
      </c>
      <c r="C69">
        <v>-2.0507</v>
      </c>
      <c r="D69">
        <v>2.12E-2</v>
      </c>
      <c r="E69">
        <v>3.1964000000000001</v>
      </c>
    </row>
    <row r="70" spans="1:5" x14ac:dyDescent="0.45">
      <c r="A70" t="s">
        <v>57</v>
      </c>
      <c r="B70">
        <v>4.7895000000000003</v>
      </c>
      <c r="C70">
        <v>0.28549999999999998</v>
      </c>
      <c r="D70">
        <v>1.7645</v>
      </c>
      <c r="E70">
        <v>5.1121999999999996</v>
      </c>
    </row>
    <row r="71" spans="1:5" x14ac:dyDescent="0.45">
      <c r="A71" t="s">
        <v>58</v>
      </c>
      <c r="B71">
        <v>-5.2835000000000001</v>
      </c>
      <c r="C71">
        <v>1.7837000000000001</v>
      </c>
      <c r="D71">
        <v>-1.4515</v>
      </c>
      <c r="E71">
        <v>5.7622999999999998</v>
      </c>
    </row>
    <row r="72" spans="1:5" x14ac:dyDescent="0.45">
      <c r="A72" t="s">
        <v>131</v>
      </c>
      <c r="B72">
        <v>-0.12570000000000001</v>
      </c>
      <c r="C72">
        <v>9.7199999999999995E-2</v>
      </c>
      <c r="D72">
        <v>2.1573000000000002</v>
      </c>
      <c r="E72">
        <v>2.1631</v>
      </c>
    </row>
    <row r="73" spans="1:5" x14ac:dyDescent="0.45">
      <c r="A73" t="s">
        <v>132</v>
      </c>
      <c r="B73">
        <v>-0.24929999999999999</v>
      </c>
      <c r="C73">
        <v>-3.0525000000000002</v>
      </c>
      <c r="D73">
        <v>-1.1873</v>
      </c>
      <c r="E73">
        <v>3.2848000000000002</v>
      </c>
    </row>
    <row r="74" spans="1:5" x14ac:dyDescent="0.45">
      <c r="A74" t="s">
        <v>133</v>
      </c>
      <c r="B74">
        <v>-0.28899999999999998</v>
      </c>
      <c r="C74">
        <v>-0.70220000000000005</v>
      </c>
      <c r="D74">
        <v>2.0710000000000002</v>
      </c>
      <c r="E74">
        <v>2.2058</v>
      </c>
    </row>
    <row r="75" spans="1:5" x14ac:dyDescent="0.45">
      <c r="A75" t="s">
        <v>59</v>
      </c>
      <c r="B75">
        <v>2.9226000000000001</v>
      </c>
      <c r="C75">
        <v>-2.1886999999999999</v>
      </c>
      <c r="D75">
        <v>-1.0268999999999999</v>
      </c>
      <c r="E75">
        <v>3.7930000000000001</v>
      </c>
    </row>
    <row r="76" spans="1:5" x14ac:dyDescent="0.45">
      <c r="A76" t="s">
        <v>60</v>
      </c>
      <c r="B76">
        <v>-3.8389000000000002</v>
      </c>
      <c r="C76">
        <v>0.96160000000000001</v>
      </c>
      <c r="D76">
        <v>0.42830000000000001</v>
      </c>
      <c r="E76">
        <v>3.9805999999999999</v>
      </c>
    </row>
    <row r="77" spans="1:5" x14ac:dyDescent="0.45">
      <c r="A77" t="s">
        <v>61</v>
      </c>
      <c r="B77">
        <v>3.4493999999999998</v>
      </c>
      <c r="C77">
        <v>1.7335</v>
      </c>
      <c r="D77">
        <v>-0.46949999999999997</v>
      </c>
      <c r="E77">
        <v>3.8889</v>
      </c>
    </row>
    <row r="78" spans="1:5" x14ac:dyDescent="0.45">
      <c r="A78" t="s">
        <v>62</v>
      </c>
      <c r="B78">
        <v>1.1423000000000001</v>
      </c>
      <c r="C78">
        <v>-2.0590000000000002</v>
      </c>
      <c r="D78">
        <v>-0.70699999999999996</v>
      </c>
      <c r="E78">
        <v>2.4584999999999999</v>
      </c>
    </row>
    <row r="79" spans="1:5" x14ac:dyDescent="0.45">
      <c r="A79" t="s">
        <v>63</v>
      </c>
      <c r="B79">
        <v>0.92830000000000001</v>
      </c>
      <c r="C79">
        <v>0.52459999999999996</v>
      </c>
      <c r="D79">
        <v>2.7444000000000002</v>
      </c>
      <c r="E79">
        <v>2.9441999999999999</v>
      </c>
    </row>
    <row r="80" spans="1:5" x14ac:dyDescent="0.45">
      <c r="A80" t="s">
        <v>64</v>
      </c>
      <c r="B80">
        <v>3.9224000000000001</v>
      </c>
      <c r="C80">
        <v>-1.1284000000000001</v>
      </c>
      <c r="D80">
        <v>-1.5934999999999999</v>
      </c>
      <c r="E80">
        <v>4.3815</v>
      </c>
    </row>
    <row r="81" spans="1:5" x14ac:dyDescent="0.45">
      <c r="A81" t="s">
        <v>65</v>
      </c>
      <c r="B81">
        <v>-1.2452000000000001</v>
      </c>
      <c r="C81">
        <v>-1.5672999999999999</v>
      </c>
      <c r="D81">
        <v>-1.9504999999999999</v>
      </c>
      <c r="E81">
        <v>2.7949000000000002</v>
      </c>
    </row>
    <row r="82" spans="1:5" x14ac:dyDescent="0.45">
      <c r="A82" t="s">
        <v>66</v>
      </c>
      <c r="B82">
        <v>1.8554999999999999</v>
      </c>
      <c r="C82">
        <v>2.2698</v>
      </c>
      <c r="D82">
        <v>-0.35099999999999998</v>
      </c>
      <c r="E82">
        <v>2.9527000000000001</v>
      </c>
    </row>
    <row r="83" spans="1:5" x14ac:dyDescent="0.45">
      <c r="A83" t="s">
        <v>67</v>
      </c>
      <c r="B83">
        <v>4.4785000000000004</v>
      </c>
      <c r="C83">
        <v>-2.2543000000000002</v>
      </c>
      <c r="D83">
        <v>-0.67589999999999995</v>
      </c>
      <c r="E83">
        <v>5.0591999999999997</v>
      </c>
    </row>
    <row r="84" spans="1:5" x14ac:dyDescent="0.45">
      <c r="A84" t="s">
        <v>134</v>
      </c>
      <c r="B84">
        <v>1.8553999999999999</v>
      </c>
      <c r="C84">
        <v>2.5583999999999998</v>
      </c>
      <c r="D84">
        <v>3.4274</v>
      </c>
      <c r="E84">
        <v>4.6620999999999997</v>
      </c>
    </row>
    <row r="85" spans="1:5" x14ac:dyDescent="0.45">
      <c r="A85" t="s">
        <v>135</v>
      </c>
      <c r="B85">
        <v>2.3843999999999999</v>
      </c>
      <c r="C85">
        <v>-6.9683000000000002</v>
      </c>
      <c r="D85">
        <v>-0.73019999999999996</v>
      </c>
      <c r="E85">
        <v>7.4009999999999998</v>
      </c>
    </row>
    <row r="86" spans="1:5" x14ac:dyDescent="0.45">
      <c r="A86" t="s">
        <v>136</v>
      </c>
      <c r="B86">
        <v>5.9474999999999998</v>
      </c>
      <c r="C86">
        <v>1.7643</v>
      </c>
      <c r="D86">
        <v>-1.6211</v>
      </c>
      <c r="E86">
        <v>6.4119999999999999</v>
      </c>
    </row>
    <row r="87" spans="1:5" x14ac:dyDescent="0.45">
      <c r="A87" t="s">
        <v>137</v>
      </c>
      <c r="B87">
        <v>-6.4856999999999996</v>
      </c>
      <c r="C87">
        <v>2.1251000000000002</v>
      </c>
      <c r="D87">
        <v>-0.40610000000000002</v>
      </c>
      <c r="E87">
        <v>6.8371000000000004</v>
      </c>
    </row>
    <row r="88" spans="1:5" x14ac:dyDescent="0.45">
      <c r="A88" t="s">
        <v>138</v>
      </c>
      <c r="B88">
        <v>-6.0213000000000001</v>
      </c>
      <c r="C88">
        <v>1.8247</v>
      </c>
      <c r="D88">
        <v>0.11210000000000001</v>
      </c>
      <c r="E88">
        <v>6.2927</v>
      </c>
    </row>
    <row r="89" spans="1:5" x14ac:dyDescent="0.45">
      <c r="A89" t="s">
        <v>68</v>
      </c>
      <c r="B89">
        <v>4.4942000000000002</v>
      </c>
      <c r="C89">
        <v>-3.1107</v>
      </c>
      <c r="D89">
        <v>1.4252</v>
      </c>
      <c r="E89">
        <v>5.6485000000000003</v>
      </c>
    </row>
    <row r="90" spans="1:5" x14ac:dyDescent="0.45">
      <c r="A90" t="s">
        <v>69</v>
      </c>
      <c r="B90">
        <v>1.5273000000000001</v>
      </c>
      <c r="C90">
        <v>0.39500000000000002</v>
      </c>
      <c r="D90">
        <v>-9.3399999999999997E-2</v>
      </c>
      <c r="E90">
        <v>1.5803</v>
      </c>
    </row>
    <row r="91" spans="1:5" x14ac:dyDescent="0.45">
      <c r="A91" t="s">
        <v>70</v>
      </c>
      <c r="B91">
        <v>0.6109</v>
      </c>
      <c r="C91">
        <v>2.278</v>
      </c>
      <c r="D91">
        <v>0.2873</v>
      </c>
      <c r="E91">
        <v>2.3759999999999999</v>
      </c>
    </row>
    <row r="92" spans="1:5" x14ac:dyDescent="0.45">
      <c r="A92" t="s">
        <v>71</v>
      </c>
      <c r="B92">
        <v>0.3039</v>
      </c>
      <c r="C92">
        <v>0.26619999999999999</v>
      </c>
      <c r="D92">
        <v>-2.0743999999999998</v>
      </c>
      <c r="E92">
        <v>2.1133999999999999</v>
      </c>
    </row>
    <row r="93" spans="1:5" x14ac:dyDescent="0.45">
      <c r="A93" t="s">
        <v>72</v>
      </c>
      <c r="B93">
        <v>-4.1599000000000004</v>
      </c>
      <c r="C93">
        <v>1.8918999999999999</v>
      </c>
      <c r="D93">
        <v>1.1120000000000001</v>
      </c>
      <c r="E93">
        <v>4.7031999999999998</v>
      </c>
    </row>
    <row r="94" spans="1:5" x14ac:dyDescent="0.45">
      <c r="A94" t="s">
        <v>73</v>
      </c>
      <c r="B94">
        <v>5.9884000000000004</v>
      </c>
      <c r="C94">
        <v>3.1196000000000002</v>
      </c>
      <c r="D94">
        <v>-0.8327</v>
      </c>
      <c r="E94">
        <v>6.8033999999999999</v>
      </c>
    </row>
    <row r="95" spans="1:5" x14ac:dyDescent="0.45">
      <c r="A95" t="s">
        <v>74</v>
      </c>
      <c r="B95">
        <v>3.8325</v>
      </c>
      <c r="C95">
        <v>2.6215000000000002</v>
      </c>
      <c r="D95">
        <v>2.6071</v>
      </c>
      <c r="E95">
        <v>5.3250999999999999</v>
      </c>
    </row>
    <row r="96" spans="1:5" x14ac:dyDescent="0.45">
      <c r="A96" t="s">
        <v>75</v>
      </c>
      <c r="B96">
        <v>-5.8266</v>
      </c>
      <c r="C96">
        <v>-6.0873999999999997</v>
      </c>
      <c r="D96">
        <v>-0.8448</v>
      </c>
      <c r="E96">
        <v>8.4687999999999999</v>
      </c>
    </row>
    <row r="97" spans="1:5" x14ac:dyDescent="0.45">
      <c r="A97" t="s">
        <v>76</v>
      </c>
      <c r="B97">
        <v>5.6073000000000004</v>
      </c>
      <c r="C97">
        <v>-0.4834</v>
      </c>
      <c r="D97">
        <v>3.2801999999999998</v>
      </c>
      <c r="E97">
        <v>6.5141999999999998</v>
      </c>
    </row>
    <row r="98" spans="1:5" x14ac:dyDescent="0.45">
      <c r="A98" t="s">
        <v>77</v>
      </c>
      <c r="B98">
        <v>-3.6137000000000001</v>
      </c>
      <c r="C98">
        <v>-0.20119999999999999</v>
      </c>
      <c r="D98">
        <v>-2.9910000000000001</v>
      </c>
      <c r="E98">
        <v>4.6951999999999998</v>
      </c>
    </row>
    <row r="99" spans="1:5" x14ac:dyDescent="0.45">
      <c r="A99" t="s">
        <v>78</v>
      </c>
      <c r="B99">
        <v>-5.6440000000000001</v>
      </c>
      <c r="C99">
        <v>1.3786</v>
      </c>
      <c r="D99">
        <v>3.5106000000000002</v>
      </c>
      <c r="E99">
        <v>6.7881999999999998</v>
      </c>
    </row>
    <row r="100" spans="1:5" x14ac:dyDescent="0.45">
      <c r="A100" t="s">
        <v>79</v>
      </c>
      <c r="B100">
        <v>-1.9177999999999999</v>
      </c>
      <c r="C100">
        <v>-0.12809999999999999</v>
      </c>
      <c r="D100">
        <v>-2.5665</v>
      </c>
      <c r="E100">
        <v>3.2065000000000001</v>
      </c>
    </row>
    <row r="101" spans="1:5" x14ac:dyDescent="0.45">
      <c r="A101" t="s">
        <v>80</v>
      </c>
      <c r="B101">
        <v>3.7141000000000002</v>
      </c>
      <c r="C101">
        <v>-5.5159000000000002</v>
      </c>
      <c r="D101">
        <v>5.2422000000000004</v>
      </c>
      <c r="E101">
        <v>8.4675999999999991</v>
      </c>
    </row>
    <row r="102" spans="1:5" x14ac:dyDescent="0.45">
      <c r="A102" t="s">
        <v>81</v>
      </c>
      <c r="B102">
        <v>-0.20899999999999999</v>
      </c>
      <c r="C102">
        <v>4.1778000000000004</v>
      </c>
      <c r="D102">
        <v>-2.5407999999999999</v>
      </c>
      <c r="E102">
        <v>4.8941999999999997</v>
      </c>
    </row>
    <row r="103" spans="1:5" x14ac:dyDescent="0.45">
      <c r="A103" t="s">
        <v>82</v>
      </c>
      <c r="B103">
        <v>-2.1545999999999998</v>
      </c>
      <c r="C103">
        <v>-7.3254999999999999</v>
      </c>
      <c r="D103">
        <v>-3.2195999999999998</v>
      </c>
      <c r="E103">
        <v>8.2866999999999997</v>
      </c>
    </row>
    <row r="104" spans="1:5" x14ac:dyDescent="0.45">
      <c r="A104" t="s">
        <v>83</v>
      </c>
      <c r="B104">
        <v>-8.8635000000000002</v>
      </c>
      <c r="C104">
        <v>-7.0735999999999999</v>
      </c>
      <c r="D104">
        <v>-1.3322000000000001</v>
      </c>
      <c r="E104">
        <v>11.418100000000001</v>
      </c>
    </row>
    <row r="105" spans="1:5" x14ac:dyDescent="0.45">
      <c r="A105" t="s">
        <v>84</v>
      </c>
      <c r="B105">
        <v>3.2109999999999999</v>
      </c>
      <c r="C105">
        <v>-1.4527000000000001</v>
      </c>
      <c r="D105">
        <v>6.0299999999999999E-2</v>
      </c>
      <c r="E105">
        <v>3.5247999999999999</v>
      </c>
    </row>
    <row r="106" spans="1:5" x14ac:dyDescent="0.45">
      <c r="A106" t="s">
        <v>139</v>
      </c>
      <c r="B106">
        <v>0.37990000000000002</v>
      </c>
      <c r="C106">
        <v>2.1829000000000001</v>
      </c>
      <c r="D106">
        <v>-1.5101</v>
      </c>
      <c r="E106">
        <v>2.6814</v>
      </c>
    </row>
    <row r="107" spans="1:5" x14ac:dyDescent="0.45">
      <c r="A107" t="s">
        <v>140</v>
      </c>
      <c r="B107">
        <v>-6.2525000000000004</v>
      </c>
      <c r="C107">
        <v>-3.2433000000000001</v>
      </c>
      <c r="D107">
        <v>1.3898999999999999</v>
      </c>
      <c r="E107">
        <v>7.1795</v>
      </c>
    </row>
    <row r="108" spans="1:5" x14ac:dyDescent="0.45">
      <c r="A108" t="s">
        <v>85</v>
      </c>
      <c r="B108">
        <v>3.0983999999999998</v>
      </c>
      <c r="C108">
        <v>2.1808000000000001</v>
      </c>
      <c r="D108">
        <v>0.79239999999999999</v>
      </c>
      <c r="E108">
        <v>3.8708999999999998</v>
      </c>
    </row>
    <row r="109" spans="1:5" x14ac:dyDescent="0.45">
      <c r="A109" t="s">
        <v>86</v>
      </c>
      <c r="B109">
        <v>-3.0186999999999999</v>
      </c>
      <c r="C109">
        <v>1.8290999999999999</v>
      </c>
      <c r="D109">
        <v>-0.73299999999999998</v>
      </c>
      <c r="E109">
        <v>3.6049000000000002</v>
      </c>
    </row>
    <row r="110" spans="1:5" x14ac:dyDescent="0.45">
      <c r="A110" t="s">
        <v>87</v>
      </c>
      <c r="B110">
        <v>-4.6745999999999999</v>
      </c>
      <c r="C110">
        <v>-0.42059999999999997</v>
      </c>
      <c r="D110">
        <v>-2.1389</v>
      </c>
      <c r="E110">
        <v>5.1578999999999997</v>
      </c>
    </row>
    <row r="111" spans="1:5" x14ac:dyDescent="0.45">
      <c r="A111" t="s">
        <v>88</v>
      </c>
      <c r="B111">
        <v>3.8144</v>
      </c>
      <c r="C111">
        <v>-0.57150000000000001</v>
      </c>
      <c r="D111">
        <v>1.7373000000000001</v>
      </c>
      <c r="E111">
        <v>4.2302</v>
      </c>
    </row>
    <row r="112" spans="1:5" x14ac:dyDescent="0.45">
      <c r="A112" t="s">
        <v>89</v>
      </c>
      <c r="B112">
        <v>-4.2779999999999996</v>
      </c>
      <c r="C112">
        <v>1.0056</v>
      </c>
      <c r="D112">
        <v>1.9308000000000001</v>
      </c>
      <c r="E112">
        <v>4.8000999999999996</v>
      </c>
    </row>
    <row r="113" spans="1:5" x14ac:dyDescent="0.45">
      <c r="A113" t="s">
        <v>90</v>
      </c>
      <c r="B113">
        <v>0.52690000000000003</v>
      </c>
      <c r="C113">
        <v>-1.9669000000000001</v>
      </c>
      <c r="D113">
        <v>2.3378999999999999</v>
      </c>
      <c r="E113">
        <v>3.1004</v>
      </c>
    </row>
    <row r="114" spans="1:5" x14ac:dyDescent="0.45">
      <c r="A114" t="s">
        <v>91</v>
      </c>
      <c r="B114">
        <v>4.7104999999999997</v>
      </c>
      <c r="C114">
        <v>-8.1927000000000003</v>
      </c>
      <c r="D114">
        <v>1.6669</v>
      </c>
      <c r="E114">
        <v>9.5962999999999994</v>
      </c>
    </row>
    <row r="115" spans="1:5" x14ac:dyDescent="0.45">
      <c r="A115" t="s">
        <v>92</v>
      </c>
      <c r="B115">
        <v>-2.5644999999999998</v>
      </c>
      <c r="C115">
        <v>-2.1171000000000002</v>
      </c>
      <c r="D115">
        <v>1.3653</v>
      </c>
      <c r="E115">
        <v>3.5949</v>
      </c>
    </row>
    <row r="116" spans="1:5" x14ac:dyDescent="0.45">
      <c r="A116" t="s">
        <v>93</v>
      </c>
      <c r="B116">
        <v>1.2788999999999999</v>
      </c>
      <c r="C116">
        <v>-2.2145999999999999</v>
      </c>
      <c r="D116">
        <v>2.1011000000000002</v>
      </c>
      <c r="E116">
        <v>3.3098000000000001</v>
      </c>
    </row>
    <row r="117" spans="1:5" x14ac:dyDescent="0.45">
      <c r="A117" t="s">
        <v>94</v>
      </c>
      <c r="B117">
        <v>-0.13469999999999999</v>
      </c>
      <c r="C117">
        <v>-1.4137</v>
      </c>
      <c r="D117">
        <v>-2.1669999999999998</v>
      </c>
      <c r="E117">
        <v>2.5908000000000002</v>
      </c>
    </row>
    <row r="118" spans="1:5" x14ac:dyDescent="0.45">
      <c r="A118" t="s">
        <v>95</v>
      </c>
      <c r="B118">
        <v>0.87190000000000001</v>
      </c>
      <c r="C118">
        <v>1.6505000000000001</v>
      </c>
      <c r="D118">
        <v>-1.7363</v>
      </c>
      <c r="E118">
        <v>2.5493999999999999</v>
      </c>
    </row>
    <row r="119" spans="1:5" x14ac:dyDescent="0.45">
      <c r="A119" t="s">
        <v>96</v>
      </c>
      <c r="B119">
        <v>-0.95320000000000005</v>
      </c>
      <c r="C119">
        <v>-2.3399000000000001</v>
      </c>
      <c r="D119">
        <v>-2.3037999999999998</v>
      </c>
      <c r="E119">
        <v>3.4192</v>
      </c>
    </row>
    <row r="120" spans="1:5" x14ac:dyDescent="0.45">
      <c r="A120" t="s">
        <v>97</v>
      </c>
      <c r="B120">
        <v>-0.32890000000000003</v>
      </c>
      <c r="C120">
        <v>-1.498</v>
      </c>
      <c r="D120">
        <v>1.7266999999999999</v>
      </c>
      <c r="E120">
        <v>2.3094000000000001</v>
      </c>
    </row>
    <row r="121" spans="1:5" x14ac:dyDescent="0.45">
      <c r="A121" t="s">
        <v>98</v>
      </c>
      <c r="B121">
        <v>3.3527</v>
      </c>
      <c r="C121">
        <v>1.0407</v>
      </c>
      <c r="D121">
        <v>1.1338999999999999</v>
      </c>
      <c r="E121">
        <v>3.6890999999999998</v>
      </c>
    </row>
    <row r="122" spans="1:5" x14ac:dyDescent="0.45">
      <c r="A122" t="s">
        <v>99</v>
      </c>
      <c r="B122">
        <v>1.595</v>
      </c>
      <c r="C122">
        <v>-0.82389999999999997</v>
      </c>
      <c r="D122">
        <v>3.6181999999999999</v>
      </c>
      <c r="E122">
        <v>4.0391000000000004</v>
      </c>
    </row>
    <row r="123" spans="1:5" x14ac:dyDescent="0.45">
      <c r="A123" t="s">
        <v>100</v>
      </c>
      <c r="B123">
        <v>9.7728000000000002</v>
      </c>
      <c r="C123">
        <v>-1.484</v>
      </c>
      <c r="D123">
        <v>-1.8966000000000001</v>
      </c>
      <c r="E123">
        <v>10.065200000000001</v>
      </c>
    </row>
    <row r="124" spans="1:5" x14ac:dyDescent="0.45">
      <c r="A124" t="s">
        <v>101</v>
      </c>
      <c r="B124">
        <v>-3.1255999999999999</v>
      </c>
      <c r="C124">
        <v>2.7206999999999999</v>
      </c>
      <c r="D124">
        <v>-0.82240000000000002</v>
      </c>
      <c r="E124">
        <v>4.2245999999999997</v>
      </c>
    </row>
    <row r="125" spans="1:5" x14ac:dyDescent="0.45">
      <c r="A125" t="s">
        <v>102</v>
      </c>
      <c r="B125">
        <v>1.9830000000000001</v>
      </c>
      <c r="C125">
        <v>-2.7924000000000002</v>
      </c>
      <c r="D125">
        <v>-0.90439999999999998</v>
      </c>
      <c r="E125">
        <v>3.5423</v>
      </c>
    </row>
    <row r="126" spans="1:5" x14ac:dyDescent="0.45">
      <c r="A126" t="s">
        <v>103</v>
      </c>
      <c r="B126">
        <v>-4.0103</v>
      </c>
      <c r="C126">
        <v>1.1495</v>
      </c>
      <c r="D126">
        <v>1.1476999999999999</v>
      </c>
      <c r="E126">
        <v>4.3268000000000004</v>
      </c>
    </row>
    <row r="127" spans="1:5" x14ac:dyDescent="0.45">
      <c r="A127" t="s">
        <v>104</v>
      </c>
      <c r="B127">
        <v>1.9443999999999999</v>
      </c>
      <c r="C127">
        <v>-0.16880000000000001</v>
      </c>
      <c r="D127">
        <v>-1.9464999999999999</v>
      </c>
      <c r="E127">
        <v>2.7565</v>
      </c>
    </row>
    <row r="128" spans="1:5" x14ac:dyDescent="0.45">
      <c r="A128" t="s">
        <v>105</v>
      </c>
      <c r="B128">
        <v>0.10059999999999999</v>
      </c>
      <c r="C128">
        <v>3.5148000000000001</v>
      </c>
      <c r="D128">
        <v>1.5202</v>
      </c>
      <c r="E128">
        <v>3.8308</v>
      </c>
    </row>
    <row r="129" spans="1:5" x14ac:dyDescent="0.45">
      <c r="A129" t="s">
        <v>106</v>
      </c>
      <c r="B129">
        <v>-1.8204</v>
      </c>
      <c r="C129">
        <v>-1.7873000000000001</v>
      </c>
      <c r="D129">
        <v>-1.1022000000000001</v>
      </c>
      <c r="E129">
        <v>2.7791000000000001</v>
      </c>
    </row>
    <row r="130" spans="1:5" x14ac:dyDescent="0.45">
      <c r="A130" t="s">
        <v>141</v>
      </c>
      <c r="B130">
        <v>-1.9483999999999999</v>
      </c>
      <c r="C130">
        <v>0.21840000000000001</v>
      </c>
      <c r="D130">
        <v>-1.8766</v>
      </c>
      <c r="E130">
        <v>2.714</v>
      </c>
    </row>
    <row r="131" spans="1:5" x14ac:dyDescent="0.45">
      <c r="A131" t="s">
        <v>142</v>
      </c>
      <c r="B131">
        <v>0.2051</v>
      </c>
      <c r="C131">
        <v>2.5100000000000001E-2</v>
      </c>
      <c r="D131">
        <v>2.6634000000000002</v>
      </c>
      <c r="E131">
        <v>2.6714000000000002</v>
      </c>
    </row>
    <row r="132" spans="1:5" x14ac:dyDescent="0.45">
      <c r="A132" t="s">
        <v>107</v>
      </c>
      <c r="B132">
        <v>3.8184</v>
      </c>
      <c r="C132">
        <v>0.71220000000000006</v>
      </c>
      <c r="D132">
        <v>-1.8818999999999999</v>
      </c>
      <c r="E132">
        <v>4.3160999999999996</v>
      </c>
    </row>
    <row r="133" spans="1:5" x14ac:dyDescent="0.45">
      <c r="A133" t="s">
        <v>108</v>
      </c>
      <c r="B133">
        <v>2.1499000000000001</v>
      </c>
      <c r="C133">
        <v>-2.9190999999999998</v>
      </c>
      <c r="D133">
        <v>5.3100000000000001E-2</v>
      </c>
      <c r="E133">
        <v>3.6257999999999999</v>
      </c>
    </row>
    <row r="134" spans="1:5" x14ac:dyDescent="0.45">
      <c r="A134" t="s">
        <v>109</v>
      </c>
      <c r="B134">
        <v>3.2667000000000002</v>
      </c>
      <c r="C134">
        <v>-1.0369999999999999</v>
      </c>
      <c r="D134">
        <v>1.9389000000000001</v>
      </c>
      <c r="E134">
        <v>3.9378000000000002</v>
      </c>
    </row>
    <row r="135" spans="1:5" x14ac:dyDescent="0.45">
      <c r="A135" t="s">
        <v>110</v>
      </c>
      <c r="B135">
        <v>2.9174000000000002</v>
      </c>
      <c r="C135">
        <v>1.8838999999999999</v>
      </c>
      <c r="D135">
        <v>0.1174</v>
      </c>
      <c r="E135">
        <v>3.4746999999999999</v>
      </c>
    </row>
    <row r="136" spans="1:5" x14ac:dyDescent="0.45">
      <c r="A136" t="s">
        <v>111</v>
      </c>
      <c r="B136">
        <v>5.8471000000000002</v>
      </c>
      <c r="C136">
        <v>1.2682</v>
      </c>
      <c r="D136">
        <v>-1.5565</v>
      </c>
      <c r="E136">
        <v>6.1821999999999999</v>
      </c>
    </row>
    <row r="137" spans="1:5" x14ac:dyDescent="0.45">
      <c r="A137" t="s">
        <v>112</v>
      </c>
      <c r="B137">
        <v>4.4570999999999996</v>
      </c>
      <c r="C137">
        <v>1.7963</v>
      </c>
      <c r="D137">
        <v>-1.5508999999999999</v>
      </c>
      <c r="E137">
        <v>5.0495000000000001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xTB vs DFT Full dipole moment </vt:lpstr>
      <vt:lpstr>xTB-dipole</vt:lpstr>
      <vt:lpstr>DFT-dipole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Tyagi</cp:lastModifiedBy>
  <cp:lastPrinted>2026-04-24T10:18:01Z</cp:lastPrinted>
  <dcterms:created xsi:type="dcterms:W3CDTF">2026-01-23T16:01:03Z</dcterms:created>
  <dcterms:modified xsi:type="dcterms:W3CDTF">2026-06-08T12:05:45Z</dcterms:modified>
</cp:coreProperties>
</file>