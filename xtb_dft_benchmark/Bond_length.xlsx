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rushityagi_iisc_ac_in/Documents/Desktop/PhD_2025/SMILES_project/P1_updated_work_in_this/SMILES_project/xTB_22may2026/Descriptors/"/>
    </mc:Choice>
  </mc:AlternateContent>
  <xr:revisionPtr revIDLastSave="2232" documentId="13_ncr:1_{C2F42A1A-F3AD-459C-B9F6-1A17F21557F3}" xr6:coauthVersionLast="47" xr6:coauthVersionMax="47" xr10:uidLastSave="{2D383D34-3895-44D9-87AF-E2B0E5A9D80D}"/>
  <bookViews>
    <workbookView xWindow="-98" yWindow="-98" windowWidth="19396" windowHeight="11596" xr2:uid="{00000000-000D-0000-FFFF-FFFF00000000}"/>
  </bookViews>
  <sheets>
    <sheet name="Bond length a" sheetId="26" r:id="rId1"/>
    <sheet name="Bond length b1" sheetId="29" r:id="rId2"/>
    <sheet name="Bond length b2" sheetId="30" r:id="rId3"/>
    <sheet name="Bond length c" sheetId="3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7" i="31" l="1"/>
  <c r="D30" i="31"/>
  <c r="D17" i="31"/>
  <c r="D13" i="31"/>
  <c r="G2" i="31"/>
  <c r="C137" i="31"/>
  <c r="B137" i="31"/>
  <c r="C136" i="31"/>
  <c r="B136" i="31"/>
  <c r="D133" i="31"/>
  <c r="D134" i="31"/>
  <c r="D13" i="30"/>
  <c r="E13" i="30"/>
  <c r="F13" i="30"/>
  <c r="D30" i="29"/>
  <c r="E30" i="29"/>
  <c r="F30" i="29"/>
  <c r="D25" i="29"/>
  <c r="D13" i="29"/>
  <c r="E13" i="29"/>
  <c r="D132" i="31"/>
  <c r="D131" i="31"/>
  <c r="D130" i="31"/>
  <c r="D129" i="31"/>
  <c r="D128" i="31"/>
  <c r="D127" i="31"/>
  <c r="D126" i="31"/>
  <c r="D125" i="31"/>
  <c r="D124" i="31"/>
  <c r="D123" i="31"/>
  <c r="D122" i="31"/>
  <c r="D121" i="31"/>
  <c r="D120" i="31"/>
  <c r="D119" i="31"/>
  <c r="D118" i="31"/>
  <c r="D117" i="31"/>
  <c r="D116" i="31"/>
  <c r="D115" i="31"/>
  <c r="D114" i="31"/>
  <c r="D113" i="31"/>
  <c r="D112" i="31"/>
  <c r="D111" i="31"/>
  <c r="D110" i="31"/>
  <c r="D109" i="31"/>
  <c r="D108" i="31"/>
  <c r="D107" i="31"/>
  <c r="D106" i="31"/>
  <c r="D105" i="31"/>
  <c r="D104" i="31"/>
  <c r="D103" i="31"/>
  <c r="D102" i="31"/>
  <c r="D101" i="31"/>
  <c r="D100" i="31"/>
  <c r="D99" i="31"/>
  <c r="D98" i="31"/>
  <c r="D97" i="31"/>
  <c r="D96" i="31"/>
  <c r="D95" i="31"/>
  <c r="D94" i="31"/>
  <c r="D93" i="31"/>
  <c r="D92" i="31"/>
  <c r="D91" i="31"/>
  <c r="D90" i="31"/>
  <c r="D89" i="31"/>
  <c r="D88" i="31"/>
  <c r="D86" i="31"/>
  <c r="D85" i="31"/>
  <c r="D84" i="31"/>
  <c r="D83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6" i="31"/>
  <c r="D15" i="31"/>
  <c r="D14" i="31"/>
  <c r="D12" i="31"/>
  <c r="D11" i="31"/>
  <c r="D10" i="31"/>
  <c r="D9" i="31"/>
  <c r="D8" i="31"/>
  <c r="D7" i="31"/>
  <c r="D6" i="31"/>
  <c r="D5" i="31"/>
  <c r="D4" i="31"/>
  <c r="D3" i="31"/>
  <c r="D2" i="31"/>
  <c r="D102" i="29"/>
  <c r="D99" i="29"/>
  <c r="D89" i="29"/>
  <c r="D87" i="29"/>
  <c r="D101" i="26"/>
  <c r="E101" i="26"/>
  <c r="F101" i="26"/>
  <c r="D91" i="26"/>
  <c r="E91" i="26"/>
  <c r="F91" i="26"/>
  <c r="D89" i="26"/>
  <c r="D37" i="26"/>
  <c r="E37" i="26"/>
  <c r="F37" i="26"/>
  <c r="D31" i="26"/>
  <c r="E31" i="26"/>
  <c r="D26" i="26"/>
  <c r="E26" i="26"/>
  <c r="D17" i="26"/>
  <c r="E17" i="26"/>
  <c r="D13" i="26"/>
  <c r="C138" i="29"/>
  <c r="C137" i="29"/>
  <c r="C138" i="30"/>
  <c r="B138" i="30"/>
  <c r="C137" i="30"/>
  <c r="B137" i="30"/>
  <c r="D135" i="30"/>
  <c r="D134" i="30"/>
  <c r="D133" i="30"/>
  <c r="D132" i="30"/>
  <c r="D131" i="30"/>
  <c r="D130" i="30"/>
  <c r="D129" i="30"/>
  <c r="D128" i="30"/>
  <c r="D127" i="30"/>
  <c r="D126" i="30"/>
  <c r="D125" i="30"/>
  <c r="D124" i="30"/>
  <c r="D123" i="30"/>
  <c r="D122" i="30"/>
  <c r="D121" i="30"/>
  <c r="D120" i="30"/>
  <c r="D119" i="30"/>
  <c r="D118" i="30"/>
  <c r="D117" i="30"/>
  <c r="D116" i="30"/>
  <c r="D115" i="30"/>
  <c r="D114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2" i="30"/>
  <c r="D11" i="30"/>
  <c r="D10" i="30"/>
  <c r="D9" i="30"/>
  <c r="D8" i="30"/>
  <c r="D7" i="30"/>
  <c r="D6" i="30"/>
  <c r="D5" i="30"/>
  <c r="D4" i="30"/>
  <c r="D3" i="30"/>
  <c r="G2" i="30"/>
  <c r="D2" i="30"/>
  <c r="D135" i="29"/>
  <c r="D134" i="29"/>
  <c r="D133" i="29"/>
  <c r="D132" i="29"/>
  <c r="D131" i="29"/>
  <c r="D130" i="29"/>
  <c r="D129" i="29"/>
  <c r="D128" i="29"/>
  <c r="D127" i="29"/>
  <c r="D126" i="29"/>
  <c r="D125" i="29"/>
  <c r="D124" i="29"/>
  <c r="D123" i="29"/>
  <c r="D122" i="29"/>
  <c r="D121" i="29"/>
  <c r="D120" i="29"/>
  <c r="D119" i="29"/>
  <c r="D118" i="29"/>
  <c r="D117" i="29"/>
  <c r="D116" i="29"/>
  <c r="D115" i="29"/>
  <c r="D114" i="29"/>
  <c r="D113" i="29"/>
  <c r="D112" i="29"/>
  <c r="D111" i="29"/>
  <c r="D110" i="29"/>
  <c r="D109" i="29"/>
  <c r="D108" i="29"/>
  <c r="D107" i="29"/>
  <c r="D106" i="29"/>
  <c r="D105" i="29"/>
  <c r="D104" i="29"/>
  <c r="D103" i="29"/>
  <c r="D101" i="29"/>
  <c r="D100" i="29"/>
  <c r="D98" i="29"/>
  <c r="D97" i="29"/>
  <c r="D96" i="29"/>
  <c r="D95" i="29"/>
  <c r="D94" i="29"/>
  <c r="D93" i="29"/>
  <c r="D92" i="29"/>
  <c r="D91" i="29"/>
  <c r="D90" i="29"/>
  <c r="D88" i="29"/>
  <c r="D86" i="29"/>
  <c r="D85" i="29"/>
  <c r="D84" i="29"/>
  <c r="D83" i="29"/>
  <c r="D82" i="29"/>
  <c r="D81" i="29"/>
  <c r="D80" i="29"/>
  <c r="D79" i="29"/>
  <c r="D78" i="29"/>
  <c r="D77" i="29"/>
  <c r="D76" i="29"/>
  <c r="D75" i="29"/>
  <c r="D74" i="29"/>
  <c r="D73" i="29"/>
  <c r="D72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29" i="29"/>
  <c r="D28" i="29"/>
  <c r="D27" i="29"/>
  <c r="D26" i="29"/>
  <c r="D24" i="29"/>
  <c r="D23" i="29"/>
  <c r="D22" i="29"/>
  <c r="D21" i="29"/>
  <c r="D20" i="29"/>
  <c r="D19" i="29"/>
  <c r="D18" i="29"/>
  <c r="D17" i="29"/>
  <c r="D16" i="29"/>
  <c r="D15" i="29"/>
  <c r="D14" i="29"/>
  <c r="D12" i="29"/>
  <c r="D11" i="29"/>
  <c r="D10" i="29"/>
  <c r="D9" i="29"/>
  <c r="D8" i="29"/>
  <c r="D7" i="29"/>
  <c r="D6" i="29"/>
  <c r="D5" i="29"/>
  <c r="D4" i="29"/>
  <c r="D3" i="29"/>
  <c r="C139" i="26"/>
  <c r="C138" i="26"/>
  <c r="B139" i="26"/>
  <c r="B138" i="26"/>
  <c r="G2" i="26"/>
  <c r="H2" i="26" s="1"/>
  <c r="D11" i="26"/>
  <c r="E11" i="26" s="1"/>
  <c r="F11" i="26" s="1"/>
  <c r="D12" i="26"/>
  <c r="E12" i="26" s="1"/>
  <c r="F12" i="26" s="1"/>
  <c r="D14" i="26"/>
  <c r="E14" i="26" s="1"/>
  <c r="F14" i="26" s="1"/>
  <c r="D15" i="26"/>
  <c r="D16" i="26"/>
  <c r="D18" i="26"/>
  <c r="D19" i="26"/>
  <c r="D20" i="26"/>
  <c r="D21" i="26"/>
  <c r="E21" i="26" s="1"/>
  <c r="F21" i="26" s="1"/>
  <c r="D22" i="26"/>
  <c r="D23" i="26"/>
  <c r="D24" i="26"/>
  <c r="D25" i="26"/>
  <c r="D27" i="26"/>
  <c r="D28" i="26"/>
  <c r="D29" i="26"/>
  <c r="D30" i="26"/>
  <c r="D32" i="26"/>
  <c r="E32" i="26" s="1"/>
  <c r="F32" i="26" s="1"/>
  <c r="D33" i="26"/>
  <c r="E33" i="26" s="1"/>
  <c r="F33" i="26" s="1"/>
  <c r="D34" i="26"/>
  <c r="E34" i="26" s="1"/>
  <c r="F34" i="26" s="1"/>
  <c r="D35" i="26"/>
  <c r="E35" i="26" s="1"/>
  <c r="F35" i="26" s="1"/>
  <c r="D36" i="26"/>
  <c r="E36" i="26" s="1"/>
  <c r="F36" i="26" s="1"/>
  <c r="D38" i="26"/>
  <c r="E38" i="26" s="1"/>
  <c r="F38" i="26" s="1"/>
  <c r="D39" i="26"/>
  <c r="E39" i="26" s="1"/>
  <c r="F39" i="26" s="1"/>
  <c r="D40" i="26"/>
  <c r="E40" i="26" s="1"/>
  <c r="F40" i="26" s="1"/>
  <c r="D41" i="26"/>
  <c r="E41" i="26" s="1"/>
  <c r="F41" i="26" s="1"/>
  <c r="D42" i="26"/>
  <c r="E42" i="26" s="1"/>
  <c r="F42" i="26" s="1"/>
  <c r="D43" i="26"/>
  <c r="E43" i="26" s="1"/>
  <c r="F43" i="26" s="1"/>
  <c r="D44" i="26"/>
  <c r="E44" i="26" s="1"/>
  <c r="F44" i="26" s="1"/>
  <c r="D45" i="26"/>
  <c r="E45" i="26" s="1"/>
  <c r="F45" i="26" s="1"/>
  <c r="D46" i="26"/>
  <c r="E46" i="26" s="1"/>
  <c r="F46" i="26" s="1"/>
  <c r="D47" i="26"/>
  <c r="E47" i="26" s="1"/>
  <c r="F47" i="26" s="1"/>
  <c r="D48" i="26"/>
  <c r="E48" i="26" s="1"/>
  <c r="F48" i="26" s="1"/>
  <c r="D49" i="26"/>
  <c r="E49" i="26" s="1"/>
  <c r="F49" i="26" s="1"/>
  <c r="D50" i="26"/>
  <c r="E50" i="26" s="1"/>
  <c r="F50" i="26" s="1"/>
  <c r="D51" i="26"/>
  <c r="E51" i="26" s="1"/>
  <c r="F51" i="26" s="1"/>
  <c r="D52" i="26"/>
  <c r="E52" i="26" s="1"/>
  <c r="F52" i="26" s="1"/>
  <c r="D53" i="26"/>
  <c r="E53" i="26" s="1"/>
  <c r="F53" i="26" s="1"/>
  <c r="D54" i="26"/>
  <c r="E54" i="26" s="1"/>
  <c r="F54" i="26" s="1"/>
  <c r="D55" i="26"/>
  <c r="E55" i="26" s="1"/>
  <c r="F55" i="26" s="1"/>
  <c r="D56" i="26"/>
  <c r="E56" i="26" s="1"/>
  <c r="F56" i="26" s="1"/>
  <c r="D57" i="26"/>
  <c r="E57" i="26" s="1"/>
  <c r="F57" i="26" s="1"/>
  <c r="D58" i="26"/>
  <c r="E58" i="26" s="1"/>
  <c r="F58" i="26" s="1"/>
  <c r="D59" i="26"/>
  <c r="E59" i="26" s="1"/>
  <c r="F59" i="26" s="1"/>
  <c r="D60" i="26"/>
  <c r="E60" i="26" s="1"/>
  <c r="F60" i="26" s="1"/>
  <c r="D61" i="26"/>
  <c r="E61" i="26" s="1"/>
  <c r="F61" i="26" s="1"/>
  <c r="D62" i="26"/>
  <c r="E62" i="26" s="1"/>
  <c r="F62" i="26" s="1"/>
  <c r="D63" i="26"/>
  <c r="E63" i="26" s="1"/>
  <c r="F63" i="26" s="1"/>
  <c r="D64" i="26"/>
  <c r="E64" i="26" s="1"/>
  <c r="F64" i="26" s="1"/>
  <c r="D65" i="26"/>
  <c r="E65" i="26" s="1"/>
  <c r="F65" i="26" s="1"/>
  <c r="D66" i="26"/>
  <c r="E66" i="26" s="1"/>
  <c r="F66" i="26" s="1"/>
  <c r="D67" i="26"/>
  <c r="E67" i="26" s="1"/>
  <c r="F67" i="26" s="1"/>
  <c r="D68" i="26"/>
  <c r="E68" i="26" s="1"/>
  <c r="F68" i="26" s="1"/>
  <c r="D69" i="26"/>
  <c r="E69" i="26" s="1"/>
  <c r="F69" i="26" s="1"/>
  <c r="D70" i="26"/>
  <c r="E70" i="26" s="1"/>
  <c r="F70" i="26" s="1"/>
  <c r="D71" i="26"/>
  <c r="E71" i="26" s="1"/>
  <c r="F71" i="26" s="1"/>
  <c r="D72" i="26"/>
  <c r="E72" i="26" s="1"/>
  <c r="F72" i="26" s="1"/>
  <c r="D73" i="26"/>
  <c r="E73" i="26" s="1"/>
  <c r="F73" i="26" s="1"/>
  <c r="D74" i="26"/>
  <c r="E74" i="26" s="1"/>
  <c r="F74" i="26" s="1"/>
  <c r="D75" i="26"/>
  <c r="E75" i="26" s="1"/>
  <c r="F75" i="26" s="1"/>
  <c r="D76" i="26"/>
  <c r="E76" i="26" s="1"/>
  <c r="F76" i="26" s="1"/>
  <c r="D77" i="26"/>
  <c r="E77" i="26" s="1"/>
  <c r="F77" i="26" s="1"/>
  <c r="D78" i="26"/>
  <c r="E78" i="26" s="1"/>
  <c r="F78" i="26" s="1"/>
  <c r="D79" i="26"/>
  <c r="E79" i="26" s="1"/>
  <c r="F79" i="26" s="1"/>
  <c r="D80" i="26"/>
  <c r="E80" i="26" s="1"/>
  <c r="F80" i="26" s="1"/>
  <c r="D81" i="26"/>
  <c r="E81" i="26" s="1"/>
  <c r="F81" i="26" s="1"/>
  <c r="D82" i="26"/>
  <c r="E82" i="26" s="1"/>
  <c r="F82" i="26" s="1"/>
  <c r="D83" i="26"/>
  <c r="E83" i="26" s="1"/>
  <c r="F83" i="26" s="1"/>
  <c r="D84" i="26"/>
  <c r="E84" i="26" s="1"/>
  <c r="F84" i="26" s="1"/>
  <c r="D85" i="26"/>
  <c r="E85" i="26" s="1"/>
  <c r="F85" i="26" s="1"/>
  <c r="D86" i="26"/>
  <c r="E86" i="26" s="1"/>
  <c r="F86" i="26" s="1"/>
  <c r="D87" i="26"/>
  <c r="E87" i="26" s="1"/>
  <c r="F87" i="26" s="1"/>
  <c r="D88" i="26"/>
  <c r="E88" i="26" s="1"/>
  <c r="F88" i="26" s="1"/>
  <c r="D90" i="26"/>
  <c r="E90" i="26" s="1"/>
  <c r="F90" i="26" s="1"/>
  <c r="D92" i="26"/>
  <c r="E92" i="26" s="1"/>
  <c r="F92" i="26" s="1"/>
  <c r="D93" i="26"/>
  <c r="E93" i="26" s="1"/>
  <c r="F93" i="26" s="1"/>
  <c r="D94" i="26"/>
  <c r="E94" i="26" s="1"/>
  <c r="F94" i="26" s="1"/>
  <c r="D95" i="26"/>
  <c r="E95" i="26" s="1"/>
  <c r="F95" i="26" s="1"/>
  <c r="D96" i="26"/>
  <c r="E96" i="26" s="1"/>
  <c r="F96" i="26" s="1"/>
  <c r="D97" i="26"/>
  <c r="E97" i="26" s="1"/>
  <c r="F97" i="26" s="1"/>
  <c r="D98" i="26"/>
  <c r="E98" i="26" s="1"/>
  <c r="F98" i="26" s="1"/>
  <c r="D99" i="26"/>
  <c r="E99" i="26" s="1"/>
  <c r="F99" i="26" s="1"/>
  <c r="D100" i="26"/>
  <c r="E100" i="26" s="1"/>
  <c r="F100" i="26" s="1"/>
  <c r="D102" i="26"/>
  <c r="E102" i="26" s="1"/>
  <c r="F102" i="26" s="1"/>
  <c r="D103" i="26"/>
  <c r="E103" i="26" s="1"/>
  <c r="F103" i="26" s="1"/>
  <c r="D104" i="26"/>
  <c r="E104" i="26" s="1"/>
  <c r="F104" i="26" s="1"/>
  <c r="D105" i="26"/>
  <c r="E105" i="26" s="1"/>
  <c r="F105" i="26" s="1"/>
  <c r="D106" i="26"/>
  <c r="E106" i="26" s="1"/>
  <c r="F106" i="26" s="1"/>
  <c r="D107" i="26"/>
  <c r="E107" i="26" s="1"/>
  <c r="F107" i="26" s="1"/>
  <c r="D108" i="26"/>
  <c r="E108" i="26" s="1"/>
  <c r="F108" i="26" s="1"/>
  <c r="D109" i="26"/>
  <c r="E109" i="26" s="1"/>
  <c r="F109" i="26" s="1"/>
  <c r="D110" i="26"/>
  <c r="E110" i="26" s="1"/>
  <c r="F110" i="26" s="1"/>
  <c r="D111" i="26"/>
  <c r="E111" i="26" s="1"/>
  <c r="F111" i="26" s="1"/>
  <c r="D112" i="26"/>
  <c r="E112" i="26" s="1"/>
  <c r="F112" i="26" s="1"/>
  <c r="D113" i="26"/>
  <c r="E113" i="26" s="1"/>
  <c r="F113" i="26" s="1"/>
  <c r="D114" i="26"/>
  <c r="E114" i="26" s="1"/>
  <c r="F114" i="26" s="1"/>
  <c r="D115" i="26"/>
  <c r="E115" i="26" s="1"/>
  <c r="F115" i="26" s="1"/>
  <c r="D116" i="26"/>
  <c r="E116" i="26" s="1"/>
  <c r="F116" i="26" s="1"/>
  <c r="D117" i="26"/>
  <c r="E117" i="26" s="1"/>
  <c r="F117" i="26" s="1"/>
  <c r="D118" i="26"/>
  <c r="E118" i="26" s="1"/>
  <c r="F118" i="26" s="1"/>
  <c r="D119" i="26"/>
  <c r="E119" i="26" s="1"/>
  <c r="F119" i="26" s="1"/>
  <c r="D120" i="26"/>
  <c r="E120" i="26" s="1"/>
  <c r="F120" i="26" s="1"/>
  <c r="D121" i="26"/>
  <c r="E121" i="26" s="1"/>
  <c r="F121" i="26" s="1"/>
  <c r="D122" i="26"/>
  <c r="E122" i="26" s="1"/>
  <c r="F122" i="26" s="1"/>
  <c r="D123" i="26"/>
  <c r="E123" i="26" s="1"/>
  <c r="F123" i="26" s="1"/>
  <c r="D124" i="26"/>
  <c r="E124" i="26" s="1"/>
  <c r="F124" i="26" s="1"/>
  <c r="D125" i="26"/>
  <c r="E125" i="26" s="1"/>
  <c r="F125" i="26" s="1"/>
  <c r="D126" i="26"/>
  <c r="E126" i="26" s="1"/>
  <c r="F126" i="26" s="1"/>
  <c r="D127" i="26"/>
  <c r="E127" i="26" s="1"/>
  <c r="F127" i="26" s="1"/>
  <c r="D128" i="26"/>
  <c r="E128" i="26" s="1"/>
  <c r="F128" i="26" s="1"/>
  <c r="D129" i="26"/>
  <c r="E129" i="26" s="1"/>
  <c r="F129" i="26" s="1"/>
  <c r="D130" i="26"/>
  <c r="E130" i="26" s="1"/>
  <c r="F130" i="26" s="1"/>
  <c r="D131" i="26"/>
  <c r="E131" i="26" s="1"/>
  <c r="F131" i="26" s="1"/>
  <c r="D132" i="26"/>
  <c r="E132" i="26" s="1"/>
  <c r="F132" i="26" s="1"/>
  <c r="D133" i="26"/>
  <c r="E133" i="26" s="1"/>
  <c r="F133" i="26" s="1"/>
  <c r="D134" i="26"/>
  <c r="E134" i="26" s="1"/>
  <c r="F134" i="26" s="1"/>
  <c r="D135" i="26"/>
  <c r="E135" i="26" s="1"/>
  <c r="F135" i="26" s="1"/>
  <c r="D136" i="26"/>
  <c r="E136" i="26" s="1"/>
  <c r="F136" i="26" s="1"/>
  <c r="D3" i="26"/>
  <c r="E3" i="26" s="1"/>
  <c r="F3" i="26" s="1"/>
  <c r="D4" i="26"/>
  <c r="E4" i="26" s="1"/>
  <c r="F4" i="26" s="1"/>
  <c r="D5" i="26"/>
  <c r="E5" i="26" s="1"/>
  <c r="F5" i="26" s="1"/>
  <c r="D6" i="26"/>
  <c r="E6" i="26" s="1"/>
  <c r="F6" i="26" s="1"/>
  <c r="D7" i="26"/>
  <c r="E7" i="26" s="1"/>
  <c r="F7" i="26" s="1"/>
  <c r="D8" i="26"/>
  <c r="E8" i="26" s="1"/>
  <c r="F8" i="26" s="1"/>
  <c r="D9" i="26"/>
  <c r="E9" i="26" s="1"/>
  <c r="F9" i="26" s="1"/>
  <c r="D10" i="26"/>
  <c r="D2" i="26"/>
  <c r="E10" i="26"/>
  <c r="F10" i="26" s="1"/>
  <c r="E87" i="31" l="1"/>
  <c r="F87" i="31" s="1"/>
  <c r="E30" i="31"/>
  <c r="F30" i="31" s="1"/>
  <c r="E17" i="31"/>
  <c r="F17" i="31" s="1"/>
  <c r="E13" i="31"/>
  <c r="E134" i="31"/>
  <c r="F134" i="31" s="1"/>
  <c r="D135" i="31"/>
  <c r="E133" i="31"/>
  <c r="F133" i="31" s="1"/>
  <c r="E25" i="29"/>
  <c r="F25" i="29" s="1"/>
  <c r="F13" i="29"/>
  <c r="E6" i="31"/>
  <c r="E47" i="31"/>
  <c r="E126" i="31"/>
  <c r="F126" i="31" s="1"/>
  <c r="E117" i="31"/>
  <c r="F117" i="31" s="1"/>
  <c r="E114" i="31"/>
  <c r="F114" i="31" s="1"/>
  <c r="E109" i="31"/>
  <c r="F109" i="31" s="1"/>
  <c r="E108" i="31"/>
  <c r="F108" i="31" s="1"/>
  <c r="E103" i="31"/>
  <c r="F103" i="31" s="1"/>
  <c r="E102" i="31"/>
  <c r="F102" i="31" s="1"/>
  <c r="E101" i="31"/>
  <c r="F101" i="31" s="1"/>
  <c r="E100" i="31"/>
  <c r="F100" i="31" s="1"/>
  <c r="E97" i="31"/>
  <c r="F97" i="31" s="1"/>
  <c r="E94" i="31"/>
  <c r="F94" i="31" s="1"/>
  <c r="E93" i="31"/>
  <c r="F93" i="31" s="1"/>
  <c r="E90" i="31"/>
  <c r="F90" i="31" s="1"/>
  <c r="E89" i="31"/>
  <c r="F89" i="31" s="1"/>
  <c r="E88" i="31"/>
  <c r="F88" i="31" s="1"/>
  <c r="E86" i="31"/>
  <c r="F86" i="31" s="1"/>
  <c r="E85" i="31"/>
  <c r="F85" i="31" s="1"/>
  <c r="E84" i="31"/>
  <c r="F84" i="31" s="1"/>
  <c r="E83" i="31"/>
  <c r="F83" i="31" s="1"/>
  <c r="E82" i="31"/>
  <c r="F82" i="31" s="1"/>
  <c r="E81" i="31"/>
  <c r="F81" i="31" s="1"/>
  <c r="E80" i="31"/>
  <c r="F80" i="31" s="1"/>
  <c r="E79" i="31"/>
  <c r="F79" i="31" s="1"/>
  <c r="E78" i="31"/>
  <c r="F78" i="31" s="1"/>
  <c r="E77" i="31"/>
  <c r="F77" i="31" s="1"/>
  <c r="E76" i="31"/>
  <c r="F76" i="31" s="1"/>
  <c r="E75" i="31"/>
  <c r="F75" i="31" s="1"/>
  <c r="E74" i="31"/>
  <c r="F74" i="31" s="1"/>
  <c r="E73" i="31"/>
  <c r="F73" i="31" s="1"/>
  <c r="E72" i="31"/>
  <c r="F72" i="31" s="1"/>
  <c r="E71" i="31"/>
  <c r="F71" i="31" s="1"/>
  <c r="E70" i="31"/>
  <c r="F70" i="31" s="1"/>
  <c r="E69" i="31"/>
  <c r="F69" i="31" s="1"/>
  <c r="E68" i="31"/>
  <c r="F68" i="31" s="1"/>
  <c r="E67" i="31"/>
  <c r="F67" i="31" s="1"/>
  <c r="E66" i="31"/>
  <c r="F66" i="31" s="1"/>
  <c r="E65" i="31"/>
  <c r="F65" i="31" s="1"/>
  <c r="E64" i="31"/>
  <c r="F64" i="31" s="1"/>
  <c r="E63" i="31"/>
  <c r="F63" i="31" s="1"/>
  <c r="E62" i="31"/>
  <c r="F62" i="31" s="1"/>
  <c r="E61" i="31"/>
  <c r="F61" i="31" s="1"/>
  <c r="E60" i="31"/>
  <c r="F60" i="31" s="1"/>
  <c r="E59" i="31"/>
  <c r="F59" i="31" s="1"/>
  <c r="E58" i="31"/>
  <c r="F58" i="31" s="1"/>
  <c r="E57" i="31"/>
  <c r="F57" i="31" s="1"/>
  <c r="E56" i="31"/>
  <c r="F56" i="31" s="1"/>
  <c r="E55" i="31"/>
  <c r="F55" i="31" s="1"/>
  <c r="E54" i="31"/>
  <c r="F54" i="31" s="1"/>
  <c r="E53" i="31"/>
  <c r="F53" i="31" s="1"/>
  <c r="E52" i="31"/>
  <c r="F52" i="31" s="1"/>
  <c r="E51" i="31"/>
  <c r="F51" i="31" s="1"/>
  <c r="E50" i="31"/>
  <c r="F50" i="31" s="1"/>
  <c r="E49" i="31"/>
  <c r="F49" i="31" s="1"/>
  <c r="E48" i="31"/>
  <c r="F48" i="31" s="1"/>
  <c r="E46" i="31"/>
  <c r="F46" i="31" s="1"/>
  <c r="E45" i="31"/>
  <c r="F45" i="31" s="1"/>
  <c r="E44" i="31"/>
  <c r="F44" i="31" s="1"/>
  <c r="E43" i="31"/>
  <c r="F43" i="31" s="1"/>
  <c r="E42" i="31"/>
  <c r="F42" i="31" s="1"/>
  <c r="E41" i="31"/>
  <c r="F41" i="31" s="1"/>
  <c r="E40" i="31"/>
  <c r="F40" i="31" s="1"/>
  <c r="E39" i="31"/>
  <c r="F39" i="31" s="1"/>
  <c r="E38" i="31"/>
  <c r="F38" i="31" s="1"/>
  <c r="E37" i="31"/>
  <c r="F37" i="31" s="1"/>
  <c r="E36" i="31"/>
  <c r="F36" i="31" s="1"/>
  <c r="E35" i="31"/>
  <c r="F35" i="31" s="1"/>
  <c r="E34" i="31"/>
  <c r="F34" i="31" s="1"/>
  <c r="E33" i="31"/>
  <c r="F33" i="31" s="1"/>
  <c r="E32" i="31"/>
  <c r="F32" i="31" s="1"/>
  <c r="E31" i="31"/>
  <c r="F31" i="31" s="1"/>
  <c r="E29" i="31"/>
  <c r="F29" i="31" s="1"/>
  <c r="E28" i="31"/>
  <c r="F28" i="31" s="1"/>
  <c r="E27" i="31"/>
  <c r="F27" i="31" s="1"/>
  <c r="E26" i="31"/>
  <c r="F26" i="31" s="1"/>
  <c r="E25" i="31"/>
  <c r="F25" i="31" s="1"/>
  <c r="E24" i="31"/>
  <c r="F24" i="31" s="1"/>
  <c r="E23" i="31"/>
  <c r="F23" i="31" s="1"/>
  <c r="E22" i="31"/>
  <c r="F22" i="31" s="1"/>
  <c r="E21" i="31"/>
  <c r="F21" i="31" s="1"/>
  <c r="E20" i="31"/>
  <c r="F20" i="31" s="1"/>
  <c r="E19" i="31"/>
  <c r="F19" i="31" s="1"/>
  <c r="E18" i="31"/>
  <c r="F18" i="31" s="1"/>
  <c r="E16" i="31"/>
  <c r="F16" i="31" s="1"/>
  <c r="E15" i="31"/>
  <c r="F15" i="31" s="1"/>
  <c r="E14" i="31"/>
  <c r="F14" i="31" s="1"/>
  <c r="E12" i="31"/>
  <c r="F12" i="31" s="1"/>
  <c r="E11" i="31"/>
  <c r="F11" i="31" s="1"/>
  <c r="E10" i="31"/>
  <c r="F10" i="31" s="1"/>
  <c r="E9" i="31"/>
  <c r="F9" i="31" s="1"/>
  <c r="E8" i="31"/>
  <c r="F8" i="31" s="1"/>
  <c r="E7" i="31"/>
  <c r="F7" i="31" s="1"/>
  <c r="F6" i="31"/>
  <c r="E4" i="31"/>
  <c r="F4" i="31" s="1"/>
  <c r="E3" i="31"/>
  <c r="F3" i="31" s="1"/>
  <c r="H2" i="31"/>
  <c r="E127" i="31"/>
  <c r="F127" i="31" s="1"/>
  <c r="E125" i="31"/>
  <c r="F125" i="31" s="1"/>
  <c r="E123" i="31"/>
  <c r="F123" i="31" s="1"/>
  <c r="E118" i="31"/>
  <c r="F118" i="31" s="1"/>
  <c r="E116" i="31"/>
  <c r="F116" i="31" s="1"/>
  <c r="E110" i="31"/>
  <c r="F110" i="31" s="1"/>
  <c r="E104" i="31"/>
  <c r="F104" i="31" s="1"/>
  <c r="E98" i="31"/>
  <c r="F98" i="31" s="1"/>
  <c r="E95" i="31"/>
  <c r="F95" i="31" s="1"/>
  <c r="E92" i="31"/>
  <c r="F92" i="31" s="1"/>
  <c r="E91" i="31"/>
  <c r="F91" i="31" s="1"/>
  <c r="E5" i="31"/>
  <c r="F5" i="31" s="1"/>
  <c r="E2" i="31"/>
  <c r="E132" i="31"/>
  <c r="F132" i="31" s="1"/>
  <c r="E131" i="31"/>
  <c r="F131" i="31" s="1"/>
  <c r="E130" i="31"/>
  <c r="F130" i="31" s="1"/>
  <c r="E129" i="31"/>
  <c r="F129" i="31" s="1"/>
  <c r="E128" i="31"/>
  <c r="F128" i="31" s="1"/>
  <c r="E124" i="31"/>
  <c r="F124" i="31" s="1"/>
  <c r="E122" i="31"/>
  <c r="F122" i="31" s="1"/>
  <c r="E121" i="31"/>
  <c r="F121" i="31" s="1"/>
  <c r="E120" i="31"/>
  <c r="F120" i="31" s="1"/>
  <c r="E119" i="31"/>
  <c r="F119" i="31" s="1"/>
  <c r="E115" i="31"/>
  <c r="F115" i="31" s="1"/>
  <c r="E113" i="31"/>
  <c r="F113" i="31" s="1"/>
  <c r="E112" i="31"/>
  <c r="F112" i="31" s="1"/>
  <c r="E111" i="31"/>
  <c r="F111" i="31" s="1"/>
  <c r="E107" i="31"/>
  <c r="F107" i="31" s="1"/>
  <c r="E106" i="31"/>
  <c r="F106" i="31" s="1"/>
  <c r="E105" i="31"/>
  <c r="F105" i="31" s="1"/>
  <c r="E99" i="31"/>
  <c r="F99" i="31" s="1"/>
  <c r="E96" i="31"/>
  <c r="F96" i="31" s="1"/>
  <c r="E99" i="29"/>
  <c r="E87" i="29"/>
  <c r="E102" i="29"/>
  <c r="F102" i="29" s="1"/>
  <c r="F99" i="29"/>
  <c r="E89" i="29"/>
  <c r="F89" i="29" s="1"/>
  <c r="F87" i="29"/>
  <c r="F17" i="26"/>
  <c r="F26" i="26"/>
  <c r="E89" i="26"/>
  <c r="F89" i="26" s="1"/>
  <c r="F31" i="26"/>
  <c r="E13" i="26"/>
  <c r="F13" i="26" s="1"/>
  <c r="E99" i="30"/>
  <c r="E110" i="29"/>
  <c r="E7" i="29"/>
  <c r="E105" i="29"/>
  <c r="E98" i="30"/>
  <c r="F98" i="30" s="1"/>
  <c r="E97" i="30"/>
  <c r="F97" i="30" s="1"/>
  <c r="E96" i="30"/>
  <c r="F96" i="30" s="1"/>
  <c r="E95" i="30"/>
  <c r="F95" i="30" s="1"/>
  <c r="E94" i="30"/>
  <c r="F94" i="30" s="1"/>
  <c r="E93" i="30"/>
  <c r="F93" i="30" s="1"/>
  <c r="E92" i="30"/>
  <c r="F92" i="30" s="1"/>
  <c r="E91" i="30"/>
  <c r="F91" i="30" s="1"/>
  <c r="E90" i="30"/>
  <c r="F90" i="30" s="1"/>
  <c r="E89" i="30"/>
  <c r="F89" i="30" s="1"/>
  <c r="E88" i="30"/>
  <c r="F88" i="30" s="1"/>
  <c r="E87" i="30"/>
  <c r="F87" i="30" s="1"/>
  <c r="E86" i="30"/>
  <c r="F86" i="30" s="1"/>
  <c r="E85" i="30"/>
  <c r="F85" i="30" s="1"/>
  <c r="E84" i="30"/>
  <c r="F84" i="30" s="1"/>
  <c r="E83" i="30"/>
  <c r="F83" i="30" s="1"/>
  <c r="E82" i="30"/>
  <c r="F82" i="30" s="1"/>
  <c r="E81" i="30"/>
  <c r="F81" i="30" s="1"/>
  <c r="E80" i="30"/>
  <c r="F80" i="30" s="1"/>
  <c r="E79" i="30"/>
  <c r="F79" i="30" s="1"/>
  <c r="E78" i="30"/>
  <c r="F78" i="30" s="1"/>
  <c r="E77" i="30"/>
  <c r="F77" i="30" s="1"/>
  <c r="E76" i="30"/>
  <c r="F76" i="30" s="1"/>
  <c r="E75" i="30"/>
  <c r="F75" i="30" s="1"/>
  <c r="E74" i="30"/>
  <c r="F74" i="30" s="1"/>
  <c r="E73" i="30"/>
  <c r="F73" i="30" s="1"/>
  <c r="E72" i="30"/>
  <c r="F72" i="30" s="1"/>
  <c r="E71" i="30"/>
  <c r="F71" i="30" s="1"/>
  <c r="E70" i="30"/>
  <c r="F70" i="30" s="1"/>
  <c r="E69" i="30"/>
  <c r="F69" i="30" s="1"/>
  <c r="E68" i="30"/>
  <c r="F68" i="30" s="1"/>
  <c r="E67" i="30"/>
  <c r="F67" i="30" s="1"/>
  <c r="E66" i="30"/>
  <c r="F66" i="30" s="1"/>
  <c r="E65" i="30"/>
  <c r="F65" i="30" s="1"/>
  <c r="E64" i="30"/>
  <c r="F64" i="30" s="1"/>
  <c r="E63" i="30"/>
  <c r="F63" i="30" s="1"/>
  <c r="E62" i="30"/>
  <c r="F62" i="30" s="1"/>
  <c r="E61" i="30"/>
  <c r="F61" i="30" s="1"/>
  <c r="E17" i="30"/>
  <c r="F17" i="30" s="1"/>
  <c r="E16" i="30"/>
  <c r="F16" i="30" s="1"/>
  <c r="E15" i="30"/>
  <c r="F15" i="30" s="1"/>
  <c r="E60" i="30"/>
  <c r="F60" i="30" s="1"/>
  <c r="E59" i="30"/>
  <c r="F59" i="30" s="1"/>
  <c r="E58" i="30"/>
  <c r="F58" i="30" s="1"/>
  <c r="E57" i="30"/>
  <c r="F57" i="30" s="1"/>
  <c r="E56" i="30"/>
  <c r="F56" i="30" s="1"/>
  <c r="E55" i="30"/>
  <c r="F55" i="30" s="1"/>
  <c r="E54" i="30"/>
  <c r="F54" i="30" s="1"/>
  <c r="E53" i="30"/>
  <c r="F53" i="30" s="1"/>
  <c r="E52" i="30"/>
  <c r="F52" i="30" s="1"/>
  <c r="E51" i="30"/>
  <c r="F51" i="30" s="1"/>
  <c r="E50" i="30"/>
  <c r="F50" i="30" s="1"/>
  <c r="E49" i="30"/>
  <c r="F49" i="30" s="1"/>
  <c r="E48" i="30"/>
  <c r="F48" i="30" s="1"/>
  <c r="E47" i="30"/>
  <c r="F47" i="30" s="1"/>
  <c r="E46" i="30"/>
  <c r="F46" i="30" s="1"/>
  <c r="E45" i="30"/>
  <c r="F45" i="30" s="1"/>
  <c r="E44" i="30"/>
  <c r="F44" i="30" s="1"/>
  <c r="E43" i="30"/>
  <c r="F43" i="30" s="1"/>
  <c r="E42" i="30"/>
  <c r="F42" i="30" s="1"/>
  <c r="E41" i="30"/>
  <c r="F41" i="30" s="1"/>
  <c r="E40" i="30"/>
  <c r="F40" i="30" s="1"/>
  <c r="E39" i="30"/>
  <c r="F39" i="30" s="1"/>
  <c r="E38" i="30"/>
  <c r="F38" i="30" s="1"/>
  <c r="E37" i="30"/>
  <c r="F37" i="30" s="1"/>
  <c r="E36" i="30"/>
  <c r="F36" i="30" s="1"/>
  <c r="E35" i="30"/>
  <c r="F35" i="30" s="1"/>
  <c r="E34" i="30"/>
  <c r="F34" i="30" s="1"/>
  <c r="E33" i="30"/>
  <c r="F33" i="30" s="1"/>
  <c r="E32" i="30"/>
  <c r="F32" i="30" s="1"/>
  <c r="E31" i="30"/>
  <c r="F31" i="30" s="1"/>
  <c r="E30" i="30"/>
  <c r="F30" i="30" s="1"/>
  <c r="E29" i="30"/>
  <c r="F29" i="30" s="1"/>
  <c r="E28" i="30"/>
  <c r="F28" i="30" s="1"/>
  <c r="E27" i="30"/>
  <c r="F27" i="30" s="1"/>
  <c r="E26" i="30"/>
  <c r="F26" i="30" s="1"/>
  <c r="E25" i="30"/>
  <c r="F25" i="30" s="1"/>
  <c r="E24" i="30"/>
  <c r="F24" i="30" s="1"/>
  <c r="E23" i="30"/>
  <c r="F23" i="30" s="1"/>
  <c r="E22" i="30"/>
  <c r="F22" i="30" s="1"/>
  <c r="E21" i="30"/>
  <c r="F21" i="30" s="1"/>
  <c r="E20" i="30"/>
  <c r="F20" i="30" s="1"/>
  <c r="E19" i="30"/>
  <c r="F19" i="30" s="1"/>
  <c r="E18" i="30"/>
  <c r="F18" i="30" s="1"/>
  <c r="E4" i="30"/>
  <c r="F4" i="30" s="1"/>
  <c r="H2" i="30"/>
  <c r="E135" i="30"/>
  <c r="F135" i="30" s="1"/>
  <c r="E134" i="30"/>
  <c r="F134" i="30" s="1"/>
  <c r="E133" i="30"/>
  <c r="F133" i="30" s="1"/>
  <c r="E126" i="30"/>
  <c r="F126" i="30" s="1"/>
  <c r="E125" i="30"/>
  <c r="F125" i="30" s="1"/>
  <c r="E124" i="30"/>
  <c r="F124" i="30" s="1"/>
  <c r="E122" i="30"/>
  <c r="F122" i="30" s="1"/>
  <c r="E121" i="30"/>
  <c r="F121" i="30" s="1"/>
  <c r="E120" i="30"/>
  <c r="F120" i="30" s="1"/>
  <c r="E117" i="30"/>
  <c r="F117" i="30" s="1"/>
  <c r="E116" i="30"/>
  <c r="F116" i="30" s="1"/>
  <c r="E115" i="30"/>
  <c r="F115" i="30" s="1"/>
  <c r="E112" i="30"/>
  <c r="F112" i="30" s="1"/>
  <c r="E111" i="30"/>
  <c r="F111" i="30" s="1"/>
  <c r="E110" i="30"/>
  <c r="F110" i="30" s="1"/>
  <c r="E109" i="30"/>
  <c r="F109" i="30" s="1"/>
  <c r="E108" i="30"/>
  <c r="F108" i="30" s="1"/>
  <c r="E107" i="30"/>
  <c r="F107" i="30" s="1"/>
  <c r="E105" i="30"/>
  <c r="F105" i="30" s="1"/>
  <c r="E102" i="30"/>
  <c r="F102" i="30" s="1"/>
  <c r="E101" i="30"/>
  <c r="F101" i="30" s="1"/>
  <c r="E100" i="30"/>
  <c r="F100" i="30" s="1"/>
  <c r="E10" i="30"/>
  <c r="F10" i="30" s="1"/>
  <c r="E9" i="30"/>
  <c r="F9" i="30" s="1"/>
  <c r="E5" i="30"/>
  <c r="F5" i="30" s="1"/>
  <c r="D136" i="30"/>
  <c r="E131" i="30"/>
  <c r="F131" i="30" s="1"/>
  <c r="E130" i="30"/>
  <c r="F130" i="30" s="1"/>
  <c r="E114" i="30"/>
  <c r="F114" i="30" s="1"/>
  <c r="E113" i="30"/>
  <c r="F113" i="30" s="1"/>
  <c r="E104" i="30"/>
  <c r="F104" i="30" s="1"/>
  <c r="E103" i="30"/>
  <c r="F103" i="30" s="1"/>
  <c r="E2" i="30"/>
  <c r="E132" i="30"/>
  <c r="F132" i="30" s="1"/>
  <c r="E129" i="30"/>
  <c r="F129" i="30" s="1"/>
  <c r="E128" i="30"/>
  <c r="F128" i="30" s="1"/>
  <c r="E127" i="30"/>
  <c r="F127" i="30" s="1"/>
  <c r="E123" i="30"/>
  <c r="F123" i="30" s="1"/>
  <c r="E119" i="30"/>
  <c r="F119" i="30" s="1"/>
  <c r="E118" i="30"/>
  <c r="F118" i="30" s="1"/>
  <c r="E106" i="30"/>
  <c r="F106" i="30" s="1"/>
  <c r="F99" i="30"/>
  <c r="E14" i="30"/>
  <c r="F14" i="30" s="1"/>
  <c r="E12" i="30"/>
  <c r="F12" i="30" s="1"/>
  <c r="E11" i="30"/>
  <c r="F11" i="30" s="1"/>
  <c r="E8" i="30"/>
  <c r="F8" i="30" s="1"/>
  <c r="E7" i="30"/>
  <c r="F7" i="30" s="1"/>
  <c r="E6" i="30"/>
  <c r="F6" i="30" s="1"/>
  <c r="E3" i="30"/>
  <c r="F3" i="30" s="1"/>
  <c r="E129" i="29"/>
  <c r="F129" i="29" s="1"/>
  <c r="E128" i="29"/>
  <c r="F128" i="29" s="1"/>
  <c r="E127" i="29"/>
  <c r="F127" i="29" s="1"/>
  <c r="E126" i="29"/>
  <c r="F126" i="29" s="1"/>
  <c r="E125" i="29"/>
  <c r="F125" i="29" s="1"/>
  <c r="E124" i="29"/>
  <c r="F124" i="29" s="1"/>
  <c r="E123" i="29"/>
  <c r="F123" i="29" s="1"/>
  <c r="E120" i="29"/>
  <c r="F120" i="29" s="1"/>
  <c r="E115" i="29"/>
  <c r="F115" i="29" s="1"/>
  <c r="E114" i="29"/>
  <c r="F114" i="29" s="1"/>
  <c r="E106" i="29"/>
  <c r="F106" i="29" s="1"/>
  <c r="E104" i="29"/>
  <c r="F104" i="29" s="1"/>
  <c r="E103" i="29"/>
  <c r="F103" i="29" s="1"/>
  <c r="E83" i="29"/>
  <c r="F83" i="29" s="1"/>
  <c r="E82" i="29"/>
  <c r="F82" i="29" s="1"/>
  <c r="E80" i="29"/>
  <c r="F80" i="29" s="1"/>
  <c r="E77" i="29"/>
  <c r="F77" i="29" s="1"/>
  <c r="E75" i="29"/>
  <c r="F75" i="29" s="1"/>
  <c r="E74" i="29"/>
  <c r="F74" i="29" s="1"/>
  <c r="E73" i="29"/>
  <c r="F73" i="29" s="1"/>
  <c r="E71" i="29"/>
  <c r="F71" i="29" s="1"/>
  <c r="E70" i="29"/>
  <c r="F70" i="29" s="1"/>
  <c r="E69" i="29"/>
  <c r="F69" i="29" s="1"/>
  <c r="E68" i="29"/>
  <c r="F68" i="29" s="1"/>
  <c r="E67" i="29"/>
  <c r="F67" i="29" s="1"/>
  <c r="E66" i="29"/>
  <c r="F66" i="29" s="1"/>
  <c r="E65" i="29"/>
  <c r="F65" i="29" s="1"/>
  <c r="E64" i="29"/>
  <c r="F64" i="29" s="1"/>
  <c r="E63" i="29"/>
  <c r="F63" i="29" s="1"/>
  <c r="E62" i="29"/>
  <c r="F62" i="29" s="1"/>
  <c r="E61" i="29"/>
  <c r="F61" i="29" s="1"/>
  <c r="E60" i="29"/>
  <c r="F60" i="29" s="1"/>
  <c r="E59" i="29"/>
  <c r="F59" i="29" s="1"/>
  <c r="E58" i="29"/>
  <c r="F58" i="29" s="1"/>
  <c r="E57" i="29"/>
  <c r="F57" i="29" s="1"/>
  <c r="E56" i="29"/>
  <c r="F56" i="29" s="1"/>
  <c r="E55" i="29"/>
  <c r="F55" i="29" s="1"/>
  <c r="E54" i="29"/>
  <c r="F54" i="29" s="1"/>
  <c r="E53" i="29"/>
  <c r="F53" i="29" s="1"/>
  <c r="E52" i="29"/>
  <c r="F52" i="29" s="1"/>
  <c r="E51" i="29"/>
  <c r="F51" i="29" s="1"/>
  <c r="E50" i="29"/>
  <c r="F50" i="29" s="1"/>
  <c r="E49" i="29"/>
  <c r="F49" i="29" s="1"/>
  <c r="E48" i="29"/>
  <c r="F48" i="29" s="1"/>
  <c r="E47" i="29"/>
  <c r="F47" i="29" s="1"/>
  <c r="E46" i="29"/>
  <c r="F46" i="29" s="1"/>
  <c r="E45" i="29"/>
  <c r="F45" i="29" s="1"/>
  <c r="E44" i="29"/>
  <c r="F44" i="29" s="1"/>
  <c r="E43" i="29"/>
  <c r="F43" i="29" s="1"/>
  <c r="E42" i="29"/>
  <c r="F42" i="29" s="1"/>
  <c r="E41" i="29"/>
  <c r="F41" i="29" s="1"/>
  <c r="E40" i="29"/>
  <c r="F40" i="29" s="1"/>
  <c r="E39" i="29"/>
  <c r="F39" i="29" s="1"/>
  <c r="E132" i="29"/>
  <c r="F132" i="29" s="1"/>
  <c r="E130" i="29"/>
  <c r="F130" i="29" s="1"/>
  <c r="E121" i="29"/>
  <c r="F121" i="29" s="1"/>
  <c r="E116" i="29"/>
  <c r="F116" i="29" s="1"/>
  <c r="E94" i="29"/>
  <c r="F94" i="29" s="1"/>
  <c r="E92" i="29"/>
  <c r="F92" i="29" s="1"/>
  <c r="E91" i="29"/>
  <c r="F91" i="29" s="1"/>
  <c r="E90" i="29"/>
  <c r="F90" i="29" s="1"/>
  <c r="E88" i="29"/>
  <c r="F88" i="29" s="1"/>
  <c r="E72" i="29"/>
  <c r="F72" i="29" s="1"/>
  <c r="E38" i="29"/>
  <c r="F38" i="29" s="1"/>
  <c r="E37" i="29"/>
  <c r="F37" i="29" s="1"/>
  <c r="E36" i="29"/>
  <c r="F36" i="29" s="1"/>
  <c r="E35" i="29"/>
  <c r="F35" i="29" s="1"/>
  <c r="E34" i="29"/>
  <c r="F34" i="29" s="1"/>
  <c r="E33" i="29"/>
  <c r="F33" i="29" s="1"/>
  <c r="E32" i="29"/>
  <c r="F32" i="29" s="1"/>
  <c r="E31" i="29"/>
  <c r="F31" i="29" s="1"/>
  <c r="E29" i="29"/>
  <c r="F29" i="29" s="1"/>
  <c r="E28" i="29"/>
  <c r="F28" i="29" s="1"/>
  <c r="E27" i="29"/>
  <c r="F27" i="29" s="1"/>
  <c r="E26" i="29"/>
  <c r="F26" i="29" s="1"/>
  <c r="E24" i="29"/>
  <c r="F24" i="29" s="1"/>
  <c r="E23" i="29"/>
  <c r="F23" i="29" s="1"/>
  <c r="E22" i="29"/>
  <c r="F22" i="29" s="1"/>
  <c r="E21" i="29"/>
  <c r="F21" i="29" s="1"/>
  <c r="E20" i="29"/>
  <c r="F20" i="29" s="1"/>
  <c r="E19" i="29"/>
  <c r="F19" i="29" s="1"/>
  <c r="E18" i="29"/>
  <c r="F18" i="29" s="1"/>
  <c r="E17" i="29"/>
  <c r="F17" i="29" s="1"/>
  <c r="E16" i="29"/>
  <c r="F16" i="29" s="1"/>
  <c r="E15" i="29"/>
  <c r="F15" i="29" s="1"/>
  <c r="E14" i="29"/>
  <c r="F14" i="29" s="1"/>
  <c r="E12" i="29"/>
  <c r="F12" i="29" s="1"/>
  <c r="E11" i="29"/>
  <c r="F11" i="29" s="1"/>
  <c r="E10" i="29"/>
  <c r="F10" i="29" s="1"/>
  <c r="E9" i="29"/>
  <c r="F9" i="29" s="1"/>
  <c r="E8" i="29"/>
  <c r="F8" i="29" s="1"/>
  <c r="E122" i="29"/>
  <c r="F122" i="29" s="1"/>
  <c r="E117" i="29"/>
  <c r="F117" i="29" s="1"/>
  <c r="E111" i="29"/>
  <c r="F111" i="29" s="1"/>
  <c r="E98" i="29"/>
  <c r="F98" i="29" s="1"/>
  <c r="E97" i="29"/>
  <c r="F97" i="29" s="1"/>
  <c r="E95" i="29"/>
  <c r="F95" i="29" s="1"/>
  <c r="E93" i="29"/>
  <c r="F93" i="29" s="1"/>
  <c r="E6" i="29"/>
  <c r="F6" i="29" s="1"/>
  <c r="E5" i="29"/>
  <c r="F5" i="29" s="1"/>
  <c r="E4" i="29"/>
  <c r="F4" i="29" s="1"/>
  <c r="E3" i="29"/>
  <c r="F3" i="29" s="1"/>
  <c r="E135" i="29"/>
  <c r="F135" i="29" s="1"/>
  <c r="E134" i="29"/>
  <c r="F134" i="29" s="1"/>
  <c r="E133" i="29"/>
  <c r="F133" i="29" s="1"/>
  <c r="E131" i="29"/>
  <c r="F131" i="29" s="1"/>
  <c r="E119" i="29"/>
  <c r="F119" i="29" s="1"/>
  <c r="E118" i="29"/>
  <c r="F118" i="29" s="1"/>
  <c r="E113" i="29"/>
  <c r="F113" i="29" s="1"/>
  <c r="E112" i="29"/>
  <c r="F112" i="29" s="1"/>
  <c r="E109" i="29"/>
  <c r="F109" i="29" s="1"/>
  <c r="E108" i="29"/>
  <c r="F108" i="29" s="1"/>
  <c r="E107" i="29"/>
  <c r="F107" i="29" s="1"/>
  <c r="E101" i="29"/>
  <c r="F101" i="29" s="1"/>
  <c r="E100" i="29"/>
  <c r="F100" i="29" s="1"/>
  <c r="E96" i="29"/>
  <c r="F96" i="29" s="1"/>
  <c r="E86" i="29"/>
  <c r="F86" i="29" s="1"/>
  <c r="E85" i="29"/>
  <c r="F85" i="29" s="1"/>
  <c r="E84" i="29"/>
  <c r="F84" i="29" s="1"/>
  <c r="E81" i="29"/>
  <c r="F81" i="29" s="1"/>
  <c r="E79" i="29"/>
  <c r="F79" i="29" s="1"/>
  <c r="E78" i="29"/>
  <c r="F78" i="29" s="1"/>
  <c r="E76" i="29"/>
  <c r="F76" i="29" s="1"/>
  <c r="E15" i="26"/>
  <c r="F15" i="26" s="1"/>
  <c r="E16" i="26"/>
  <c r="F16" i="26" s="1"/>
  <c r="E18" i="26"/>
  <c r="F18" i="26" s="1"/>
  <c r="E19" i="26"/>
  <c r="F19" i="26" s="1"/>
  <c r="E20" i="26"/>
  <c r="F20" i="26" s="1"/>
  <c r="E22" i="26"/>
  <c r="F22" i="26" s="1"/>
  <c r="E23" i="26"/>
  <c r="F23" i="26" s="1"/>
  <c r="E24" i="26"/>
  <c r="F24" i="26" s="1"/>
  <c r="E25" i="26"/>
  <c r="F25" i="26" s="1"/>
  <c r="E27" i="26"/>
  <c r="F27" i="26" s="1"/>
  <c r="E28" i="26"/>
  <c r="F28" i="26" s="1"/>
  <c r="E29" i="26"/>
  <c r="F29" i="26" s="1"/>
  <c r="E30" i="26"/>
  <c r="F30" i="26" s="1"/>
  <c r="D137" i="26"/>
  <c r="E2" i="26"/>
  <c r="F13" i="31" l="1"/>
  <c r="F47" i="31"/>
  <c r="E135" i="31"/>
  <c r="F2" i="31"/>
  <c r="F135" i="31" s="1"/>
  <c r="E137" i="26"/>
  <c r="F110" i="29"/>
  <c r="F7" i="29"/>
  <c r="F105" i="29"/>
  <c r="F2" i="30"/>
  <c r="F136" i="30" s="1"/>
  <c r="E136" i="30"/>
  <c r="F2" i="26"/>
  <c r="F137" i="26" s="1"/>
  <c r="B138" i="29" l="1"/>
  <c r="G2" i="29"/>
  <c r="B137" i="29"/>
  <c r="D2" i="29"/>
  <c r="E2" i="29" l="1"/>
  <c r="E136" i="29" s="1"/>
  <c r="D136" i="29"/>
  <c r="H2" i="29"/>
  <c r="F2" i="29" l="1"/>
  <c r="F136" i="29" s="1"/>
</calcChain>
</file>

<file path=xl/sharedStrings.xml><?xml version="1.0" encoding="utf-8"?>
<sst xmlns="http://schemas.openxmlformats.org/spreadsheetml/2006/main" count="573" uniqueCount="154">
  <si>
    <t>Bias</t>
  </si>
  <si>
    <t>MAE</t>
  </si>
  <si>
    <t>RMSE</t>
  </si>
  <si>
    <t>R</t>
  </si>
  <si>
    <t>R2</t>
  </si>
  <si>
    <t>Perfect line</t>
  </si>
  <si>
    <t>Name</t>
  </si>
  <si>
    <t>M4_L8_D1</t>
  </si>
  <si>
    <t>M4_L9_D1</t>
  </si>
  <si>
    <t>M4_L10_D1</t>
  </si>
  <si>
    <t>M4_L11_D1</t>
  </si>
  <si>
    <t>M4_L12_D1</t>
  </si>
  <si>
    <t>M4_L13_D1</t>
  </si>
  <si>
    <t>M4_L14_D1</t>
  </si>
  <si>
    <t>M4_L16_D1</t>
  </si>
  <si>
    <t>M4_L23_D1</t>
  </si>
  <si>
    <t>M4_L24_D1</t>
  </si>
  <si>
    <t>M4_L25_D1</t>
  </si>
  <si>
    <t>M4_L26_D1</t>
  </si>
  <si>
    <t>M4_L27_D1</t>
  </si>
  <si>
    <t>M4_L28_D1</t>
  </si>
  <si>
    <t>M4_L29_D1</t>
  </si>
  <si>
    <t>M4_L30_D1</t>
  </si>
  <si>
    <t>M4_L31_D1</t>
  </si>
  <si>
    <t>M4_L32_D1</t>
  </si>
  <si>
    <t>M4_L35_D1</t>
  </si>
  <si>
    <t>M4_L36_D1</t>
  </si>
  <si>
    <t>M4_L37_D1</t>
  </si>
  <si>
    <t>M4_L38_D1</t>
  </si>
  <si>
    <t>M4_L40_D1</t>
  </si>
  <si>
    <t>M4_L41_D1</t>
  </si>
  <si>
    <t>M4_L42_D1</t>
  </si>
  <si>
    <t>M4_L46_D1</t>
  </si>
  <si>
    <t>M4_L47_D1</t>
  </si>
  <si>
    <t>M4_L48_D1</t>
  </si>
  <si>
    <t>M4_L49_D1</t>
  </si>
  <si>
    <t>M4_L50_D1</t>
  </si>
  <si>
    <t>M4_L51_D1</t>
  </si>
  <si>
    <t>M4_L52_D1</t>
  </si>
  <si>
    <t>M4_L53_D1</t>
  </si>
  <si>
    <t>M4_L54_D1</t>
  </si>
  <si>
    <t>M4_L55_D1</t>
  </si>
  <si>
    <t>M4_L56_D1</t>
  </si>
  <si>
    <t>M4_L57_D1</t>
  </si>
  <si>
    <t>M4_L58_D1</t>
  </si>
  <si>
    <t>M4_L59_D1</t>
  </si>
  <si>
    <t>M4_L60_D1</t>
  </si>
  <si>
    <t>M4_L61_D1</t>
  </si>
  <si>
    <t>M4_L62_D1</t>
  </si>
  <si>
    <t>M4_L63_D1</t>
  </si>
  <si>
    <t>M4_L64_D1</t>
  </si>
  <si>
    <t>M4_L65_D1</t>
  </si>
  <si>
    <t>M4_L66_D1</t>
  </si>
  <si>
    <t>M4_L67_D1</t>
  </si>
  <si>
    <t>M4_L70_D1</t>
  </si>
  <si>
    <t>M4_L71_D1</t>
  </si>
  <si>
    <t>M4_L72_D1</t>
  </si>
  <si>
    <t>M4_L73_D1</t>
  </si>
  <si>
    <t>M4_L74_D1</t>
  </si>
  <si>
    <t>M4_L78_D1</t>
  </si>
  <si>
    <t>M4_L79_D1</t>
  </si>
  <si>
    <t>M4_L80_D1</t>
  </si>
  <si>
    <t>M4_L81_D1</t>
  </si>
  <si>
    <t>M4_L82_D1</t>
  </si>
  <si>
    <t>M4_L83_D1</t>
  </si>
  <si>
    <t>M4_L84_D1</t>
  </si>
  <si>
    <t>M4_L85_D1</t>
  </si>
  <si>
    <t>M4_L86_D1</t>
  </si>
  <si>
    <t>M4_L92_D1</t>
  </si>
  <si>
    <t>M4_L93_D1</t>
  </si>
  <si>
    <t>M4_L94_D1</t>
  </si>
  <si>
    <t>M4_L95_D1</t>
  </si>
  <si>
    <t>M4_L96_D1</t>
  </si>
  <si>
    <t>M4_L97_D1</t>
  </si>
  <si>
    <t>M4_L98_D1</t>
  </si>
  <si>
    <t>M4_L99_D1</t>
  </si>
  <si>
    <t>M4_L100_D1</t>
  </si>
  <si>
    <t>M4_L101_D1</t>
  </si>
  <si>
    <t>M4_L102_D1</t>
  </si>
  <si>
    <t>M4_L103_D1</t>
  </si>
  <si>
    <t>M4_L104_D1</t>
  </si>
  <si>
    <t>M4_L106_D1</t>
  </si>
  <si>
    <t>M4_L108_D1</t>
  </si>
  <si>
    <t>M4_L109_D1</t>
  </si>
  <si>
    <t>M4_L110_D1</t>
  </si>
  <si>
    <t>M4_L113_D1</t>
  </si>
  <si>
    <t>M4_L114_D1</t>
  </si>
  <si>
    <t>M4_L115_D1</t>
  </si>
  <si>
    <t>M4_L116_D1</t>
  </si>
  <si>
    <t>M4_L117_D1</t>
  </si>
  <si>
    <t>M4_L118_D1</t>
  </si>
  <si>
    <t>M4_L119_D1</t>
  </si>
  <si>
    <t>M4_L120_D1</t>
  </si>
  <si>
    <t>M4_L121_D1</t>
  </si>
  <si>
    <t>M4_L122_D1</t>
  </si>
  <si>
    <t>M4_L123_D1</t>
  </si>
  <si>
    <t>M4_L124_D1</t>
  </si>
  <si>
    <t>M4_L125_D1</t>
  </si>
  <si>
    <t>M4_L126_D1</t>
  </si>
  <si>
    <t>M4_L127_D1</t>
  </si>
  <si>
    <t>M4_L128_D1</t>
  </si>
  <si>
    <t>M4_L129_D1</t>
  </si>
  <si>
    <t>M4_L130_D1</t>
  </si>
  <si>
    <t>M4_L131_D1</t>
  </si>
  <si>
    <t>M4_L132_D1</t>
  </si>
  <si>
    <t>M4_L133_D1</t>
  </si>
  <si>
    <t>M4_L134_D1</t>
  </si>
  <si>
    <t>M4_L137_D1</t>
  </si>
  <si>
    <t>M4_L138_D1</t>
  </si>
  <si>
    <t>M4_L139_D1</t>
  </si>
  <si>
    <t>M4_L140_D1</t>
  </si>
  <si>
    <t>M4_L141_D1</t>
  </si>
  <si>
    <t>M4_L142_D1</t>
  </si>
  <si>
    <t>M4_L1_D1</t>
  </si>
  <si>
    <t>M4_L2_D1</t>
  </si>
  <si>
    <t>M4_L3_D1</t>
  </si>
  <si>
    <t>M4_L4_D1</t>
  </si>
  <si>
    <t>M4_L5_D1</t>
  </si>
  <si>
    <t>M4_L7_D1</t>
  </si>
  <si>
    <t>M4_L15_D1</t>
  </si>
  <si>
    <t>M4_L17_D1</t>
  </si>
  <si>
    <t>M4_L18_D1</t>
  </si>
  <si>
    <t>M4_L19_D1</t>
  </si>
  <si>
    <t>M4_L20_D1</t>
  </si>
  <si>
    <t>M4_L21_D1</t>
  </si>
  <si>
    <t>M4_L22_D1</t>
  </si>
  <si>
    <t>M4_L39_D1</t>
  </si>
  <si>
    <t>M4_L43_D1</t>
  </si>
  <si>
    <t>M4_L44_D1</t>
  </si>
  <si>
    <t>M4_L68_D1</t>
  </si>
  <si>
    <t>M4_L69_D1</t>
  </si>
  <si>
    <t>M4_L75_D1</t>
  </si>
  <si>
    <t>M4_L76_D1</t>
  </si>
  <si>
    <t>M4_L77_D1</t>
  </si>
  <si>
    <t>M4_L87_D1</t>
  </si>
  <si>
    <t>M4_L88_D1</t>
  </si>
  <si>
    <t>M4_L89_D1</t>
  </si>
  <si>
    <t>M4_L90_D1</t>
  </si>
  <si>
    <t>M4_L91_D1</t>
  </si>
  <si>
    <t>M4_L111_D1</t>
  </si>
  <si>
    <t>M4_L112_D1</t>
  </si>
  <si>
    <t>M4_L135_D1</t>
  </si>
  <si>
    <t>M4_L136_D1</t>
  </si>
  <si>
    <t>Sterimol_Diazo_carbon_B5</t>
  </si>
  <si>
    <t>perfect line</t>
  </si>
  <si>
    <t>xTB_Diazo_carbon</t>
  </si>
  <si>
    <t>DFT_Diazo_carbon</t>
  </si>
  <si>
    <t xml:space="preserve"> </t>
  </si>
  <si>
    <t>xTB_C_R</t>
  </si>
  <si>
    <t>DFT_C_R</t>
  </si>
  <si>
    <t>DFT_Lng_1</t>
  </si>
  <si>
    <t>xTB_Lng_1</t>
  </si>
  <si>
    <t>xTB_Lng_2</t>
  </si>
  <si>
    <t>DFT_Lng_2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</si>
</sst>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Bond-length</a:t>
            </a:r>
            <a:r>
              <a:rPr lang="en-IN" sz="1600" b="1" baseline="0">
                <a:solidFill>
                  <a:sysClr val="windowText" lastClr="000000"/>
                </a:solidFill>
              </a:rPr>
              <a:t> </a:t>
            </a:r>
            <a:r>
              <a:rPr lang="en-IN" sz="1600" b="1" i="1" baseline="0">
                <a:solidFill>
                  <a:sysClr val="windowText" lastClr="000000"/>
                </a:solidFill>
              </a:rPr>
              <a:t>a</a:t>
            </a:r>
            <a:endParaRPr lang="en-IN" sz="1600" b="1" i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472867067180837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0.1737499999999999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306647853874234"/>
                  <c:y val="-0.1925791046952464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GB" sz="1000" b="1" i="1" u="none" strike="noStrike" baseline="0">
                        <a:effectLst/>
                      </a:rPr>
                      <a:t>a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0.18</a:t>
                    </a:r>
                    <a:r>
                      <a:rPr lang="en-GB" sz="1000" b="1" i="1" u="none" strike="noStrike" baseline="0">
                        <a:effectLst/>
                      </a:rPr>
                      <a:t>a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sz="1000" b="1" baseline="0"/>
                      <a:t> + 1.55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0.18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0.42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0.02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0.03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135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'Bond length a'!$B$2:$B$136</c:f>
              <c:numCache>
                <c:formatCode>General</c:formatCode>
                <c:ptCount val="135"/>
                <c:pt idx="0">
                  <c:v>1.868938663</c:v>
                </c:pt>
                <c:pt idx="1">
                  <c:v>1.870580186</c:v>
                </c:pt>
                <c:pt idx="2">
                  <c:v>1.874077131</c:v>
                </c:pt>
                <c:pt idx="3">
                  <c:v>1.913052972</c:v>
                </c:pt>
                <c:pt idx="4">
                  <c:v>1.8719479320000001</c:v>
                </c:pt>
                <c:pt idx="5">
                  <c:v>1.9088394120000001</c:v>
                </c:pt>
                <c:pt idx="6">
                  <c:v>1.8877101489999999</c:v>
                </c:pt>
                <c:pt idx="7">
                  <c:v>1.890098083</c:v>
                </c:pt>
                <c:pt idx="8">
                  <c:v>1.8868488029999999</c:v>
                </c:pt>
                <c:pt idx="9">
                  <c:v>1.8879240289999999</c:v>
                </c:pt>
                <c:pt idx="10">
                  <c:v>1.8735190070000001</c:v>
                </c:pt>
                <c:pt idx="11">
                  <c:v>2.004081867</c:v>
                </c:pt>
                <c:pt idx="12">
                  <c:v>1.886300547</c:v>
                </c:pt>
                <c:pt idx="13">
                  <c:v>1.88474403</c:v>
                </c:pt>
                <c:pt idx="14">
                  <c:v>1.880413739</c:v>
                </c:pt>
                <c:pt idx="15">
                  <c:v>1.946178497</c:v>
                </c:pt>
                <c:pt idx="16">
                  <c:v>1.8833267010000001</c:v>
                </c:pt>
                <c:pt idx="17">
                  <c:v>1.933695918</c:v>
                </c:pt>
                <c:pt idx="18">
                  <c:v>1.8801162090000001</c:v>
                </c:pt>
                <c:pt idx="19">
                  <c:v>1.8862537770000001</c:v>
                </c:pt>
                <c:pt idx="20">
                  <c:v>1.9048510970000001</c:v>
                </c:pt>
                <c:pt idx="21">
                  <c:v>1.9139473469999999</c:v>
                </c:pt>
                <c:pt idx="22">
                  <c:v>1.8804056149999999</c:v>
                </c:pt>
                <c:pt idx="23">
                  <c:v>1.866979113</c:v>
                </c:pt>
                <c:pt idx="24">
                  <c:v>1.9764687439999999</c:v>
                </c:pt>
                <c:pt idx="25">
                  <c:v>1.857463147</c:v>
                </c:pt>
                <c:pt idx="26">
                  <c:v>1.864512843</c:v>
                </c:pt>
                <c:pt idx="27">
                  <c:v>1.867068138</c:v>
                </c:pt>
                <c:pt idx="28">
                  <c:v>1.8685999069999999</c:v>
                </c:pt>
                <c:pt idx="29">
                  <c:v>1.893333092</c:v>
                </c:pt>
                <c:pt idx="30">
                  <c:v>1.9240053050000001</c:v>
                </c:pt>
                <c:pt idx="31">
                  <c:v>1.8888193129999999</c:v>
                </c:pt>
                <c:pt idx="32">
                  <c:v>1.8899554519999999</c:v>
                </c:pt>
                <c:pt idx="33">
                  <c:v>1.9128028189999999</c:v>
                </c:pt>
                <c:pt idx="34">
                  <c:v>1.9536187279999999</c:v>
                </c:pt>
                <c:pt idx="35">
                  <c:v>1.8756511490000001</c:v>
                </c:pt>
                <c:pt idx="36">
                  <c:v>1.9118702139999999</c:v>
                </c:pt>
                <c:pt idx="37">
                  <c:v>1.906493054</c:v>
                </c:pt>
                <c:pt idx="38">
                  <c:v>1.8832859019999999</c:v>
                </c:pt>
                <c:pt idx="39">
                  <c:v>1.8758591680000001</c:v>
                </c:pt>
                <c:pt idx="40">
                  <c:v>1.8952223290000001</c:v>
                </c:pt>
                <c:pt idx="41">
                  <c:v>1.9045838559999999</c:v>
                </c:pt>
                <c:pt idx="42">
                  <c:v>1.8925460839999999</c:v>
                </c:pt>
                <c:pt idx="43">
                  <c:v>1.8981879070000001</c:v>
                </c:pt>
                <c:pt idx="44">
                  <c:v>1.887368551</c:v>
                </c:pt>
                <c:pt idx="45">
                  <c:v>1.8762075819999999</c:v>
                </c:pt>
                <c:pt idx="46">
                  <c:v>1.863565038</c:v>
                </c:pt>
                <c:pt idx="47">
                  <c:v>1.8750051649999999</c:v>
                </c:pt>
                <c:pt idx="48">
                  <c:v>1.875659062</c:v>
                </c:pt>
                <c:pt idx="49">
                  <c:v>1.875181268</c:v>
                </c:pt>
                <c:pt idx="50">
                  <c:v>1.858011251</c:v>
                </c:pt>
                <c:pt idx="51">
                  <c:v>1.852128438</c:v>
                </c:pt>
                <c:pt idx="52">
                  <c:v>1.860698907</c:v>
                </c:pt>
                <c:pt idx="53">
                  <c:v>1.8933446439999999</c:v>
                </c:pt>
                <c:pt idx="54">
                  <c:v>1.934551763</c:v>
                </c:pt>
                <c:pt idx="55">
                  <c:v>1.8624376</c:v>
                </c:pt>
                <c:pt idx="56">
                  <c:v>1.856414381</c:v>
                </c:pt>
                <c:pt idx="57">
                  <c:v>1.9121718539999999</c:v>
                </c:pt>
                <c:pt idx="58">
                  <c:v>1.915609396</c:v>
                </c:pt>
                <c:pt idx="59">
                  <c:v>1.878382647</c:v>
                </c:pt>
                <c:pt idx="60">
                  <c:v>1.8802089420000001</c:v>
                </c:pt>
                <c:pt idx="61">
                  <c:v>1.8747448579999999</c:v>
                </c:pt>
                <c:pt idx="62">
                  <c:v>1.8689331</c:v>
                </c:pt>
                <c:pt idx="63">
                  <c:v>1.877543862</c:v>
                </c:pt>
                <c:pt idx="64">
                  <c:v>1.90263429</c:v>
                </c:pt>
                <c:pt idx="65">
                  <c:v>1.8950428429999999</c:v>
                </c:pt>
                <c:pt idx="66">
                  <c:v>1.906589632</c:v>
                </c:pt>
                <c:pt idx="67">
                  <c:v>1.889549275</c:v>
                </c:pt>
                <c:pt idx="68">
                  <c:v>1.854335906</c:v>
                </c:pt>
                <c:pt idx="69">
                  <c:v>1.871715311</c:v>
                </c:pt>
                <c:pt idx="70">
                  <c:v>1.8797384239999999</c:v>
                </c:pt>
                <c:pt idx="71">
                  <c:v>1.8588065250000001</c:v>
                </c:pt>
                <c:pt idx="72">
                  <c:v>1.8787603239999999</c:v>
                </c:pt>
                <c:pt idx="73">
                  <c:v>1.897397174</c:v>
                </c:pt>
                <c:pt idx="74">
                  <c:v>1.8844885</c:v>
                </c:pt>
                <c:pt idx="75">
                  <c:v>1.882184114</c:v>
                </c:pt>
                <c:pt idx="76">
                  <c:v>1.876264403</c:v>
                </c:pt>
                <c:pt idx="77">
                  <c:v>1.8990807270000001</c:v>
                </c:pt>
                <c:pt idx="78">
                  <c:v>1.9116916900000001</c:v>
                </c:pt>
                <c:pt idx="79">
                  <c:v>1.902012719</c:v>
                </c:pt>
                <c:pt idx="80">
                  <c:v>1.879307555</c:v>
                </c:pt>
                <c:pt idx="81">
                  <c:v>1.9122856880000001</c:v>
                </c:pt>
                <c:pt idx="82">
                  <c:v>1.9445386149999999</c:v>
                </c:pt>
                <c:pt idx="83">
                  <c:v>1.8804470360000001</c:v>
                </c:pt>
                <c:pt idx="84">
                  <c:v>1.8817018940000001</c:v>
                </c:pt>
                <c:pt idx="85">
                  <c:v>1.896042534</c:v>
                </c:pt>
                <c:pt idx="86">
                  <c:v>1.991142287</c:v>
                </c:pt>
                <c:pt idx="87">
                  <c:v>1.87681806</c:v>
                </c:pt>
                <c:pt idx="88">
                  <c:v>1.987096551</c:v>
                </c:pt>
                <c:pt idx="89">
                  <c:v>1.870893667</c:v>
                </c:pt>
                <c:pt idx="90">
                  <c:v>1.8544843209999999</c:v>
                </c:pt>
                <c:pt idx="91">
                  <c:v>1.8668701080000001</c:v>
                </c:pt>
                <c:pt idx="92">
                  <c:v>1.868741102</c:v>
                </c:pt>
                <c:pt idx="93">
                  <c:v>1.8737164209999999</c:v>
                </c:pt>
                <c:pt idx="94">
                  <c:v>1.8737687160000001</c:v>
                </c:pt>
                <c:pt idx="95">
                  <c:v>1.864309856</c:v>
                </c:pt>
                <c:pt idx="96">
                  <c:v>1.926041946</c:v>
                </c:pt>
                <c:pt idx="97">
                  <c:v>1.9177016659999999</c:v>
                </c:pt>
                <c:pt idx="98">
                  <c:v>1.997796447</c:v>
                </c:pt>
                <c:pt idx="99">
                  <c:v>1.9266714970000001</c:v>
                </c:pt>
                <c:pt idx="100">
                  <c:v>1.933805011</c:v>
                </c:pt>
                <c:pt idx="101">
                  <c:v>1.945486112</c:v>
                </c:pt>
                <c:pt idx="102">
                  <c:v>1.915404356</c:v>
                </c:pt>
                <c:pt idx="103">
                  <c:v>1.884713297</c:v>
                </c:pt>
                <c:pt idx="104">
                  <c:v>1.8740118889999999</c:v>
                </c:pt>
                <c:pt idx="105">
                  <c:v>1.9140265620000001</c:v>
                </c:pt>
                <c:pt idx="106">
                  <c:v>1.901395787</c:v>
                </c:pt>
                <c:pt idx="107">
                  <c:v>1.9137030559999999</c:v>
                </c:pt>
                <c:pt idx="108">
                  <c:v>1.874588143</c:v>
                </c:pt>
                <c:pt idx="109">
                  <c:v>1.9090627579999999</c:v>
                </c:pt>
                <c:pt idx="110">
                  <c:v>1.9042380940000001</c:v>
                </c:pt>
                <c:pt idx="111">
                  <c:v>1.8984833320000001</c:v>
                </c:pt>
                <c:pt idx="112">
                  <c:v>1.871617608</c:v>
                </c:pt>
                <c:pt idx="113">
                  <c:v>1.8644019810000001</c:v>
                </c:pt>
                <c:pt idx="114">
                  <c:v>1.873337338</c:v>
                </c:pt>
                <c:pt idx="115">
                  <c:v>1.8774387100000001</c:v>
                </c:pt>
                <c:pt idx="116">
                  <c:v>1.877130985</c:v>
                </c:pt>
                <c:pt idx="117">
                  <c:v>1.8992585989999999</c:v>
                </c:pt>
                <c:pt idx="118">
                  <c:v>1.872200297</c:v>
                </c:pt>
                <c:pt idx="119">
                  <c:v>1.8774140429999999</c:v>
                </c:pt>
                <c:pt idx="120">
                  <c:v>1.924568898</c:v>
                </c:pt>
                <c:pt idx="121">
                  <c:v>1.8953142249999999</c:v>
                </c:pt>
                <c:pt idx="122">
                  <c:v>1.887492304</c:v>
                </c:pt>
                <c:pt idx="123">
                  <c:v>1.9070621889999999</c:v>
                </c:pt>
                <c:pt idx="124">
                  <c:v>1.8674385330000001</c:v>
                </c:pt>
                <c:pt idx="125">
                  <c:v>1.882021505</c:v>
                </c:pt>
                <c:pt idx="126">
                  <c:v>1.8936218490000001</c:v>
                </c:pt>
                <c:pt idx="127">
                  <c:v>1.8649885100000001</c:v>
                </c:pt>
                <c:pt idx="128">
                  <c:v>1.8804091439999999</c:v>
                </c:pt>
                <c:pt idx="129">
                  <c:v>1.894216906</c:v>
                </c:pt>
                <c:pt idx="130">
                  <c:v>1.921660492</c:v>
                </c:pt>
                <c:pt idx="131">
                  <c:v>1.9074033459999999</c:v>
                </c:pt>
                <c:pt idx="132">
                  <c:v>1.900830185</c:v>
                </c:pt>
                <c:pt idx="133">
                  <c:v>1.8548411929999999</c:v>
                </c:pt>
                <c:pt idx="134">
                  <c:v>1.8552580270000001</c:v>
                </c:pt>
              </c:numCache>
            </c:numRef>
          </c:xVal>
          <c:yVal>
            <c:numRef>
              <c:f>'Bond length a'!$C$2:$C$136</c:f>
              <c:numCache>
                <c:formatCode>General</c:formatCode>
                <c:ptCount val="135"/>
                <c:pt idx="0">
                  <c:v>1.8833496329999999</c:v>
                </c:pt>
                <c:pt idx="1">
                  <c:v>1.8824241930000001</c:v>
                </c:pt>
                <c:pt idx="2">
                  <c:v>1.8920869069999999</c:v>
                </c:pt>
                <c:pt idx="3">
                  <c:v>1.900078691</c:v>
                </c:pt>
                <c:pt idx="4">
                  <c:v>1.898810406</c:v>
                </c:pt>
                <c:pt idx="5">
                  <c:v>1.89857429</c:v>
                </c:pt>
                <c:pt idx="6">
                  <c:v>1.9065251759999999</c:v>
                </c:pt>
                <c:pt idx="7">
                  <c:v>1.9077996070000001</c:v>
                </c:pt>
                <c:pt idx="8">
                  <c:v>1.900447083</c:v>
                </c:pt>
                <c:pt idx="9">
                  <c:v>1.9000186219999999</c:v>
                </c:pt>
                <c:pt idx="10">
                  <c:v>1.8899928779999999</c:v>
                </c:pt>
                <c:pt idx="11">
                  <c:v>1.911275987</c:v>
                </c:pt>
                <c:pt idx="12">
                  <c:v>1.9097276910000001</c:v>
                </c:pt>
                <c:pt idx="13">
                  <c:v>1.890602707</c:v>
                </c:pt>
                <c:pt idx="14">
                  <c:v>1.9018765129999999</c:v>
                </c:pt>
                <c:pt idx="15">
                  <c:v>1.9084090010000001</c:v>
                </c:pt>
                <c:pt idx="16">
                  <c:v>1.886254426</c:v>
                </c:pt>
                <c:pt idx="17">
                  <c:v>1.9339912020000001</c:v>
                </c:pt>
                <c:pt idx="18">
                  <c:v>1.898615502</c:v>
                </c:pt>
                <c:pt idx="19">
                  <c:v>1.9013611829999999</c:v>
                </c:pt>
                <c:pt idx="20">
                  <c:v>1.9022093550000001</c:v>
                </c:pt>
                <c:pt idx="21">
                  <c:v>1.9232762889999999</c:v>
                </c:pt>
                <c:pt idx="22">
                  <c:v>1.886304414</c:v>
                </c:pt>
                <c:pt idx="23">
                  <c:v>1.888778198</c:v>
                </c:pt>
                <c:pt idx="24">
                  <c:v>1.8936236259999999</c:v>
                </c:pt>
                <c:pt idx="25">
                  <c:v>1.891166565</c:v>
                </c:pt>
                <c:pt idx="26">
                  <c:v>1.8936391910000001</c:v>
                </c:pt>
                <c:pt idx="27">
                  <c:v>1.8992466480000001</c:v>
                </c:pt>
                <c:pt idx="28">
                  <c:v>1.891377203</c:v>
                </c:pt>
                <c:pt idx="29">
                  <c:v>1.9003374790000001</c:v>
                </c:pt>
                <c:pt idx="30">
                  <c:v>1.8998402480000001</c:v>
                </c:pt>
                <c:pt idx="31">
                  <c:v>1.907583791</c:v>
                </c:pt>
                <c:pt idx="32">
                  <c:v>1.878864417</c:v>
                </c:pt>
                <c:pt idx="33">
                  <c:v>1.902535884</c:v>
                </c:pt>
                <c:pt idx="34">
                  <c:v>1.9052842270000001</c:v>
                </c:pt>
                <c:pt idx="35">
                  <c:v>1.8729231180000001</c:v>
                </c:pt>
                <c:pt idx="36">
                  <c:v>1.880813853</c:v>
                </c:pt>
                <c:pt idx="37">
                  <c:v>1.9122091400000001</c:v>
                </c:pt>
                <c:pt idx="38">
                  <c:v>1.885540368</c:v>
                </c:pt>
                <c:pt idx="39">
                  <c:v>1.887248934</c:v>
                </c:pt>
                <c:pt idx="40">
                  <c:v>1.9066218479999999</c:v>
                </c:pt>
                <c:pt idx="41">
                  <c:v>1.904830977</c:v>
                </c:pt>
                <c:pt idx="42">
                  <c:v>1.9268757110000001</c:v>
                </c:pt>
                <c:pt idx="43">
                  <c:v>1.9211302370000001</c:v>
                </c:pt>
                <c:pt idx="44">
                  <c:v>1.8904267379999999</c:v>
                </c:pt>
                <c:pt idx="45">
                  <c:v>1.880392783</c:v>
                </c:pt>
                <c:pt idx="46">
                  <c:v>1.886175318</c:v>
                </c:pt>
                <c:pt idx="47">
                  <c:v>1.8825036989999999</c:v>
                </c:pt>
                <c:pt idx="48">
                  <c:v>1.8824320590000001</c:v>
                </c:pt>
                <c:pt idx="49">
                  <c:v>1.879159714</c:v>
                </c:pt>
                <c:pt idx="50">
                  <c:v>1.8870487119999999</c:v>
                </c:pt>
                <c:pt idx="51">
                  <c:v>1.8764018899999999</c:v>
                </c:pt>
                <c:pt idx="52">
                  <c:v>1.8906951519999999</c:v>
                </c:pt>
                <c:pt idx="53">
                  <c:v>1.9006915790000001</c:v>
                </c:pt>
                <c:pt idx="54">
                  <c:v>1.895102294</c:v>
                </c:pt>
                <c:pt idx="55">
                  <c:v>1.884993014</c:v>
                </c:pt>
                <c:pt idx="56">
                  <c:v>1.885144293</c:v>
                </c:pt>
                <c:pt idx="57">
                  <c:v>1.901137053</c:v>
                </c:pt>
                <c:pt idx="58">
                  <c:v>1.9068203889999999</c:v>
                </c:pt>
                <c:pt idx="59">
                  <c:v>1.88904969</c:v>
                </c:pt>
                <c:pt idx="60">
                  <c:v>1.8940123900000001</c:v>
                </c:pt>
                <c:pt idx="61">
                  <c:v>1.880813729</c:v>
                </c:pt>
                <c:pt idx="62">
                  <c:v>1.8950012650000001</c:v>
                </c:pt>
                <c:pt idx="63">
                  <c:v>1.8890364639999999</c:v>
                </c:pt>
                <c:pt idx="64">
                  <c:v>1.9163515069999999</c:v>
                </c:pt>
                <c:pt idx="65">
                  <c:v>1.9015533600000001</c:v>
                </c:pt>
                <c:pt idx="66">
                  <c:v>1.9084858220000001</c:v>
                </c:pt>
                <c:pt idx="67">
                  <c:v>1.90825106</c:v>
                </c:pt>
                <c:pt idx="68">
                  <c:v>1.8845992229999999</c:v>
                </c:pt>
                <c:pt idx="69">
                  <c:v>1.8824119850000001</c:v>
                </c:pt>
                <c:pt idx="70">
                  <c:v>1.8905568749999999</c:v>
                </c:pt>
                <c:pt idx="71">
                  <c:v>1.899506082</c:v>
                </c:pt>
                <c:pt idx="72">
                  <c:v>1.9223769980000001</c:v>
                </c:pt>
                <c:pt idx="73">
                  <c:v>1.913449129</c:v>
                </c:pt>
                <c:pt idx="74">
                  <c:v>1.909201476</c:v>
                </c:pt>
                <c:pt idx="75">
                  <c:v>1.8999203570000001</c:v>
                </c:pt>
                <c:pt idx="76">
                  <c:v>1.8870673140000001</c:v>
                </c:pt>
                <c:pt idx="77">
                  <c:v>1.909211719</c:v>
                </c:pt>
                <c:pt idx="78">
                  <c:v>1.911208295</c:v>
                </c:pt>
                <c:pt idx="79">
                  <c:v>1.913143354</c:v>
                </c:pt>
                <c:pt idx="80">
                  <c:v>1.9019035820000001</c:v>
                </c:pt>
                <c:pt idx="81">
                  <c:v>1.8989617270000001</c:v>
                </c:pt>
                <c:pt idx="82">
                  <c:v>1.931918365</c:v>
                </c:pt>
                <c:pt idx="83">
                  <c:v>1.8986152519999999</c:v>
                </c:pt>
                <c:pt idx="84">
                  <c:v>1.898654149</c:v>
                </c:pt>
                <c:pt idx="85">
                  <c:v>1.9059580389999999</c:v>
                </c:pt>
                <c:pt idx="86">
                  <c:v>1.926827098</c:v>
                </c:pt>
                <c:pt idx="87">
                  <c:v>1.8867317159999999</c:v>
                </c:pt>
                <c:pt idx="88">
                  <c:v>1.8898658989999999</c:v>
                </c:pt>
                <c:pt idx="89">
                  <c:v>1.8934032999999999</c:v>
                </c:pt>
                <c:pt idx="90">
                  <c:v>1.888776598</c:v>
                </c:pt>
                <c:pt idx="91">
                  <c:v>1.895131205</c:v>
                </c:pt>
                <c:pt idx="92">
                  <c:v>1.893850646</c:v>
                </c:pt>
                <c:pt idx="93">
                  <c:v>1.896170884</c:v>
                </c:pt>
                <c:pt idx="94">
                  <c:v>1.8984336260000001</c:v>
                </c:pt>
                <c:pt idx="95">
                  <c:v>1.8975001170000001</c:v>
                </c:pt>
                <c:pt idx="96">
                  <c:v>1.900100846</c:v>
                </c:pt>
                <c:pt idx="97">
                  <c:v>1.89397255</c:v>
                </c:pt>
                <c:pt idx="98">
                  <c:v>1.8763081479999999</c:v>
                </c:pt>
                <c:pt idx="99">
                  <c:v>1.894087426</c:v>
                </c:pt>
                <c:pt idx="100">
                  <c:v>1.8885324020000001</c:v>
                </c:pt>
                <c:pt idx="101">
                  <c:v>1.8849868700000001</c:v>
                </c:pt>
                <c:pt idx="102">
                  <c:v>1.918839121</c:v>
                </c:pt>
                <c:pt idx="103">
                  <c:v>1.8855770599999999</c:v>
                </c:pt>
                <c:pt idx="104">
                  <c:v>1.8895109960000001</c:v>
                </c:pt>
                <c:pt idx="105">
                  <c:v>1.9238111769999999</c:v>
                </c:pt>
                <c:pt idx="106">
                  <c:v>1.9085285030000001</c:v>
                </c:pt>
                <c:pt idx="107">
                  <c:v>1.905086359</c:v>
                </c:pt>
                <c:pt idx="108">
                  <c:v>1.894376056</c:v>
                </c:pt>
                <c:pt idx="109">
                  <c:v>1.917273293</c:v>
                </c:pt>
                <c:pt idx="110">
                  <c:v>1.8847837160000001</c:v>
                </c:pt>
                <c:pt idx="111">
                  <c:v>1.889924706</c:v>
                </c:pt>
                <c:pt idx="112">
                  <c:v>1.8783348799999999</c:v>
                </c:pt>
                <c:pt idx="113">
                  <c:v>1.8747307900000001</c:v>
                </c:pt>
                <c:pt idx="114">
                  <c:v>1.881372214</c:v>
                </c:pt>
                <c:pt idx="115">
                  <c:v>1.881765613</c:v>
                </c:pt>
                <c:pt idx="116">
                  <c:v>1.8828461000000001</c:v>
                </c:pt>
                <c:pt idx="117">
                  <c:v>1.881669984</c:v>
                </c:pt>
                <c:pt idx="118">
                  <c:v>1.892011431</c:v>
                </c:pt>
                <c:pt idx="119">
                  <c:v>1.8989394770000001</c:v>
                </c:pt>
                <c:pt idx="120">
                  <c:v>1.9054902549999999</c:v>
                </c:pt>
                <c:pt idx="121">
                  <c:v>1.8937683320000001</c:v>
                </c:pt>
                <c:pt idx="122">
                  <c:v>1.900872742</c:v>
                </c:pt>
                <c:pt idx="123">
                  <c:v>1.899659478</c:v>
                </c:pt>
                <c:pt idx="124">
                  <c:v>1.888906502</c:v>
                </c:pt>
                <c:pt idx="125">
                  <c:v>1.8918263820000001</c:v>
                </c:pt>
                <c:pt idx="126">
                  <c:v>1.897496286</c:v>
                </c:pt>
                <c:pt idx="127">
                  <c:v>1.897941281</c:v>
                </c:pt>
                <c:pt idx="128">
                  <c:v>1.8836249519999999</c:v>
                </c:pt>
                <c:pt idx="129">
                  <c:v>1.900410014</c:v>
                </c:pt>
                <c:pt idx="130">
                  <c:v>1.91664444</c:v>
                </c:pt>
                <c:pt idx="131">
                  <c:v>1.9136834970000001</c:v>
                </c:pt>
                <c:pt idx="132">
                  <c:v>1.910033962</c:v>
                </c:pt>
                <c:pt idx="133">
                  <c:v>1.8808496560000001</c:v>
                </c:pt>
                <c:pt idx="134">
                  <c:v>1.880604776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0-4146-BE25-96A699CCEC71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'Bond length a'!$B$2:$B$136</c:f>
              <c:numCache>
                <c:formatCode>General</c:formatCode>
                <c:ptCount val="135"/>
                <c:pt idx="0">
                  <c:v>1.868938663</c:v>
                </c:pt>
                <c:pt idx="1">
                  <c:v>1.870580186</c:v>
                </c:pt>
                <c:pt idx="2">
                  <c:v>1.874077131</c:v>
                </c:pt>
                <c:pt idx="3">
                  <c:v>1.913052972</c:v>
                </c:pt>
                <c:pt idx="4">
                  <c:v>1.8719479320000001</c:v>
                </c:pt>
                <c:pt idx="5">
                  <c:v>1.9088394120000001</c:v>
                </c:pt>
                <c:pt idx="6">
                  <c:v>1.8877101489999999</c:v>
                </c:pt>
                <c:pt idx="7">
                  <c:v>1.890098083</c:v>
                </c:pt>
                <c:pt idx="8">
                  <c:v>1.8868488029999999</c:v>
                </c:pt>
                <c:pt idx="9">
                  <c:v>1.8879240289999999</c:v>
                </c:pt>
                <c:pt idx="10">
                  <c:v>1.8735190070000001</c:v>
                </c:pt>
                <c:pt idx="11">
                  <c:v>2.004081867</c:v>
                </c:pt>
                <c:pt idx="12">
                  <c:v>1.886300547</c:v>
                </c:pt>
                <c:pt idx="13">
                  <c:v>1.88474403</c:v>
                </c:pt>
                <c:pt idx="14">
                  <c:v>1.880413739</c:v>
                </c:pt>
                <c:pt idx="15">
                  <c:v>1.946178497</c:v>
                </c:pt>
                <c:pt idx="16">
                  <c:v>1.8833267010000001</c:v>
                </c:pt>
                <c:pt idx="17">
                  <c:v>1.933695918</c:v>
                </c:pt>
                <c:pt idx="18">
                  <c:v>1.8801162090000001</c:v>
                </c:pt>
                <c:pt idx="19">
                  <c:v>1.8862537770000001</c:v>
                </c:pt>
                <c:pt idx="20">
                  <c:v>1.9048510970000001</c:v>
                </c:pt>
                <c:pt idx="21">
                  <c:v>1.9139473469999999</c:v>
                </c:pt>
                <c:pt idx="22">
                  <c:v>1.8804056149999999</c:v>
                </c:pt>
                <c:pt idx="23">
                  <c:v>1.866979113</c:v>
                </c:pt>
                <c:pt idx="24">
                  <c:v>1.9764687439999999</c:v>
                </c:pt>
                <c:pt idx="25">
                  <c:v>1.857463147</c:v>
                </c:pt>
                <c:pt idx="26">
                  <c:v>1.864512843</c:v>
                </c:pt>
                <c:pt idx="27">
                  <c:v>1.867068138</c:v>
                </c:pt>
                <c:pt idx="28">
                  <c:v>1.8685999069999999</c:v>
                </c:pt>
                <c:pt idx="29">
                  <c:v>1.893333092</c:v>
                </c:pt>
                <c:pt idx="30">
                  <c:v>1.9240053050000001</c:v>
                </c:pt>
                <c:pt idx="31">
                  <c:v>1.8888193129999999</c:v>
                </c:pt>
                <c:pt idx="32">
                  <c:v>1.8899554519999999</c:v>
                </c:pt>
                <c:pt idx="33">
                  <c:v>1.9128028189999999</c:v>
                </c:pt>
                <c:pt idx="34">
                  <c:v>1.9536187279999999</c:v>
                </c:pt>
                <c:pt idx="35">
                  <c:v>1.8756511490000001</c:v>
                </c:pt>
                <c:pt idx="36">
                  <c:v>1.9118702139999999</c:v>
                </c:pt>
                <c:pt idx="37">
                  <c:v>1.906493054</c:v>
                </c:pt>
                <c:pt idx="38">
                  <c:v>1.8832859019999999</c:v>
                </c:pt>
                <c:pt idx="39">
                  <c:v>1.8758591680000001</c:v>
                </c:pt>
                <c:pt idx="40">
                  <c:v>1.8952223290000001</c:v>
                </c:pt>
                <c:pt idx="41">
                  <c:v>1.9045838559999999</c:v>
                </c:pt>
                <c:pt idx="42">
                  <c:v>1.8925460839999999</c:v>
                </c:pt>
                <c:pt idx="43">
                  <c:v>1.8981879070000001</c:v>
                </c:pt>
                <c:pt idx="44">
                  <c:v>1.887368551</c:v>
                </c:pt>
                <c:pt idx="45">
                  <c:v>1.8762075819999999</c:v>
                </c:pt>
                <c:pt idx="46">
                  <c:v>1.863565038</c:v>
                </c:pt>
                <c:pt idx="47">
                  <c:v>1.8750051649999999</c:v>
                </c:pt>
                <c:pt idx="48">
                  <c:v>1.875659062</c:v>
                </c:pt>
                <c:pt idx="49">
                  <c:v>1.875181268</c:v>
                </c:pt>
                <c:pt idx="50">
                  <c:v>1.858011251</c:v>
                </c:pt>
                <c:pt idx="51">
                  <c:v>1.852128438</c:v>
                </c:pt>
                <c:pt idx="52">
                  <c:v>1.860698907</c:v>
                </c:pt>
                <c:pt idx="53">
                  <c:v>1.8933446439999999</c:v>
                </c:pt>
                <c:pt idx="54">
                  <c:v>1.934551763</c:v>
                </c:pt>
                <c:pt idx="55">
                  <c:v>1.8624376</c:v>
                </c:pt>
                <c:pt idx="56">
                  <c:v>1.856414381</c:v>
                </c:pt>
                <c:pt idx="57">
                  <c:v>1.9121718539999999</c:v>
                </c:pt>
                <c:pt idx="58">
                  <c:v>1.915609396</c:v>
                </c:pt>
                <c:pt idx="59">
                  <c:v>1.878382647</c:v>
                </c:pt>
                <c:pt idx="60">
                  <c:v>1.8802089420000001</c:v>
                </c:pt>
                <c:pt idx="61">
                  <c:v>1.8747448579999999</c:v>
                </c:pt>
                <c:pt idx="62">
                  <c:v>1.8689331</c:v>
                </c:pt>
                <c:pt idx="63">
                  <c:v>1.877543862</c:v>
                </c:pt>
                <c:pt idx="64">
                  <c:v>1.90263429</c:v>
                </c:pt>
                <c:pt idx="65">
                  <c:v>1.8950428429999999</c:v>
                </c:pt>
                <c:pt idx="66">
                  <c:v>1.906589632</c:v>
                </c:pt>
                <c:pt idx="67">
                  <c:v>1.889549275</c:v>
                </c:pt>
                <c:pt idx="68">
                  <c:v>1.854335906</c:v>
                </c:pt>
                <c:pt idx="69">
                  <c:v>1.871715311</c:v>
                </c:pt>
                <c:pt idx="70">
                  <c:v>1.8797384239999999</c:v>
                </c:pt>
                <c:pt idx="71">
                  <c:v>1.8588065250000001</c:v>
                </c:pt>
                <c:pt idx="72">
                  <c:v>1.8787603239999999</c:v>
                </c:pt>
                <c:pt idx="73">
                  <c:v>1.897397174</c:v>
                </c:pt>
                <c:pt idx="74">
                  <c:v>1.8844885</c:v>
                </c:pt>
                <c:pt idx="75">
                  <c:v>1.882184114</c:v>
                </c:pt>
                <c:pt idx="76">
                  <c:v>1.876264403</c:v>
                </c:pt>
                <c:pt idx="77">
                  <c:v>1.8990807270000001</c:v>
                </c:pt>
                <c:pt idx="78">
                  <c:v>1.9116916900000001</c:v>
                </c:pt>
                <c:pt idx="79">
                  <c:v>1.902012719</c:v>
                </c:pt>
                <c:pt idx="80">
                  <c:v>1.879307555</c:v>
                </c:pt>
                <c:pt idx="81">
                  <c:v>1.9122856880000001</c:v>
                </c:pt>
                <c:pt idx="82">
                  <c:v>1.9445386149999999</c:v>
                </c:pt>
                <c:pt idx="83">
                  <c:v>1.8804470360000001</c:v>
                </c:pt>
                <c:pt idx="84">
                  <c:v>1.8817018940000001</c:v>
                </c:pt>
                <c:pt idx="85">
                  <c:v>1.896042534</c:v>
                </c:pt>
                <c:pt idx="86">
                  <c:v>1.991142287</c:v>
                </c:pt>
                <c:pt idx="87">
                  <c:v>1.87681806</c:v>
                </c:pt>
                <c:pt idx="88">
                  <c:v>1.987096551</c:v>
                </c:pt>
                <c:pt idx="89">
                  <c:v>1.870893667</c:v>
                </c:pt>
                <c:pt idx="90">
                  <c:v>1.8544843209999999</c:v>
                </c:pt>
                <c:pt idx="91">
                  <c:v>1.8668701080000001</c:v>
                </c:pt>
                <c:pt idx="92">
                  <c:v>1.868741102</c:v>
                </c:pt>
                <c:pt idx="93">
                  <c:v>1.8737164209999999</c:v>
                </c:pt>
                <c:pt idx="94">
                  <c:v>1.8737687160000001</c:v>
                </c:pt>
                <c:pt idx="95">
                  <c:v>1.864309856</c:v>
                </c:pt>
                <c:pt idx="96">
                  <c:v>1.926041946</c:v>
                </c:pt>
                <c:pt idx="97">
                  <c:v>1.9177016659999999</c:v>
                </c:pt>
                <c:pt idx="98">
                  <c:v>1.997796447</c:v>
                </c:pt>
                <c:pt idx="99">
                  <c:v>1.9266714970000001</c:v>
                </c:pt>
                <c:pt idx="100">
                  <c:v>1.933805011</c:v>
                </c:pt>
                <c:pt idx="101">
                  <c:v>1.945486112</c:v>
                </c:pt>
                <c:pt idx="102">
                  <c:v>1.915404356</c:v>
                </c:pt>
                <c:pt idx="103">
                  <c:v>1.884713297</c:v>
                </c:pt>
                <c:pt idx="104">
                  <c:v>1.8740118889999999</c:v>
                </c:pt>
                <c:pt idx="105">
                  <c:v>1.9140265620000001</c:v>
                </c:pt>
                <c:pt idx="106">
                  <c:v>1.901395787</c:v>
                </c:pt>
                <c:pt idx="107">
                  <c:v>1.9137030559999999</c:v>
                </c:pt>
                <c:pt idx="108">
                  <c:v>1.874588143</c:v>
                </c:pt>
                <c:pt idx="109">
                  <c:v>1.9090627579999999</c:v>
                </c:pt>
                <c:pt idx="110">
                  <c:v>1.9042380940000001</c:v>
                </c:pt>
                <c:pt idx="111">
                  <c:v>1.8984833320000001</c:v>
                </c:pt>
                <c:pt idx="112">
                  <c:v>1.871617608</c:v>
                </c:pt>
                <c:pt idx="113">
                  <c:v>1.8644019810000001</c:v>
                </c:pt>
                <c:pt idx="114">
                  <c:v>1.873337338</c:v>
                </c:pt>
                <c:pt idx="115">
                  <c:v>1.8774387100000001</c:v>
                </c:pt>
                <c:pt idx="116">
                  <c:v>1.877130985</c:v>
                </c:pt>
                <c:pt idx="117">
                  <c:v>1.8992585989999999</c:v>
                </c:pt>
                <c:pt idx="118">
                  <c:v>1.872200297</c:v>
                </c:pt>
                <c:pt idx="119">
                  <c:v>1.8774140429999999</c:v>
                </c:pt>
                <c:pt idx="120">
                  <c:v>1.924568898</c:v>
                </c:pt>
                <c:pt idx="121">
                  <c:v>1.8953142249999999</c:v>
                </c:pt>
                <c:pt idx="122">
                  <c:v>1.887492304</c:v>
                </c:pt>
                <c:pt idx="123">
                  <c:v>1.9070621889999999</c:v>
                </c:pt>
                <c:pt idx="124">
                  <c:v>1.8674385330000001</c:v>
                </c:pt>
                <c:pt idx="125">
                  <c:v>1.882021505</c:v>
                </c:pt>
                <c:pt idx="126">
                  <c:v>1.8936218490000001</c:v>
                </c:pt>
                <c:pt idx="127">
                  <c:v>1.8649885100000001</c:v>
                </c:pt>
                <c:pt idx="128">
                  <c:v>1.8804091439999999</c:v>
                </c:pt>
                <c:pt idx="129">
                  <c:v>1.894216906</c:v>
                </c:pt>
                <c:pt idx="130">
                  <c:v>1.921660492</c:v>
                </c:pt>
                <c:pt idx="131">
                  <c:v>1.9074033459999999</c:v>
                </c:pt>
                <c:pt idx="132">
                  <c:v>1.900830185</c:v>
                </c:pt>
                <c:pt idx="133">
                  <c:v>1.8548411929999999</c:v>
                </c:pt>
                <c:pt idx="134">
                  <c:v>1.8552580270000001</c:v>
                </c:pt>
              </c:numCache>
            </c:numRef>
          </c:xVal>
          <c:yVal>
            <c:numRef>
              <c:f>'Bond length a'!$I$2:$I$136</c:f>
              <c:numCache>
                <c:formatCode>General</c:formatCode>
                <c:ptCount val="135"/>
                <c:pt idx="0">
                  <c:v>1.868938663</c:v>
                </c:pt>
                <c:pt idx="1">
                  <c:v>1.870580186</c:v>
                </c:pt>
                <c:pt idx="2">
                  <c:v>1.874077131</c:v>
                </c:pt>
                <c:pt idx="3">
                  <c:v>1.913052972</c:v>
                </c:pt>
                <c:pt idx="4">
                  <c:v>1.8719479320000001</c:v>
                </c:pt>
                <c:pt idx="5">
                  <c:v>1.9088394120000001</c:v>
                </c:pt>
                <c:pt idx="6">
                  <c:v>1.8877101489999999</c:v>
                </c:pt>
                <c:pt idx="7">
                  <c:v>1.890098083</c:v>
                </c:pt>
                <c:pt idx="8">
                  <c:v>1.8868488029999999</c:v>
                </c:pt>
                <c:pt idx="9">
                  <c:v>1.8879240289999999</c:v>
                </c:pt>
                <c:pt idx="10">
                  <c:v>1.8735190070000001</c:v>
                </c:pt>
                <c:pt idx="11">
                  <c:v>2.004081867</c:v>
                </c:pt>
                <c:pt idx="12">
                  <c:v>1.886300547</c:v>
                </c:pt>
                <c:pt idx="13">
                  <c:v>1.88474403</c:v>
                </c:pt>
                <c:pt idx="14">
                  <c:v>1.880413739</c:v>
                </c:pt>
                <c:pt idx="15">
                  <c:v>1.946178497</c:v>
                </c:pt>
                <c:pt idx="16">
                  <c:v>1.8833267010000001</c:v>
                </c:pt>
                <c:pt idx="17">
                  <c:v>1.933695918</c:v>
                </c:pt>
                <c:pt idx="18">
                  <c:v>1.8801162090000001</c:v>
                </c:pt>
                <c:pt idx="19">
                  <c:v>1.8862537770000001</c:v>
                </c:pt>
                <c:pt idx="20">
                  <c:v>1.9048510970000001</c:v>
                </c:pt>
                <c:pt idx="21">
                  <c:v>1.9139473469999999</c:v>
                </c:pt>
                <c:pt idx="22">
                  <c:v>1.8804056149999999</c:v>
                </c:pt>
                <c:pt idx="23">
                  <c:v>1.866979113</c:v>
                </c:pt>
                <c:pt idx="24">
                  <c:v>1.9764687439999999</c:v>
                </c:pt>
                <c:pt idx="25">
                  <c:v>1.857463147</c:v>
                </c:pt>
                <c:pt idx="26">
                  <c:v>1.864512843</c:v>
                </c:pt>
                <c:pt idx="27">
                  <c:v>1.867068138</c:v>
                </c:pt>
                <c:pt idx="28">
                  <c:v>1.8685999069999999</c:v>
                </c:pt>
                <c:pt idx="29">
                  <c:v>1.893333092</c:v>
                </c:pt>
                <c:pt idx="30">
                  <c:v>1.9240053050000001</c:v>
                </c:pt>
                <c:pt idx="31">
                  <c:v>1.8888193129999999</c:v>
                </c:pt>
                <c:pt idx="32">
                  <c:v>1.8899554519999999</c:v>
                </c:pt>
                <c:pt idx="33">
                  <c:v>1.9128028189999999</c:v>
                </c:pt>
                <c:pt idx="34">
                  <c:v>1.9536187279999999</c:v>
                </c:pt>
                <c:pt idx="35">
                  <c:v>1.8756511490000001</c:v>
                </c:pt>
                <c:pt idx="36">
                  <c:v>1.9118702139999999</c:v>
                </c:pt>
                <c:pt idx="37">
                  <c:v>1.906493054</c:v>
                </c:pt>
                <c:pt idx="38">
                  <c:v>1.8832859019999999</c:v>
                </c:pt>
                <c:pt idx="39">
                  <c:v>1.8758591680000001</c:v>
                </c:pt>
                <c:pt idx="40">
                  <c:v>1.8952223290000001</c:v>
                </c:pt>
                <c:pt idx="41">
                  <c:v>1.9045838559999999</c:v>
                </c:pt>
                <c:pt idx="42">
                  <c:v>1.8925460839999999</c:v>
                </c:pt>
                <c:pt idx="43">
                  <c:v>1.8981879070000001</c:v>
                </c:pt>
                <c:pt idx="44">
                  <c:v>1.887368551</c:v>
                </c:pt>
                <c:pt idx="45">
                  <c:v>1.8762075819999999</c:v>
                </c:pt>
                <c:pt idx="46">
                  <c:v>1.863565038</c:v>
                </c:pt>
                <c:pt idx="47">
                  <c:v>1.8750051649999999</c:v>
                </c:pt>
                <c:pt idx="48">
                  <c:v>1.875659062</c:v>
                </c:pt>
                <c:pt idx="49">
                  <c:v>1.875181268</c:v>
                </c:pt>
                <c:pt idx="50">
                  <c:v>1.858011251</c:v>
                </c:pt>
                <c:pt idx="51">
                  <c:v>1.852128438</c:v>
                </c:pt>
                <c:pt idx="52">
                  <c:v>1.860698907</c:v>
                </c:pt>
                <c:pt idx="53">
                  <c:v>1.8933446439999999</c:v>
                </c:pt>
                <c:pt idx="54">
                  <c:v>1.934551763</c:v>
                </c:pt>
                <c:pt idx="55">
                  <c:v>1.8624376</c:v>
                </c:pt>
                <c:pt idx="56">
                  <c:v>1.856414381</c:v>
                </c:pt>
                <c:pt idx="57">
                  <c:v>1.9121718539999999</c:v>
                </c:pt>
                <c:pt idx="58">
                  <c:v>1.915609396</c:v>
                </c:pt>
                <c:pt idx="59">
                  <c:v>1.878382647</c:v>
                </c:pt>
                <c:pt idx="60">
                  <c:v>1.8802089420000001</c:v>
                </c:pt>
                <c:pt idx="61">
                  <c:v>1.8747448579999999</c:v>
                </c:pt>
                <c:pt idx="62">
                  <c:v>1.8689331</c:v>
                </c:pt>
                <c:pt idx="63">
                  <c:v>1.877543862</c:v>
                </c:pt>
                <c:pt idx="64">
                  <c:v>1.90263429</c:v>
                </c:pt>
                <c:pt idx="65">
                  <c:v>1.8950428429999999</c:v>
                </c:pt>
                <c:pt idx="66">
                  <c:v>1.906589632</c:v>
                </c:pt>
                <c:pt idx="67">
                  <c:v>1.889549275</c:v>
                </c:pt>
                <c:pt idx="68">
                  <c:v>1.854335906</c:v>
                </c:pt>
                <c:pt idx="69">
                  <c:v>1.871715311</c:v>
                </c:pt>
                <c:pt idx="70">
                  <c:v>1.8797384239999999</c:v>
                </c:pt>
                <c:pt idx="71">
                  <c:v>1.8588065250000001</c:v>
                </c:pt>
                <c:pt idx="72">
                  <c:v>1.8787603239999999</c:v>
                </c:pt>
                <c:pt idx="73">
                  <c:v>1.897397174</c:v>
                </c:pt>
                <c:pt idx="74">
                  <c:v>1.8844885</c:v>
                </c:pt>
                <c:pt idx="75">
                  <c:v>1.882184114</c:v>
                </c:pt>
                <c:pt idx="76">
                  <c:v>1.876264403</c:v>
                </c:pt>
                <c:pt idx="77">
                  <c:v>1.8990807270000001</c:v>
                </c:pt>
                <c:pt idx="78">
                  <c:v>1.9116916900000001</c:v>
                </c:pt>
                <c:pt idx="79">
                  <c:v>1.902012719</c:v>
                </c:pt>
                <c:pt idx="80">
                  <c:v>1.879307555</c:v>
                </c:pt>
                <c:pt idx="81">
                  <c:v>1.9122856880000001</c:v>
                </c:pt>
                <c:pt idx="82">
                  <c:v>1.9445386149999999</c:v>
                </c:pt>
                <c:pt idx="83">
                  <c:v>1.8804470360000001</c:v>
                </c:pt>
                <c:pt idx="84">
                  <c:v>1.8817018940000001</c:v>
                </c:pt>
                <c:pt idx="85">
                  <c:v>1.896042534</c:v>
                </c:pt>
                <c:pt idx="86">
                  <c:v>1.991142287</c:v>
                </c:pt>
                <c:pt idx="87">
                  <c:v>1.87681806</c:v>
                </c:pt>
                <c:pt idx="88">
                  <c:v>1.987096551</c:v>
                </c:pt>
                <c:pt idx="89">
                  <c:v>1.870893667</c:v>
                </c:pt>
                <c:pt idx="90">
                  <c:v>1.8544843209999999</c:v>
                </c:pt>
                <c:pt idx="91">
                  <c:v>1.8668701080000001</c:v>
                </c:pt>
                <c:pt idx="92">
                  <c:v>1.868741102</c:v>
                </c:pt>
                <c:pt idx="93">
                  <c:v>1.8737164209999999</c:v>
                </c:pt>
                <c:pt idx="94">
                  <c:v>1.8737687160000001</c:v>
                </c:pt>
                <c:pt idx="95">
                  <c:v>1.864309856</c:v>
                </c:pt>
                <c:pt idx="96">
                  <c:v>1.926041946</c:v>
                </c:pt>
                <c:pt idx="97">
                  <c:v>1.9177016659999999</c:v>
                </c:pt>
                <c:pt idx="98">
                  <c:v>1.997796447</c:v>
                </c:pt>
                <c:pt idx="99">
                  <c:v>1.9266714970000001</c:v>
                </c:pt>
                <c:pt idx="100">
                  <c:v>1.933805011</c:v>
                </c:pt>
                <c:pt idx="101">
                  <c:v>1.945486112</c:v>
                </c:pt>
                <c:pt idx="102">
                  <c:v>1.915404356</c:v>
                </c:pt>
                <c:pt idx="103">
                  <c:v>1.884713297</c:v>
                </c:pt>
                <c:pt idx="104">
                  <c:v>1.8740118889999999</c:v>
                </c:pt>
                <c:pt idx="105">
                  <c:v>1.9140265620000001</c:v>
                </c:pt>
                <c:pt idx="106">
                  <c:v>1.901395787</c:v>
                </c:pt>
                <c:pt idx="107">
                  <c:v>1.9137030559999999</c:v>
                </c:pt>
                <c:pt idx="108">
                  <c:v>1.874588143</c:v>
                </c:pt>
                <c:pt idx="109">
                  <c:v>1.9090627579999999</c:v>
                </c:pt>
                <c:pt idx="110">
                  <c:v>1.9042380940000001</c:v>
                </c:pt>
                <c:pt idx="111">
                  <c:v>1.8984833320000001</c:v>
                </c:pt>
                <c:pt idx="112">
                  <c:v>1.871617608</c:v>
                </c:pt>
                <c:pt idx="113">
                  <c:v>1.8644019810000001</c:v>
                </c:pt>
                <c:pt idx="114">
                  <c:v>1.873337338</c:v>
                </c:pt>
                <c:pt idx="115">
                  <c:v>1.8774387100000001</c:v>
                </c:pt>
                <c:pt idx="116">
                  <c:v>1.877130985</c:v>
                </c:pt>
                <c:pt idx="117">
                  <c:v>1.8992585989999999</c:v>
                </c:pt>
                <c:pt idx="118">
                  <c:v>1.872200297</c:v>
                </c:pt>
                <c:pt idx="119">
                  <c:v>1.8774140429999999</c:v>
                </c:pt>
                <c:pt idx="120">
                  <c:v>1.924568898</c:v>
                </c:pt>
                <c:pt idx="121">
                  <c:v>1.8953142249999999</c:v>
                </c:pt>
                <c:pt idx="122">
                  <c:v>1.887492304</c:v>
                </c:pt>
                <c:pt idx="123">
                  <c:v>1.9070621889999999</c:v>
                </c:pt>
                <c:pt idx="124">
                  <c:v>1.8674385330000001</c:v>
                </c:pt>
                <c:pt idx="125">
                  <c:v>1.882021505</c:v>
                </c:pt>
                <c:pt idx="126">
                  <c:v>1.8936218490000001</c:v>
                </c:pt>
                <c:pt idx="127">
                  <c:v>1.8649885100000001</c:v>
                </c:pt>
                <c:pt idx="128">
                  <c:v>1.8804091439999999</c:v>
                </c:pt>
                <c:pt idx="129">
                  <c:v>1.894216906</c:v>
                </c:pt>
                <c:pt idx="130">
                  <c:v>1.921660492</c:v>
                </c:pt>
                <c:pt idx="131">
                  <c:v>1.9074033459999999</c:v>
                </c:pt>
                <c:pt idx="132">
                  <c:v>1.900830185</c:v>
                </c:pt>
                <c:pt idx="133">
                  <c:v>1.8548411929999999</c:v>
                </c:pt>
                <c:pt idx="134">
                  <c:v>1.8552580270000001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10-4146-BE25-96A699CCE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2.0049999999999999"/>
          <c:min val="1.8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1" u="none" strike="noStrike" kern="1200" baseline="0">
                    <a:solidFill>
                      <a:sysClr val="windowText" lastClr="000000"/>
                    </a:solidFill>
                  </a:rPr>
                  <a:t>a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2.1"/>
          <c:min val="1.8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1" u="none" strike="noStrike" kern="1200" baseline="0">
                    <a:solidFill>
                      <a:sysClr val="windowText" lastClr="000000"/>
                    </a:solidFill>
                  </a:rPr>
                  <a:t>a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85301131846917E-4"/>
              <c:y val="0.3784601924759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Bond</a:t>
            </a:r>
            <a:r>
              <a:rPr lang="en-IN" sz="1600" b="1" baseline="0">
                <a:solidFill>
                  <a:sysClr val="windowText" lastClr="000000"/>
                </a:solidFill>
              </a:rPr>
              <a:t> length </a:t>
            </a:r>
            <a:r>
              <a:rPr lang="en-IN" sz="1600" b="1" i="1" baseline="0">
                <a:solidFill>
                  <a:sysClr val="windowText" lastClr="000000"/>
                </a:solidFill>
              </a:rPr>
              <a:t>b1</a:t>
            </a:r>
            <a:endParaRPr lang="en-IN" sz="1600" b="1" i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372009527366634"/>
          <c:y val="1.98265179677819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0.1737499999999999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727581817035132"/>
                  <c:y val="-0.1835486735161822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GB" sz="1000" b="1" i="1" u="none" strike="noStrike" baseline="0">
                        <a:effectLst/>
                      </a:rPr>
                      <a:t>b1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1.77</a:t>
                    </a:r>
                    <a:r>
                      <a:rPr lang="en-GB" sz="1000" b="1" i="1" u="none" strike="noStrike" baseline="0">
                        <a:effectLst/>
                      </a:rPr>
                      <a:t>b1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sz="1000" b="1" baseline="0"/>
                      <a:t> - 1.39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0.25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0.50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0.14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0.29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134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'Bond length b1'!$B$2:$B$135</c:f>
              <c:numCache>
                <c:formatCode>General</c:formatCode>
                <c:ptCount val="134"/>
                <c:pt idx="0">
                  <c:v>1.94193141</c:v>
                </c:pt>
                <c:pt idx="1">
                  <c:v>1.9334317940000001</c:v>
                </c:pt>
                <c:pt idx="2">
                  <c:v>1.961396879</c:v>
                </c:pt>
                <c:pt idx="3">
                  <c:v>2.0283539350000002</c:v>
                </c:pt>
                <c:pt idx="4">
                  <c:v>2.2462032340000002</c:v>
                </c:pt>
                <c:pt idx="5">
                  <c:v>2.3363253570000002</c:v>
                </c:pt>
                <c:pt idx="6">
                  <c:v>1.9179486649999999</c:v>
                </c:pt>
                <c:pt idx="7">
                  <c:v>1.93685482</c:v>
                </c:pt>
                <c:pt idx="8">
                  <c:v>1.9255561349999999</c:v>
                </c:pt>
                <c:pt idx="9">
                  <c:v>1.9449195189999999</c:v>
                </c:pt>
                <c:pt idx="10">
                  <c:v>1.919309116</c:v>
                </c:pt>
                <c:pt idx="11">
                  <c:v>1.8636008850000001</c:v>
                </c:pt>
                <c:pt idx="12">
                  <c:v>1.9504321950000001</c:v>
                </c:pt>
                <c:pt idx="13">
                  <c:v>1.9851826210000001</c:v>
                </c:pt>
                <c:pt idx="14">
                  <c:v>1.9273528010000001</c:v>
                </c:pt>
                <c:pt idx="15">
                  <c:v>1.9505097570000001</c:v>
                </c:pt>
                <c:pt idx="16">
                  <c:v>2.2451269300000001</c:v>
                </c:pt>
                <c:pt idx="17">
                  <c:v>1.9393601119999999</c:v>
                </c:pt>
                <c:pt idx="18">
                  <c:v>1.9519152879999999</c:v>
                </c:pt>
                <c:pt idx="19">
                  <c:v>1.967452236</c:v>
                </c:pt>
                <c:pt idx="20">
                  <c:v>1.9595672420000001</c:v>
                </c:pt>
                <c:pt idx="21">
                  <c:v>1.971214617</c:v>
                </c:pt>
                <c:pt idx="22">
                  <c:v>1.9704107230000001</c:v>
                </c:pt>
                <c:pt idx="23">
                  <c:v>2.0153591080000002</c:v>
                </c:pt>
                <c:pt idx="24">
                  <c:v>1.968885368</c:v>
                </c:pt>
                <c:pt idx="25">
                  <c:v>2.0042890020000002</c:v>
                </c:pt>
                <c:pt idx="26">
                  <c:v>2.0007126519999998</c:v>
                </c:pt>
                <c:pt idx="27">
                  <c:v>2.018866907</c:v>
                </c:pt>
                <c:pt idx="28">
                  <c:v>2.0404307949999998</c:v>
                </c:pt>
                <c:pt idx="29">
                  <c:v>2.0547529940000002</c:v>
                </c:pt>
                <c:pt idx="30">
                  <c:v>1.995191768</c:v>
                </c:pt>
                <c:pt idx="31">
                  <c:v>2.0053291550000001</c:v>
                </c:pt>
                <c:pt idx="32">
                  <c:v>1.9929808520000001</c:v>
                </c:pt>
                <c:pt idx="33">
                  <c:v>2.057638845</c:v>
                </c:pt>
                <c:pt idx="34">
                  <c:v>1.977453779</c:v>
                </c:pt>
                <c:pt idx="35">
                  <c:v>1.9994467650000001</c:v>
                </c:pt>
                <c:pt idx="36">
                  <c:v>1.933133971</c:v>
                </c:pt>
                <c:pt idx="37">
                  <c:v>1.9638395280000001</c:v>
                </c:pt>
                <c:pt idx="38">
                  <c:v>1.9521965109999999</c:v>
                </c:pt>
                <c:pt idx="39">
                  <c:v>1.9407274720000001</c:v>
                </c:pt>
                <c:pt idx="40">
                  <c:v>1.9296031890000001</c:v>
                </c:pt>
                <c:pt idx="41">
                  <c:v>1.9386612409999999</c:v>
                </c:pt>
                <c:pt idx="42">
                  <c:v>1.950375711</c:v>
                </c:pt>
                <c:pt idx="43">
                  <c:v>1.9715264779999999</c:v>
                </c:pt>
                <c:pt idx="44">
                  <c:v>1.9637670220000001</c:v>
                </c:pt>
                <c:pt idx="45">
                  <c:v>1.981423766</c:v>
                </c:pt>
                <c:pt idx="46">
                  <c:v>1.962405755</c:v>
                </c:pt>
                <c:pt idx="47">
                  <c:v>1.9536287050000001</c:v>
                </c:pt>
                <c:pt idx="48">
                  <c:v>1.969921689</c:v>
                </c:pt>
                <c:pt idx="49">
                  <c:v>1.956218378</c:v>
                </c:pt>
                <c:pt idx="50">
                  <c:v>1.9712411969999999</c:v>
                </c:pt>
                <c:pt idx="51">
                  <c:v>1.966057765</c:v>
                </c:pt>
                <c:pt idx="52">
                  <c:v>1.9792432740000001</c:v>
                </c:pt>
                <c:pt idx="53">
                  <c:v>2.0327878899999998</c:v>
                </c:pt>
                <c:pt idx="54">
                  <c:v>1.9434830400000001</c:v>
                </c:pt>
                <c:pt idx="55">
                  <c:v>1.9553237560000001</c:v>
                </c:pt>
                <c:pt idx="56">
                  <c:v>1.943838213</c:v>
                </c:pt>
                <c:pt idx="57">
                  <c:v>2.041204757</c:v>
                </c:pt>
                <c:pt idx="58">
                  <c:v>1.917569678</c:v>
                </c:pt>
                <c:pt idx="59">
                  <c:v>1.9116268599999999</c:v>
                </c:pt>
                <c:pt idx="60">
                  <c:v>1.953169836</c:v>
                </c:pt>
                <c:pt idx="61">
                  <c:v>1.987506054</c:v>
                </c:pt>
                <c:pt idx="62">
                  <c:v>1.9697358140000001</c:v>
                </c:pt>
                <c:pt idx="63">
                  <c:v>1.9321265299999999</c:v>
                </c:pt>
                <c:pt idx="64">
                  <c:v>1.9532617990000001</c:v>
                </c:pt>
                <c:pt idx="65">
                  <c:v>1.970350592</c:v>
                </c:pt>
                <c:pt idx="66">
                  <c:v>1.9611601910000001</c:v>
                </c:pt>
                <c:pt idx="67">
                  <c:v>1.952092046</c:v>
                </c:pt>
                <c:pt idx="68">
                  <c:v>1.942149744</c:v>
                </c:pt>
                <c:pt idx="69">
                  <c:v>1.950544633</c:v>
                </c:pt>
                <c:pt idx="70">
                  <c:v>2.2549705769999999</c:v>
                </c:pt>
                <c:pt idx="71">
                  <c:v>2.2767104420000002</c:v>
                </c:pt>
                <c:pt idx="72">
                  <c:v>1.915195196</c:v>
                </c:pt>
                <c:pt idx="73">
                  <c:v>1.931820774</c:v>
                </c:pt>
                <c:pt idx="74">
                  <c:v>1.9296086020000001</c:v>
                </c:pt>
                <c:pt idx="75">
                  <c:v>1.920793422</c:v>
                </c:pt>
                <c:pt idx="76">
                  <c:v>1.9407771030000001</c:v>
                </c:pt>
                <c:pt idx="77">
                  <c:v>1.9577251920000001</c:v>
                </c:pt>
                <c:pt idx="78">
                  <c:v>1.941555342</c:v>
                </c:pt>
                <c:pt idx="79">
                  <c:v>1.9277516189999999</c:v>
                </c:pt>
                <c:pt idx="80">
                  <c:v>2.341984193</c:v>
                </c:pt>
                <c:pt idx="81">
                  <c:v>2.2706006090000002</c:v>
                </c:pt>
                <c:pt idx="82">
                  <c:v>1.952567977</c:v>
                </c:pt>
                <c:pt idx="83">
                  <c:v>1.969217542</c:v>
                </c:pt>
                <c:pt idx="84">
                  <c:v>1.99162328</c:v>
                </c:pt>
                <c:pt idx="85">
                  <c:v>2.0997519329999998</c:v>
                </c:pt>
                <c:pt idx="86">
                  <c:v>1.9640291480000001</c:v>
                </c:pt>
                <c:pt idx="87">
                  <c:v>2.0142199750000001</c:v>
                </c:pt>
                <c:pt idx="88">
                  <c:v>1.9838145599999999</c:v>
                </c:pt>
                <c:pt idx="89">
                  <c:v>1.9696121280000001</c:v>
                </c:pt>
                <c:pt idx="90">
                  <c:v>1.9920887869999999</c:v>
                </c:pt>
                <c:pt idx="91">
                  <c:v>2.0011323070000002</c:v>
                </c:pt>
                <c:pt idx="92">
                  <c:v>1.9820735970000001</c:v>
                </c:pt>
                <c:pt idx="93">
                  <c:v>1.9923511410000001</c:v>
                </c:pt>
                <c:pt idx="94">
                  <c:v>2.0019725849999999</c:v>
                </c:pt>
                <c:pt idx="95">
                  <c:v>2.0632624260000001</c:v>
                </c:pt>
                <c:pt idx="96">
                  <c:v>2.0999845239999999</c:v>
                </c:pt>
                <c:pt idx="97">
                  <c:v>1.9883569029999999</c:v>
                </c:pt>
                <c:pt idx="98">
                  <c:v>2.0810009749999998</c:v>
                </c:pt>
                <c:pt idx="99">
                  <c:v>2.0865374449999998</c:v>
                </c:pt>
                <c:pt idx="100">
                  <c:v>2.1246801899999999</c:v>
                </c:pt>
                <c:pt idx="101">
                  <c:v>1.9581018649999999</c:v>
                </c:pt>
                <c:pt idx="102">
                  <c:v>1.9665734079999999</c:v>
                </c:pt>
                <c:pt idx="103">
                  <c:v>1.932290048</c:v>
                </c:pt>
                <c:pt idx="104">
                  <c:v>1.9327950389999999</c:v>
                </c:pt>
                <c:pt idx="105">
                  <c:v>1.9566282989999999</c:v>
                </c:pt>
                <c:pt idx="106">
                  <c:v>1.9570673869999999</c:v>
                </c:pt>
                <c:pt idx="107">
                  <c:v>1.9231812260000001</c:v>
                </c:pt>
                <c:pt idx="108">
                  <c:v>1.951743615</c:v>
                </c:pt>
                <c:pt idx="109">
                  <c:v>1.969183184</c:v>
                </c:pt>
                <c:pt idx="110">
                  <c:v>1.986879923</c:v>
                </c:pt>
                <c:pt idx="111">
                  <c:v>1.959634187</c:v>
                </c:pt>
                <c:pt idx="112">
                  <c:v>1.9764453749999999</c:v>
                </c:pt>
                <c:pt idx="113">
                  <c:v>1.9783288560000001</c:v>
                </c:pt>
                <c:pt idx="114">
                  <c:v>1.950879292</c:v>
                </c:pt>
                <c:pt idx="115">
                  <c:v>1.945719306</c:v>
                </c:pt>
                <c:pt idx="116">
                  <c:v>1.966642287</c:v>
                </c:pt>
                <c:pt idx="117">
                  <c:v>1.9711990909999999</c:v>
                </c:pt>
                <c:pt idx="118">
                  <c:v>1.9709076160000001</c:v>
                </c:pt>
                <c:pt idx="119">
                  <c:v>2.0122665369999999</c:v>
                </c:pt>
                <c:pt idx="120">
                  <c:v>1.933147333</c:v>
                </c:pt>
                <c:pt idx="121">
                  <c:v>1.9872535870000001</c:v>
                </c:pt>
                <c:pt idx="122">
                  <c:v>1.929186496</c:v>
                </c:pt>
                <c:pt idx="123">
                  <c:v>1.9376265779999999</c:v>
                </c:pt>
                <c:pt idx="124">
                  <c:v>1.9536994139999999</c:v>
                </c:pt>
                <c:pt idx="125">
                  <c:v>1.926711853</c:v>
                </c:pt>
                <c:pt idx="126">
                  <c:v>1.983840791</c:v>
                </c:pt>
                <c:pt idx="127">
                  <c:v>1.930361607</c:v>
                </c:pt>
                <c:pt idx="128">
                  <c:v>1.9213442060000001</c:v>
                </c:pt>
                <c:pt idx="129">
                  <c:v>1.9421854700000001</c:v>
                </c:pt>
                <c:pt idx="130">
                  <c:v>1.9534503480000001</c:v>
                </c:pt>
                <c:pt idx="131">
                  <c:v>1.9335298540000001</c:v>
                </c:pt>
                <c:pt idx="132">
                  <c:v>1.950635334</c:v>
                </c:pt>
                <c:pt idx="133">
                  <c:v>1.9548385029999999</c:v>
                </c:pt>
              </c:numCache>
            </c:numRef>
          </c:xVal>
          <c:yVal>
            <c:numRef>
              <c:f>'Bond length b1'!$C$2:$C$135</c:f>
              <c:numCache>
                <c:formatCode>General</c:formatCode>
                <c:ptCount val="134"/>
                <c:pt idx="0">
                  <c:v>2.0130122109999999</c:v>
                </c:pt>
                <c:pt idx="1">
                  <c:v>2.0328312629999998</c:v>
                </c:pt>
                <c:pt idx="2">
                  <c:v>2.0350195129999999</c:v>
                </c:pt>
                <c:pt idx="3">
                  <c:v>2.0569222100000002</c:v>
                </c:pt>
                <c:pt idx="4">
                  <c:v>2.3081083429999998</c:v>
                </c:pt>
                <c:pt idx="5">
                  <c:v>2.957415599</c:v>
                </c:pt>
                <c:pt idx="6">
                  <c:v>2.0049840369999998</c:v>
                </c:pt>
                <c:pt idx="7">
                  <c:v>2.0572051789999999</c:v>
                </c:pt>
                <c:pt idx="8">
                  <c:v>2.0102674070000002</c:v>
                </c:pt>
                <c:pt idx="9">
                  <c:v>2.0292388799999999</c:v>
                </c:pt>
                <c:pt idx="10">
                  <c:v>1.998530742</c:v>
                </c:pt>
                <c:pt idx="11">
                  <c:v>2.0569366580000001</c:v>
                </c:pt>
                <c:pt idx="12">
                  <c:v>2.0869582740000001</c:v>
                </c:pt>
                <c:pt idx="13">
                  <c:v>2.0551587050000002</c:v>
                </c:pt>
                <c:pt idx="14">
                  <c:v>2.0142197290000001</c:v>
                </c:pt>
                <c:pt idx="15">
                  <c:v>2.0342974100000002</c:v>
                </c:pt>
                <c:pt idx="16">
                  <c:v>2.2809172470000001</c:v>
                </c:pt>
                <c:pt idx="17">
                  <c:v>2.051424972</c:v>
                </c:pt>
                <c:pt idx="18">
                  <c:v>2.037776171</c:v>
                </c:pt>
                <c:pt idx="19">
                  <c:v>2.0649213949999998</c:v>
                </c:pt>
                <c:pt idx="20">
                  <c:v>2.0578503920000002</c:v>
                </c:pt>
                <c:pt idx="21">
                  <c:v>2.0719115399999999</c:v>
                </c:pt>
                <c:pt idx="22">
                  <c:v>2.0448004800000001</c:v>
                </c:pt>
                <c:pt idx="23">
                  <c:v>2.0444176039999999</c:v>
                </c:pt>
                <c:pt idx="24">
                  <c:v>2.0399986819999998</c:v>
                </c:pt>
                <c:pt idx="25">
                  <c:v>2.1274423649999998</c:v>
                </c:pt>
                <c:pt idx="26">
                  <c:v>2.257902445</c:v>
                </c:pt>
                <c:pt idx="27">
                  <c:v>2.1359744470000002</c:v>
                </c:pt>
                <c:pt idx="28">
                  <c:v>2.1974077009999999</c:v>
                </c:pt>
                <c:pt idx="29">
                  <c:v>2.0720367249999998</c:v>
                </c:pt>
                <c:pt idx="30">
                  <c:v>1.9652050999999999</c:v>
                </c:pt>
                <c:pt idx="31">
                  <c:v>2.307076463</c:v>
                </c:pt>
                <c:pt idx="32">
                  <c:v>2.0681129290000002</c:v>
                </c:pt>
                <c:pt idx="33">
                  <c:v>2.153998434</c:v>
                </c:pt>
                <c:pt idx="34">
                  <c:v>1.9577133739999999</c:v>
                </c:pt>
                <c:pt idx="35">
                  <c:v>2.0278438200000002</c:v>
                </c:pt>
                <c:pt idx="36">
                  <c:v>2.0236854289999999</c:v>
                </c:pt>
                <c:pt idx="37">
                  <c:v>2.0161526379999999</c:v>
                </c:pt>
                <c:pt idx="38">
                  <c:v>2.0402641959999999</c:v>
                </c:pt>
                <c:pt idx="39">
                  <c:v>2.0876281030000001</c:v>
                </c:pt>
                <c:pt idx="40">
                  <c:v>2.0386102610000001</c:v>
                </c:pt>
                <c:pt idx="41">
                  <c:v>2.0970326309999998</c:v>
                </c:pt>
                <c:pt idx="42">
                  <c:v>2.0802235100000002</c:v>
                </c:pt>
                <c:pt idx="43">
                  <c:v>2.1903511309999999</c:v>
                </c:pt>
                <c:pt idx="44">
                  <c:v>2.043462731</c:v>
                </c:pt>
                <c:pt idx="45">
                  <c:v>2.0493405779999998</c:v>
                </c:pt>
                <c:pt idx="46">
                  <c:v>2.042853542</c:v>
                </c:pt>
                <c:pt idx="47">
                  <c:v>2.0094013319999999</c:v>
                </c:pt>
                <c:pt idx="48">
                  <c:v>2.0146075899999998</c:v>
                </c:pt>
                <c:pt idx="49">
                  <c:v>2.0324056179999999</c:v>
                </c:pt>
                <c:pt idx="50">
                  <c:v>2.0685249950000002</c:v>
                </c:pt>
                <c:pt idx="51">
                  <c:v>2.1002080090000002</c:v>
                </c:pt>
                <c:pt idx="52">
                  <c:v>2.0350370209999999</c:v>
                </c:pt>
                <c:pt idx="53">
                  <c:v>2.9771296299999999</c:v>
                </c:pt>
                <c:pt idx="54">
                  <c:v>2.0414700809999999</c:v>
                </c:pt>
                <c:pt idx="55">
                  <c:v>2.069167733</c:v>
                </c:pt>
                <c:pt idx="56">
                  <c:v>2.0491554289999998</c:v>
                </c:pt>
                <c:pt idx="57">
                  <c:v>4.067101268</c:v>
                </c:pt>
                <c:pt idx="58">
                  <c:v>2.0176376540000001</c:v>
                </c:pt>
                <c:pt idx="59">
                  <c:v>2.0073012060000002</c:v>
                </c:pt>
                <c:pt idx="60">
                  <c:v>2.0726872649999999</c:v>
                </c:pt>
                <c:pt idx="61">
                  <c:v>2.1009937230000002</c:v>
                </c:pt>
                <c:pt idx="62">
                  <c:v>2.0339785579999998</c:v>
                </c:pt>
                <c:pt idx="63">
                  <c:v>2.010448308</c:v>
                </c:pt>
                <c:pt idx="64">
                  <c:v>2.0331033440000001</c:v>
                </c:pt>
                <c:pt idx="65">
                  <c:v>2.0338814520000001</c:v>
                </c:pt>
                <c:pt idx="66">
                  <c:v>2.0380865319999999</c:v>
                </c:pt>
                <c:pt idx="67">
                  <c:v>2.0409776260000001</c:v>
                </c:pt>
                <c:pt idx="68">
                  <c:v>2.0087356459999999</c:v>
                </c:pt>
                <c:pt idx="69">
                  <c:v>2.0449919900000002</c:v>
                </c:pt>
                <c:pt idx="70">
                  <c:v>2.3158722790000001</c:v>
                </c:pt>
                <c:pt idx="71">
                  <c:v>2.3400365930000002</c:v>
                </c:pt>
                <c:pt idx="72">
                  <c:v>2.0445901879999999</c:v>
                </c:pt>
                <c:pt idx="73">
                  <c:v>2.0469225459999998</c:v>
                </c:pt>
                <c:pt idx="74">
                  <c:v>2.0493103160000001</c:v>
                </c:pt>
                <c:pt idx="75">
                  <c:v>1.9914226589999999</c:v>
                </c:pt>
                <c:pt idx="76">
                  <c:v>2.0378499479999999</c:v>
                </c:pt>
                <c:pt idx="77">
                  <c:v>2.023779803</c:v>
                </c:pt>
                <c:pt idx="78">
                  <c:v>2.0576446860000002</c:v>
                </c:pt>
                <c:pt idx="79">
                  <c:v>2.014138247</c:v>
                </c:pt>
                <c:pt idx="80">
                  <c:v>2.7271861469999998</c:v>
                </c:pt>
                <c:pt idx="81">
                  <c:v>2.2805957299999999</c:v>
                </c:pt>
                <c:pt idx="82">
                  <c:v>2.0457726209999998</c:v>
                </c:pt>
                <c:pt idx="83">
                  <c:v>2.0442679749999999</c:v>
                </c:pt>
                <c:pt idx="84">
                  <c:v>2.1288612250000001</c:v>
                </c:pt>
                <c:pt idx="85">
                  <c:v>2.101242118</c:v>
                </c:pt>
                <c:pt idx="86">
                  <c:v>2.035614582</c:v>
                </c:pt>
                <c:pt idx="87">
                  <c:v>2.0486372589999999</c:v>
                </c:pt>
                <c:pt idx="88">
                  <c:v>2.0458268149999999</c:v>
                </c:pt>
                <c:pt idx="89">
                  <c:v>2.0657096909999999</c:v>
                </c:pt>
                <c:pt idx="90">
                  <c:v>2.087486191</c:v>
                </c:pt>
                <c:pt idx="91">
                  <c:v>2.129610639</c:v>
                </c:pt>
                <c:pt idx="92">
                  <c:v>2.072113715</c:v>
                </c:pt>
                <c:pt idx="93">
                  <c:v>2.0546312310000001</c:v>
                </c:pt>
                <c:pt idx="94">
                  <c:v>2.0966556089999999</c:v>
                </c:pt>
                <c:pt idx="95">
                  <c:v>2.1137585460000001</c:v>
                </c:pt>
                <c:pt idx="96">
                  <c:v>2.1631454369999998</c:v>
                </c:pt>
                <c:pt idx="97">
                  <c:v>2.1756196330000002</c:v>
                </c:pt>
                <c:pt idx="98">
                  <c:v>2.1812142030000001</c:v>
                </c:pt>
                <c:pt idx="99">
                  <c:v>3.1241614100000001</c:v>
                </c:pt>
                <c:pt idx="100">
                  <c:v>3.9752881250000001</c:v>
                </c:pt>
                <c:pt idx="101">
                  <c:v>2.0715674100000001</c:v>
                </c:pt>
                <c:pt idx="102">
                  <c:v>2.016014159</c:v>
                </c:pt>
                <c:pt idx="103">
                  <c:v>2.0100487299999998</c:v>
                </c:pt>
                <c:pt idx="104">
                  <c:v>2.0486804240000001</c:v>
                </c:pt>
                <c:pt idx="105">
                  <c:v>2.06285249</c:v>
                </c:pt>
                <c:pt idx="106">
                  <c:v>1.9935888399999999</c:v>
                </c:pt>
                <c:pt idx="107">
                  <c:v>2.0265458729999999</c:v>
                </c:pt>
                <c:pt idx="108">
                  <c:v>2.1176473470000001</c:v>
                </c:pt>
                <c:pt idx="109">
                  <c:v>1.9980813399999999</c:v>
                </c:pt>
                <c:pt idx="110">
                  <c:v>2.1988237549999998</c:v>
                </c:pt>
                <c:pt idx="111">
                  <c:v>2.0506055750000001</c:v>
                </c:pt>
                <c:pt idx="112">
                  <c:v>2.0107365700000002</c:v>
                </c:pt>
                <c:pt idx="113">
                  <c:v>2.0397621610000001</c:v>
                </c:pt>
                <c:pt idx="114">
                  <c:v>2.031096893</c:v>
                </c:pt>
                <c:pt idx="115">
                  <c:v>2.0173221890000002</c:v>
                </c:pt>
                <c:pt idx="116">
                  <c:v>2.0555966149999998</c:v>
                </c:pt>
                <c:pt idx="117">
                  <c:v>2.0233149030000002</c:v>
                </c:pt>
                <c:pt idx="118">
                  <c:v>2.0947361450000002</c:v>
                </c:pt>
                <c:pt idx="119">
                  <c:v>1.9974171940000001</c:v>
                </c:pt>
                <c:pt idx="120">
                  <c:v>1.9464957060000001</c:v>
                </c:pt>
                <c:pt idx="121">
                  <c:v>2.063825612</c:v>
                </c:pt>
                <c:pt idx="122">
                  <c:v>2.0261296240000002</c:v>
                </c:pt>
                <c:pt idx="123">
                  <c:v>2.0401984670000002</c:v>
                </c:pt>
                <c:pt idx="124">
                  <c:v>2.0830745620000002</c:v>
                </c:pt>
                <c:pt idx="125">
                  <c:v>2.0450319659999998</c:v>
                </c:pt>
                <c:pt idx="126">
                  <c:v>2.1145037590000002</c:v>
                </c:pt>
                <c:pt idx="127">
                  <c:v>2.029438549</c:v>
                </c:pt>
                <c:pt idx="128">
                  <c:v>2.010014773</c:v>
                </c:pt>
                <c:pt idx="129">
                  <c:v>2.055717027</c:v>
                </c:pt>
                <c:pt idx="130">
                  <c:v>2.0701259909999998</c:v>
                </c:pt>
                <c:pt idx="131">
                  <c:v>2.043247305</c:v>
                </c:pt>
                <c:pt idx="132">
                  <c:v>2.0540770300000002</c:v>
                </c:pt>
                <c:pt idx="133">
                  <c:v>2.0420216729999998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A6-40B4-923B-1377C726AFA6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'Bond length b1'!$B$2:$B$135</c:f>
              <c:numCache>
                <c:formatCode>General</c:formatCode>
                <c:ptCount val="134"/>
                <c:pt idx="0">
                  <c:v>1.94193141</c:v>
                </c:pt>
                <c:pt idx="1">
                  <c:v>1.9334317940000001</c:v>
                </c:pt>
                <c:pt idx="2">
                  <c:v>1.961396879</c:v>
                </c:pt>
                <c:pt idx="3">
                  <c:v>2.0283539350000002</c:v>
                </c:pt>
                <c:pt idx="4">
                  <c:v>2.2462032340000002</c:v>
                </c:pt>
                <c:pt idx="5">
                  <c:v>2.3363253570000002</c:v>
                </c:pt>
                <c:pt idx="6">
                  <c:v>1.9179486649999999</c:v>
                </c:pt>
                <c:pt idx="7">
                  <c:v>1.93685482</c:v>
                </c:pt>
                <c:pt idx="8">
                  <c:v>1.9255561349999999</c:v>
                </c:pt>
                <c:pt idx="9">
                  <c:v>1.9449195189999999</c:v>
                </c:pt>
                <c:pt idx="10">
                  <c:v>1.919309116</c:v>
                </c:pt>
                <c:pt idx="11">
                  <c:v>1.8636008850000001</c:v>
                </c:pt>
                <c:pt idx="12">
                  <c:v>1.9504321950000001</c:v>
                </c:pt>
                <c:pt idx="13">
                  <c:v>1.9851826210000001</c:v>
                </c:pt>
                <c:pt idx="14">
                  <c:v>1.9273528010000001</c:v>
                </c:pt>
                <c:pt idx="15">
                  <c:v>1.9505097570000001</c:v>
                </c:pt>
                <c:pt idx="16">
                  <c:v>2.2451269300000001</c:v>
                </c:pt>
                <c:pt idx="17">
                  <c:v>1.9393601119999999</c:v>
                </c:pt>
                <c:pt idx="18">
                  <c:v>1.9519152879999999</c:v>
                </c:pt>
                <c:pt idx="19">
                  <c:v>1.967452236</c:v>
                </c:pt>
                <c:pt idx="20">
                  <c:v>1.9595672420000001</c:v>
                </c:pt>
                <c:pt idx="21">
                  <c:v>1.971214617</c:v>
                </c:pt>
                <c:pt idx="22">
                  <c:v>1.9704107230000001</c:v>
                </c:pt>
                <c:pt idx="23">
                  <c:v>2.0153591080000002</c:v>
                </c:pt>
                <c:pt idx="24">
                  <c:v>1.968885368</c:v>
                </c:pt>
                <c:pt idx="25">
                  <c:v>2.0042890020000002</c:v>
                </c:pt>
                <c:pt idx="26">
                  <c:v>2.0007126519999998</c:v>
                </c:pt>
                <c:pt idx="27">
                  <c:v>2.018866907</c:v>
                </c:pt>
                <c:pt idx="28">
                  <c:v>2.0404307949999998</c:v>
                </c:pt>
                <c:pt idx="29">
                  <c:v>2.0547529940000002</c:v>
                </c:pt>
                <c:pt idx="30">
                  <c:v>1.995191768</c:v>
                </c:pt>
                <c:pt idx="31">
                  <c:v>2.0053291550000001</c:v>
                </c:pt>
                <c:pt idx="32">
                  <c:v>1.9929808520000001</c:v>
                </c:pt>
                <c:pt idx="33">
                  <c:v>2.057638845</c:v>
                </c:pt>
                <c:pt idx="34">
                  <c:v>1.977453779</c:v>
                </c:pt>
                <c:pt idx="35">
                  <c:v>1.9994467650000001</c:v>
                </c:pt>
                <c:pt idx="36">
                  <c:v>1.933133971</c:v>
                </c:pt>
                <c:pt idx="37">
                  <c:v>1.9638395280000001</c:v>
                </c:pt>
                <c:pt idx="38">
                  <c:v>1.9521965109999999</c:v>
                </c:pt>
                <c:pt idx="39">
                  <c:v>1.9407274720000001</c:v>
                </c:pt>
                <c:pt idx="40">
                  <c:v>1.9296031890000001</c:v>
                </c:pt>
                <c:pt idx="41">
                  <c:v>1.9386612409999999</c:v>
                </c:pt>
                <c:pt idx="42">
                  <c:v>1.950375711</c:v>
                </c:pt>
                <c:pt idx="43">
                  <c:v>1.9715264779999999</c:v>
                </c:pt>
                <c:pt idx="44">
                  <c:v>1.9637670220000001</c:v>
                </c:pt>
                <c:pt idx="45">
                  <c:v>1.981423766</c:v>
                </c:pt>
                <c:pt idx="46">
                  <c:v>1.962405755</c:v>
                </c:pt>
                <c:pt idx="47">
                  <c:v>1.9536287050000001</c:v>
                </c:pt>
                <c:pt idx="48">
                  <c:v>1.969921689</c:v>
                </c:pt>
                <c:pt idx="49">
                  <c:v>1.956218378</c:v>
                </c:pt>
                <c:pt idx="50">
                  <c:v>1.9712411969999999</c:v>
                </c:pt>
                <c:pt idx="51">
                  <c:v>1.966057765</c:v>
                </c:pt>
                <c:pt idx="52">
                  <c:v>1.9792432740000001</c:v>
                </c:pt>
                <c:pt idx="53">
                  <c:v>2.0327878899999998</c:v>
                </c:pt>
                <c:pt idx="54">
                  <c:v>1.9434830400000001</c:v>
                </c:pt>
                <c:pt idx="55">
                  <c:v>1.9553237560000001</c:v>
                </c:pt>
                <c:pt idx="56">
                  <c:v>1.943838213</c:v>
                </c:pt>
                <c:pt idx="57">
                  <c:v>2.041204757</c:v>
                </c:pt>
                <c:pt idx="58">
                  <c:v>1.917569678</c:v>
                </c:pt>
                <c:pt idx="59">
                  <c:v>1.9116268599999999</c:v>
                </c:pt>
                <c:pt idx="60">
                  <c:v>1.953169836</c:v>
                </c:pt>
                <c:pt idx="61">
                  <c:v>1.987506054</c:v>
                </c:pt>
                <c:pt idx="62">
                  <c:v>1.9697358140000001</c:v>
                </c:pt>
                <c:pt idx="63">
                  <c:v>1.9321265299999999</c:v>
                </c:pt>
                <c:pt idx="64">
                  <c:v>1.9532617990000001</c:v>
                </c:pt>
                <c:pt idx="65">
                  <c:v>1.970350592</c:v>
                </c:pt>
                <c:pt idx="66">
                  <c:v>1.9611601910000001</c:v>
                </c:pt>
                <c:pt idx="67">
                  <c:v>1.952092046</c:v>
                </c:pt>
                <c:pt idx="68">
                  <c:v>1.942149744</c:v>
                </c:pt>
                <c:pt idx="69">
                  <c:v>1.950544633</c:v>
                </c:pt>
                <c:pt idx="70">
                  <c:v>2.2549705769999999</c:v>
                </c:pt>
                <c:pt idx="71">
                  <c:v>2.2767104420000002</c:v>
                </c:pt>
                <c:pt idx="72">
                  <c:v>1.915195196</c:v>
                </c:pt>
                <c:pt idx="73">
                  <c:v>1.931820774</c:v>
                </c:pt>
                <c:pt idx="74">
                  <c:v>1.9296086020000001</c:v>
                </c:pt>
                <c:pt idx="75">
                  <c:v>1.920793422</c:v>
                </c:pt>
                <c:pt idx="76">
                  <c:v>1.9407771030000001</c:v>
                </c:pt>
                <c:pt idx="77">
                  <c:v>1.9577251920000001</c:v>
                </c:pt>
                <c:pt idx="78">
                  <c:v>1.941555342</c:v>
                </c:pt>
                <c:pt idx="79">
                  <c:v>1.9277516189999999</c:v>
                </c:pt>
                <c:pt idx="80">
                  <c:v>2.341984193</c:v>
                </c:pt>
                <c:pt idx="81">
                  <c:v>2.2706006090000002</c:v>
                </c:pt>
                <c:pt idx="82">
                  <c:v>1.952567977</c:v>
                </c:pt>
                <c:pt idx="83">
                  <c:v>1.969217542</c:v>
                </c:pt>
                <c:pt idx="84">
                  <c:v>1.99162328</c:v>
                </c:pt>
                <c:pt idx="85">
                  <c:v>2.0997519329999998</c:v>
                </c:pt>
                <c:pt idx="86">
                  <c:v>1.9640291480000001</c:v>
                </c:pt>
                <c:pt idx="87">
                  <c:v>2.0142199750000001</c:v>
                </c:pt>
                <c:pt idx="88">
                  <c:v>1.9838145599999999</c:v>
                </c:pt>
                <c:pt idx="89">
                  <c:v>1.9696121280000001</c:v>
                </c:pt>
                <c:pt idx="90">
                  <c:v>1.9920887869999999</c:v>
                </c:pt>
                <c:pt idx="91">
                  <c:v>2.0011323070000002</c:v>
                </c:pt>
                <c:pt idx="92">
                  <c:v>1.9820735970000001</c:v>
                </c:pt>
                <c:pt idx="93">
                  <c:v>1.9923511410000001</c:v>
                </c:pt>
                <c:pt idx="94">
                  <c:v>2.0019725849999999</c:v>
                </c:pt>
                <c:pt idx="95">
                  <c:v>2.0632624260000001</c:v>
                </c:pt>
                <c:pt idx="96">
                  <c:v>2.0999845239999999</c:v>
                </c:pt>
                <c:pt idx="97">
                  <c:v>1.9883569029999999</c:v>
                </c:pt>
                <c:pt idx="98">
                  <c:v>2.0810009749999998</c:v>
                </c:pt>
                <c:pt idx="99">
                  <c:v>2.0865374449999998</c:v>
                </c:pt>
                <c:pt idx="100">
                  <c:v>2.1246801899999999</c:v>
                </c:pt>
                <c:pt idx="101">
                  <c:v>1.9581018649999999</c:v>
                </c:pt>
                <c:pt idx="102">
                  <c:v>1.9665734079999999</c:v>
                </c:pt>
                <c:pt idx="103">
                  <c:v>1.932290048</c:v>
                </c:pt>
                <c:pt idx="104">
                  <c:v>1.9327950389999999</c:v>
                </c:pt>
                <c:pt idx="105">
                  <c:v>1.9566282989999999</c:v>
                </c:pt>
                <c:pt idx="106">
                  <c:v>1.9570673869999999</c:v>
                </c:pt>
                <c:pt idx="107">
                  <c:v>1.9231812260000001</c:v>
                </c:pt>
                <c:pt idx="108">
                  <c:v>1.951743615</c:v>
                </c:pt>
                <c:pt idx="109">
                  <c:v>1.969183184</c:v>
                </c:pt>
                <c:pt idx="110">
                  <c:v>1.986879923</c:v>
                </c:pt>
                <c:pt idx="111">
                  <c:v>1.959634187</c:v>
                </c:pt>
                <c:pt idx="112">
                  <c:v>1.9764453749999999</c:v>
                </c:pt>
                <c:pt idx="113">
                  <c:v>1.9783288560000001</c:v>
                </c:pt>
                <c:pt idx="114">
                  <c:v>1.950879292</c:v>
                </c:pt>
                <c:pt idx="115">
                  <c:v>1.945719306</c:v>
                </c:pt>
                <c:pt idx="116">
                  <c:v>1.966642287</c:v>
                </c:pt>
                <c:pt idx="117">
                  <c:v>1.9711990909999999</c:v>
                </c:pt>
                <c:pt idx="118">
                  <c:v>1.9709076160000001</c:v>
                </c:pt>
                <c:pt idx="119">
                  <c:v>2.0122665369999999</c:v>
                </c:pt>
                <c:pt idx="120">
                  <c:v>1.933147333</c:v>
                </c:pt>
                <c:pt idx="121">
                  <c:v>1.9872535870000001</c:v>
                </c:pt>
                <c:pt idx="122">
                  <c:v>1.929186496</c:v>
                </c:pt>
                <c:pt idx="123">
                  <c:v>1.9376265779999999</c:v>
                </c:pt>
                <c:pt idx="124">
                  <c:v>1.9536994139999999</c:v>
                </c:pt>
                <c:pt idx="125">
                  <c:v>1.926711853</c:v>
                </c:pt>
                <c:pt idx="126">
                  <c:v>1.983840791</c:v>
                </c:pt>
                <c:pt idx="127">
                  <c:v>1.930361607</c:v>
                </c:pt>
                <c:pt idx="128">
                  <c:v>1.9213442060000001</c:v>
                </c:pt>
                <c:pt idx="129">
                  <c:v>1.9421854700000001</c:v>
                </c:pt>
                <c:pt idx="130">
                  <c:v>1.9534503480000001</c:v>
                </c:pt>
                <c:pt idx="131">
                  <c:v>1.9335298540000001</c:v>
                </c:pt>
                <c:pt idx="132">
                  <c:v>1.950635334</c:v>
                </c:pt>
                <c:pt idx="133">
                  <c:v>1.9548385029999999</c:v>
                </c:pt>
              </c:numCache>
            </c:numRef>
          </c:xVal>
          <c:yVal>
            <c:numRef>
              <c:f>'Bond length b1'!$I$2:$I$135</c:f>
              <c:numCache>
                <c:formatCode>General</c:formatCode>
                <c:ptCount val="134"/>
                <c:pt idx="0">
                  <c:v>1.94193141</c:v>
                </c:pt>
                <c:pt idx="1">
                  <c:v>1.9334317940000001</c:v>
                </c:pt>
                <c:pt idx="2">
                  <c:v>1.961396879</c:v>
                </c:pt>
                <c:pt idx="3">
                  <c:v>2.0283539350000002</c:v>
                </c:pt>
                <c:pt idx="4">
                  <c:v>2.2462032340000002</c:v>
                </c:pt>
                <c:pt idx="5">
                  <c:v>2.3363253570000002</c:v>
                </c:pt>
                <c:pt idx="6">
                  <c:v>1.9179486649999999</c:v>
                </c:pt>
                <c:pt idx="7">
                  <c:v>1.93685482</c:v>
                </c:pt>
                <c:pt idx="8">
                  <c:v>1.9255561349999999</c:v>
                </c:pt>
                <c:pt idx="9">
                  <c:v>1.9449195189999999</c:v>
                </c:pt>
                <c:pt idx="10">
                  <c:v>1.919309116</c:v>
                </c:pt>
                <c:pt idx="11">
                  <c:v>1.8636008850000001</c:v>
                </c:pt>
                <c:pt idx="12">
                  <c:v>1.9504321950000001</c:v>
                </c:pt>
                <c:pt idx="13">
                  <c:v>1.9851826210000001</c:v>
                </c:pt>
                <c:pt idx="14">
                  <c:v>1.9273528010000001</c:v>
                </c:pt>
                <c:pt idx="15">
                  <c:v>1.9505097570000001</c:v>
                </c:pt>
                <c:pt idx="16">
                  <c:v>2.2451269300000001</c:v>
                </c:pt>
                <c:pt idx="17">
                  <c:v>1.9393601119999999</c:v>
                </c:pt>
                <c:pt idx="18">
                  <c:v>1.9519152879999999</c:v>
                </c:pt>
                <c:pt idx="19">
                  <c:v>1.967452236</c:v>
                </c:pt>
                <c:pt idx="20">
                  <c:v>1.9595672420000001</c:v>
                </c:pt>
                <c:pt idx="21">
                  <c:v>1.971214617</c:v>
                </c:pt>
                <c:pt idx="22">
                  <c:v>1.9704107230000001</c:v>
                </c:pt>
                <c:pt idx="23">
                  <c:v>2.0153591080000002</c:v>
                </c:pt>
                <c:pt idx="24">
                  <c:v>1.968885368</c:v>
                </c:pt>
                <c:pt idx="25">
                  <c:v>2.0042890020000002</c:v>
                </c:pt>
                <c:pt idx="26">
                  <c:v>2.0007126519999998</c:v>
                </c:pt>
                <c:pt idx="27">
                  <c:v>2.018866907</c:v>
                </c:pt>
                <c:pt idx="28">
                  <c:v>2.0404307949999998</c:v>
                </c:pt>
                <c:pt idx="29">
                  <c:v>2.0547529940000002</c:v>
                </c:pt>
                <c:pt idx="30">
                  <c:v>1.995191768</c:v>
                </c:pt>
                <c:pt idx="31">
                  <c:v>2.0053291550000001</c:v>
                </c:pt>
                <c:pt idx="32">
                  <c:v>1.9929808520000001</c:v>
                </c:pt>
                <c:pt idx="33">
                  <c:v>2.057638845</c:v>
                </c:pt>
                <c:pt idx="34">
                  <c:v>1.977453779</c:v>
                </c:pt>
                <c:pt idx="35">
                  <c:v>1.9994467650000001</c:v>
                </c:pt>
                <c:pt idx="36">
                  <c:v>1.933133971</c:v>
                </c:pt>
                <c:pt idx="37">
                  <c:v>1.9638395280000001</c:v>
                </c:pt>
                <c:pt idx="38">
                  <c:v>1.9521965109999999</c:v>
                </c:pt>
                <c:pt idx="39">
                  <c:v>1.9407274720000001</c:v>
                </c:pt>
                <c:pt idx="40">
                  <c:v>1.9296031890000001</c:v>
                </c:pt>
                <c:pt idx="41">
                  <c:v>1.9386612409999999</c:v>
                </c:pt>
                <c:pt idx="42">
                  <c:v>1.950375711</c:v>
                </c:pt>
                <c:pt idx="43">
                  <c:v>1.9715264779999999</c:v>
                </c:pt>
                <c:pt idx="44">
                  <c:v>1.9637670220000001</c:v>
                </c:pt>
                <c:pt idx="45">
                  <c:v>1.981423766</c:v>
                </c:pt>
                <c:pt idx="46">
                  <c:v>1.962405755</c:v>
                </c:pt>
                <c:pt idx="47">
                  <c:v>1.9536287050000001</c:v>
                </c:pt>
                <c:pt idx="48">
                  <c:v>1.969921689</c:v>
                </c:pt>
                <c:pt idx="49">
                  <c:v>1.956218378</c:v>
                </c:pt>
                <c:pt idx="50">
                  <c:v>1.9712411969999999</c:v>
                </c:pt>
                <c:pt idx="51">
                  <c:v>1.966057765</c:v>
                </c:pt>
                <c:pt idx="52">
                  <c:v>1.9792432740000001</c:v>
                </c:pt>
                <c:pt idx="53">
                  <c:v>2.0327878899999998</c:v>
                </c:pt>
                <c:pt idx="54">
                  <c:v>1.9434830400000001</c:v>
                </c:pt>
                <c:pt idx="55">
                  <c:v>1.9553237560000001</c:v>
                </c:pt>
                <c:pt idx="56">
                  <c:v>1.943838213</c:v>
                </c:pt>
                <c:pt idx="57">
                  <c:v>2.041204757</c:v>
                </c:pt>
                <c:pt idx="58">
                  <c:v>1.917569678</c:v>
                </c:pt>
                <c:pt idx="59">
                  <c:v>1.9116268599999999</c:v>
                </c:pt>
                <c:pt idx="60">
                  <c:v>1.953169836</c:v>
                </c:pt>
                <c:pt idx="61">
                  <c:v>1.987506054</c:v>
                </c:pt>
                <c:pt idx="62">
                  <c:v>1.9697358140000001</c:v>
                </c:pt>
                <c:pt idx="63">
                  <c:v>1.9321265299999999</c:v>
                </c:pt>
                <c:pt idx="64">
                  <c:v>1.9532617990000001</c:v>
                </c:pt>
                <c:pt idx="65">
                  <c:v>1.970350592</c:v>
                </c:pt>
                <c:pt idx="66">
                  <c:v>1.9611601910000001</c:v>
                </c:pt>
                <c:pt idx="67">
                  <c:v>1.952092046</c:v>
                </c:pt>
                <c:pt idx="68">
                  <c:v>1.942149744</c:v>
                </c:pt>
                <c:pt idx="69">
                  <c:v>1.950544633</c:v>
                </c:pt>
                <c:pt idx="70">
                  <c:v>2.2549705769999999</c:v>
                </c:pt>
                <c:pt idx="71">
                  <c:v>2.2767104420000002</c:v>
                </c:pt>
                <c:pt idx="72">
                  <c:v>1.915195196</c:v>
                </c:pt>
                <c:pt idx="73">
                  <c:v>1.931820774</c:v>
                </c:pt>
                <c:pt idx="74">
                  <c:v>1.9296086020000001</c:v>
                </c:pt>
                <c:pt idx="75">
                  <c:v>1.920793422</c:v>
                </c:pt>
                <c:pt idx="76">
                  <c:v>1.9407771030000001</c:v>
                </c:pt>
                <c:pt idx="77">
                  <c:v>1.9577251920000001</c:v>
                </c:pt>
                <c:pt idx="78">
                  <c:v>1.941555342</c:v>
                </c:pt>
                <c:pt idx="79">
                  <c:v>1.9277516189999999</c:v>
                </c:pt>
                <c:pt idx="80">
                  <c:v>2.341984193</c:v>
                </c:pt>
                <c:pt idx="81">
                  <c:v>2.2706006090000002</c:v>
                </c:pt>
                <c:pt idx="82">
                  <c:v>1.952567977</c:v>
                </c:pt>
                <c:pt idx="83">
                  <c:v>1.969217542</c:v>
                </c:pt>
                <c:pt idx="84">
                  <c:v>1.99162328</c:v>
                </c:pt>
                <c:pt idx="85">
                  <c:v>2.0997519329999998</c:v>
                </c:pt>
                <c:pt idx="86">
                  <c:v>1.9640291480000001</c:v>
                </c:pt>
                <c:pt idx="87">
                  <c:v>2.0142199750000001</c:v>
                </c:pt>
                <c:pt idx="88">
                  <c:v>1.9838145599999999</c:v>
                </c:pt>
                <c:pt idx="89">
                  <c:v>1.9696121280000001</c:v>
                </c:pt>
                <c:pt idx="90">
                  <c:v>1.9920887869999999</c:v>
                </c:pt>
                <c:pt idx="91">
                  <c:v>2.0011323070000002</c:v>
                </c:pt>
                <c:pt idx="92">
                  <c:v>1.9820735970000001</c:v>
                </c:pt>
                <c:pt idx="93">
                  <c:v>1.9923511410000001</c:v>
                </c:pt>
                <c:pt idx="94">
                  <c:v>2.0019725849999999</c:v>
                </c:pt>
                <c:pt idx="95">
                  <c:v>2.0632624260000001</c:v>
                </c:pt>
                <c:pt idx="96">
                  <c:v>2.0999845239999999</c:v>
                </c:pt>
                <c:pt idx="97">
                  <c:v>1.9883569029999999</c:v>
                </c:pt>
                <c:pt idx="98">
                  <c:v>2.0810009749999998</c:v>
                </c:pt>
                <c:pt idx="99">
                  <c:v>2.0865374449999998</c:v>
                </c:pt>
                <c:pt idx="100">
                  <c:v>2.1246801899999999</c:v>
                </c:pt>
                <c:pt idx="101">
                  <c:v>1.9581018649999999</c:v>
                </c:pt>
                <c:pt idx="102">
                  <c:v>1.9665734079999999</c:v>
                </c:pt>
                <c:pt idx="103">
                  <c:v>1.932290048</c:v>
                </c:pt>
                <c:pt idx="104">
                  <c:v>1.9327950389999999</c:v>
                </c:pt>
                <c:pt idx="105">
                  <c:v>1.9566282989999999</c:v>
                </c:pt>
                <c:pt idx="106">
                  <c:v>1.9570673869999999</c:v>
                </c:pt>
                <c:pt idx="107">
                  <c:v>1.9231812260000001</c:v>
                </c:pt>
                <c:pt idx="108">
                  <c:v>1.951743615</c:v>
                </c:pt>
                <c:pt idx="109">
                  <c:v>1.969183184</c:v>
                </c:pt>
                <c:pt idx="110">
                  <c:v>1.986879923</c:v>
                </c:pt>
                <c:pt idx="111">
                  <c:v>1.959634187</c:v>
                </c:pt>
                <c:pt idx="112">
                  <c:v>1.9764453749999999</c:v>
                </c:pt>
                <c:pt idx="113">
                  <c:v>1.9783288560000001</c:v>
                </c:pt>
                <c:pt idx="114">
                  <c:v>1.950879292</c:v>
                </c:pt>
                <c:pt idx="115">
                  <c:v>1.945719306</c:v>
                </c:pt>
                <c:pt idx="116">
                  <c:v>1.966642287</c:v>
                </c:pt>
                <c:pt idx="117">
                  <c:v>1.9711990909999999</c:v>
                </c:pt>
                <c:pt idx="118">
                  <c:v>1.9709076160000001</c:v>
                </c:pt>
                <c:pt idx="119">
                  <c:v>2.0122665369999999</c:v>
                </c:pt>
                <c:pt idx="120">
                  <c:v>1.933147333</c:v>
                </c:pt>
                <c:pt idx="121">
                  <c:v>1.9872535870000001</c:v>
                </c:pt>
                <c:pt idx="122">
                  <c:v>1.929186496</c:v>
                </c:pt>
                <c:pt idx="123">
                  <c:v>1.9376265779999999</c:v>
                </c:pt>
                <c:pt idx="124">
                  <c:v>1.9536994139999999</c:v>
                </c:pt>
                <c:pt idx="125">
                  <c:v>1.926711853</c:v>
                </c:pt>
                <c:pt idx="126">
                  <c:v>1.983840791</c:v>
                </c:pt>
                <c:pt idx="127">
                  <c:v>1.930361607</c:v>
                </c:pt>
                <c:pt idx="128">
                  <c:v>1.9213442060000001</c:v>
                </c:pt>
                <c:pt idx="129">
                  <c:v>1.9421854700000001</c:v>
                </c:pt>
                <c:pt idx="130">
                  <c:v>1.9534503480000001</c:v>
                </c:pt>
                <c:pt idx="131">
                  <c:v>1.9335298540000001</c:v>
                </c:pt>
                <c:pt idx="132">
                  <c:v>1.950635334</c:v>
                </c:pt>
                <c:pt idx="133">
                  <c:v>1.9548385029999999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A6-40B4-923B-1377C726A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2.3419999999999996"/>
          <c:min val="1.8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1" u="none" strike="noStrike" kern="1200" baseline="0">
                    <a:solidFill>
                      <a:sysClr val="windowText" lastClr="000000"/>
                    </a:solidFill>
                  </a:rPr>
                  <a:t>b1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xTB 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6442872243481848"/>
              <c:y val="0.80236474158202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4.07"/>
          <c:min val="1.9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1" u="none" strike="noStrike" kern="1200" baseline="0">
                    <a:solidFill>
                      <a:sysClr val="windowText" lastClr="000000"/>
                    </a:solidFill>
                  </a:rPr>
                  <a:t>b1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DFT 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85301131846917E-4"/>
              <c:y val="0.3784601924759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spc="0" baseline="0">
                <a:solidFill>
                  <a:sysClr val="windowText" lastClr="000000"/>
                </a:solidFill>
              </a:rPr>
              <a:t>Bond length </a:t>
            </a:r>
            <a:r>
              <a:rPr lang="en-IN" sz="1600" b="1" i="1" u="none" strike="noStrike" kern="1200" spc="0" baseline="0">
                <a:solidFill>
                  <a:sysClr val="windowText" lastClr="000000"/>
                </a:solidFill>
              </a:rPr>
              <a:t>b2</a:t>
            </a:r>
          </a:p>
        </c:rich>
      </c:tx>
      <c:layout>
        <c:manualLayout>
          <c:xMode val="edge"/>
          <c:yMode val="edge"/>
          <c:x val="0.38091433716107287"/>
          <c:y val="2.84319292802154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24692301811788"/>
          <c:y val="0.17374999999999999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783548109462753"/>
                  <c:y val="-0.1516595927367815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GB" sz="1000" b="1" i="1" u="none" strike="noStrike" baseline="0">
                        <a:effectLst/>
                      </a:rPr>
                      <a:t>b2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sz="1000" b="1" baseline="0"/>
                      <a:t> = 1.93</a:t>
                    </a:r>
                    <a:r>
                      <a:rPr lang="en-GB" sz="1000" b="1" i="1" u="none" strike="noStrike" baseline="0">
                        <a:effectLst/>
                      </a:rPr>
                      <a:t>b2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sz="1000" b="1" baseline="0"/>
                      <a:t> - 1.74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0.30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0.55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0.12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0.29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134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'Bond length b2'!$B$2:$B$135</c:f>
              <c:numCache>
                <c:formatCode>General</c:formatCode>
                <c:ptCount val="134"/>
                <c:pt idx="0">
                  <c:v>1.9321955900000001</c:v>
                </c:pt>
                <c:pt idx="1">
                  <c:v>1.9373906999999999</c:v>
                </c:pt>
                <c:pt idx="2">
                  <c:v>1.9717024599999999</c:v>
                </c:pt>
                <c:pt idx="3">
                  <c:v>2.0540723839999999</c:v>
                </c:pt>
                <c:pt idx="4">
                  <c:v>2.2522182850000001</c:v>
                </c:pt>
                <c:pt idx="5">
                  <c:v>2.0580832349999998</c:v>
                </c:pt>
                <c:pt idx="6">
                  <c:v>1.9137020629999999</c:v>
                </c:pt>
                <c:pt idx="7">
                  <c:v>1.942436568</c:v>
                </c:pt>
                <c:pt idx="8">
                  <c:v>1.9385524080000001</c:v>
                </c:pt>
                <c:pt idx="9">
                  <c:v>1.962784254</c:v>
                </c:pt>
                <c:pt idx="10">
                  <c:v>1.9441373749999999</c:v>
                </c:pt>
                <c:pt idx="11">
                  <c:v>2.0996474680000001</c:v>
                </c:pt>
                <c:pt idx="12">
                  <c:v>1.933298575</c:v>
                </c:pt>
                <c:pt idx="13">
                  <c:v>1.945123387</c:v>
                </c:pt>
                <c:pt idx="14">
                  <c:v>1.95132124</c:v>
                </c:pt>
                <c:pt idx="15">
                  <c:v>2.045063587</c:v>
                </c:pt>
                <c:pt idx="16">
                  <c:v>1.9505054470000001</c:v>
                </c:pt>
                <c:pt idx="17">
                  <c:v>1.951148522</c:v>
                </c:pt>
                <c:pt idx="18">
                  <c:v>1.948654369</c:v>
                </c:pt>
                <c:pt idx="19">
                  <c:v>1.9781308639999999</c:v>
                </c:pt>
                <c:pt idx="20">
                  <c:v>1.9421810749999999</c:v>
                </c:pt>
                <c:pt idx="21">
                  <c:v>1.969706604</c:v>
                </c:pt>
                <c:pt idx="22">
                  <c:v>1.9754621809999999</c:v>
                </c:pt>
                <c:pt idx="23">
                  <c:v>1.866359071</c:v>
                </c:pt>
                <c:pt idx="24">
                  <c:v>1.976645618</c:v>
                </c:pt>
                <c:pt idx="25">
                  <c:v>1.984690069</c:v>
                </c:pt>
                <c:pt idx="26">
                  <c:v>1.99782116</c:v>
                </c:pt>
                <c:pt idx="27">
                  <c:v>1.9793027620000001</c:v>
                </c:pt>
                <c:pt idx="28">
                  <c:v>1.886125048</c:v>
                </c:pt>
                <c:pt idx="29">
                  <c:v>2.0110637699999998</c:v>
                </c:pt>
                <c:pt idx="30">
                  <c:v>2.1030942640000001</c:v>
                </c:pt>
                <c:pt idx="31">
                  <c:v>1.9947067839999999</c:v>
                </c:pt>
                <c:pt idx="32">
                  <c:v>1.9872416589999999</c:v>
                </c:pt>
                <c:pt idx="33">
                  <c:v>2.0606589319999999</c:v>
                </c:pt>
                <c:pt idx="34">
                  <c:v>2.2476159729999998</c:v>
                </c:pt>
                <c:pt idx="35">
                  <c:v>1.9677128960000001</c:v>
                </c:pt>
                <c:pt idx="36">
                  <c:v>2.0080147140000002</c:v>
                </c:pt>
                <c:pt idx="37">
                  <c:v>1.962022052</c:v>
                </c:pt>
                <c:pt idx="38">
                  <c:v>1.96273787</c:v>
                </c:pt>
                <c:pt idx="39">
                  <c:v>1.927280898</c:v>
                </c:pt>
                <c:pt idx="40">
                  <c:v>1.941899622</c:v>
                </c:pt>
                <c:pt idx="41">
                  <c:v>1.9433357449999999</c:v>
                </c:pt>
                <c:pt idx="42">
                  <c:v>1.948566126</c:v>
                </c:pt>
                <c:pt idx="43">
                  <c:v>1.961022236</c:v>
                </c:pt>
                <c:pt idx="44">
                  <c:v>1.967101464</c:v>
                </c:pt>
                <c:pt idx="45">
                  <c:v>2.0081185979999998</c:v>
                </c:pt>
                <c:pt idx="46">
                  <c:v>1.9509091080000001</c:v>
                </c:pt>
                <c:pt idx="47">
                  <c:v>1.964533613</c:v>
                </c:pt>
                <c:pt idx="48">
                  <c:v>1.9888866089999999</c:v>
                </c:pt>
                <c:pt idx="49">
                  <c:v>1.9940346040000001</c:v>
                </c:pt>
                <c:pt idx="50">
                  <c:v>1.9671897780000001</c:v>
                </c:pt>
                <c:pt idx="51">
                  <c:v>1.9565429990000001</c:v>
                </c:pt>
                <c:pt idx="52">
                  <c:v>1.9730358800000001</c:v>
                </c:pt>
                <c:pt idx="53">
                  <c:v>1.968763491</c:v>
                </c:pt>
                <c:pt idx="54">
                  <c:v>2.024926249</c:v>
                </c:pt>
                <c:pt idx="55">
                  <c:v>1.9371663210000001</c:v>
                </c:pt>
                <c:pt idx="56">
                  <c:v>1.958263731</c:v>
                </c:pt>
                <c:pt idx="57">
                  <c:v>1.9874297299999999</c:v>
                </c:pt>
                <c:pt idx="58">
                  <c:v>1.9191454859999999</c:v>
                </c:pt>
                <c:pt idx="59">
                  <c:v>1.999452191</c:v>
                </c:pt>
                <c:pt idx="60">
                  <c:v>1.9789017330000001</c:v>
                </c:pt>
                <c:pt idx="61">
                  <c:v>1.9258085030000001</c:v>
                </c:pt>
                <c:pt idx="62">
                  <c:v>1.9899688040000001</c:v>
                </c:pt>
                <c:pt idx="63">
                  <c:v>1.9320831389999999</c:v>
                </c:pt>
                <c:pt idx="64">
                  <c:v>1.94274634</c:v>
                </c:pt>
                <c:pt idx="65">
                  <c:v>1.950673152</c:v>
                </c:pt>
                <c:pt idx="66">
                  <c:v>1.9609282809999999</c:v>
                </c:pt>
                <c:pt idx="67">
                  <c:v>1.968044941</c:v>
                </c:pt>
                <c:pt idx="68">
                  <c:v>1.9583602929999999</c:v>
                </c:pt>
                <c:pt idx="69">
                  <c:v>1.9350431459999999</c:v>
                </c:pt>
                <c:pt idx="70">
                  <c:v>1.9585791210000001</c:v>
                </c:pt>
                <c:pt idx="71">
                  <c:v>2.256395591</c:v>
                </c:pt>
                <c:pt idx="72">
                  <c:v>2.24151787</c:v>
                </c:pt>
                <c:pt idx="73">
                  <c:v>1.9267546289999999</c:v>
                </c:pt>
                <c:pt idx="74">
                  <c:v>1.935756134</c:v>
                </c:pt>
                <c:pt idx="75">
                  <c:v>1.946182396</c:v>
                </c:pt>
                <c:pt idx="76">
                  <c:v>1.944237818</c:v>
                </c:pt>
                <c:pt idx="77">
                  <c:v>1.947820506</c:v>
                </c:pt>
                <c:pt idx="78">
                  <c:v>1.9746259900000001</c:v>
                </c:pt>
                <c:pt idx="79">
                  <c:v>1.9884827949999999</c:v>
                </c:pt>
                <c:pt idx="80">
                  <c:v>1.952028377</c:v>
                </c:pt>
                <c:pt idx="81">
                  <c:v>2.0927938410000002</c:v>
                </c:pt>
                <c:pt idx="82">
                  <c:v>1.939630253</c:v>
                </c:pt>
                <c:pt idx="83">
                  <c:v>1.931736388</c:v>
                </c:pt>
                <c:pt idx="84">
                  <c:v>1.941831632</c:v>
                </c:pt>
                <c:pt idx="85">
                  <c:v>1.8320330760000001</c:v>
                </c:pt>
                <c:pt idx="86">
                  <c:v>1.969389155</c:v>
                </c:pt>
                <c:pt idx="87">
                  <c:v>1.8548790150000001</c:v>
                </c:pt>
                <c:pt idx="88">
                  <c:v>1.9830799640000001</c:v>
                </c:pt>
                <c:pt idx="89">
                  <c:v>1.97551674</c:v>
                </c:pt>
                <c:pt idx="90">
                  <c:v>1.996667717</c:v>
                </c:pt>
                <c:pt idx="91">
                  <c:v>1.994152623</c:v>
                </c:pt>
                <c:pt idx="92">
                  <c:v>2.0144990229999999</c:v>
                </c:pt>
                <c:pt idx="93">
                  <c:v>2.0277865980000001</c:v>
                </c:pt>
                <c:pt idx="94">
                  <c:v>1.98772364</c:v>
                </c:pt>
                <c:pt idx="95">
                  <c:v>2.044943741</c:v>
                </c:pt>
                <c:pt idx="96">
                  <c:v>2.0246538460000001</c:v>
                </c:pt>
                <c:pt idx="97">
                  <c:v>2.082727475</c:v>
                </c:pt>
                <c:pt idx="98">
                  <c:v>2.6417735420000001</c:v>
                </c:pt>
                <c:pt idx="99">
                  <c:v>2.0517278559999998</c:v>
                </c:pt>
                <c:pt idx="100">
                  <c:v>1.987097492</c:v>
                </c:pt>
                <c:pt idx="101">
                  <c:v>1.9677903830000001</c:v>
                </c:pt>
                <c:pt idx="102">
                  <c:v>1.9655807780000001</c:v>
                </c:pt>
                <c:pt idx="103">
                  <c:v>1.941240565</c:v>
                </c:pt>
                <c:pt idx="104">
                  <c:v>1.992911264</c:v>
                </c:pt>
                <c:pt idx="105">
                  <c:v>1.95924623</c:v>
                </c:pt>
                <c:pt idx="106">
                  <c:v>1.978972003</c:v>
                </c:pt>
                <c:pt idx="107">
                  <c:v>1.9520992770000001</c:v>
                </c:pt>
                <c:pt idx="108">
                  <c:v>1.906731489</c:v>
                </c:pt>
                <c:pt idx="109">
                  <c:v>1.9458803060000001</c:v>
                </c:pt>
                <c:pt idx="110">
                  <c:v>1.9944630640000001</c:v>
                </c:pt>
                <c:pt idx="111">
                  <c:v>1.9768904009999999</c:v>
                </c:pt>
                <c:pt idx="112">
                  <c:v>1.9426313159999999</c:v>
                </c:pt>
                <c:pt idx="113">
                  <c:v>1.964123783</c:v>
                </c:pt>
                <c:pt idx="114">
                  <c:v>1.9870110620000001</c:v>
                </c:pt>
                <c:pt idx="115">
                  <c:v>2.006666241</c:v>
                </c:pt>
                <c:pt idx="116">
                  <c:v>2.0667647159999998</c:v>
                </c:pt>
                <c:pt idx="117">
                  <c:v>1.96458066</c:v>
                </c:pt>
                <c:pt idx="118">
                  <c:v>1.9750213000000001</c:v>
                </c:pt>
                <c:pt idx="119">
                  <c:v>2.0314778279999999</c:v>
                </c:pt>
                <c:pt idx="120">
                  <c:v>1.8842443280000001</c:v>
                </c:pt>
                <c:pt idx="121">
                  <c:v>1.9035706450000001</c:v>
                </c:pt>
                <c:pt idx="122">
                  <c:v>2.0239429790000001</c:v>
                </c:pt>
                <c:pt idx="123">
                  <c:v>1.954256596</c:v>
                </c:pt>
                <c:pt idx="124">
                  <c:v>1.9557912690000001</c:v>
                </c:pt>
                <c:pt idx="125">
                  <c:v>1.9865901379999999</c:v>
                </c:pt>
                <c:pt idx="126">
                  <c:v>1.9806630489999999</c:v>
                </c:pt>
                <c:pt idx="127">
                  <c:v>1.9539431890000001</c:v>
                </c:pt>
                <c:pt idx="128">
                  <c:v>1.962805328</c:v>
                </c:pt>
                <c:pt idx="129">
                  <c:v>1.9776009480000001</c:v>
                </c:pt>
                <c:pt idx="130">
                  <c:v>1.926485827</c:v>
                </c:pt>
                <c:pt idx="131">
                  <c:v>1.9736571780000001</c:v>
                </c:pt>
                <c:pt idx="132">
                  <c:v>1.9525257869999999</c:v>
                </c:pt>
                <c:pt idx="133">
                  <c:v>1.9523121029999999</c:v>
                </c:pt>
              </c:numCache>
            </c:numRef>
          </c:xVal>
          <c:yVal>
            <c:numRef>
              <c:f>'Bond length b2'!$C$2:$C$135</c:f>
              <c:numCache>
                <c:formatCode>General</c:formatCode>
                <c:ptCount val="134"/>
                <c:pt idx="0">
                  <c:v>2.0197928630000002</c:v>
                </c:pt>
                <c:pt idx="1">
                  <c:v>2.0086881280000002</c:v>
                </c:pt>
                <c:pt idx="2">
                  <c:v>2.04654881</c:v>
                </c:pt>
                <c:pt idx="3">
                  <c:v>2.1729570759999999</c:v>
                </c:pt>
                <c:pt idx="4">
                  <c:v>2.3149337980000002</c:v>
                </c:pt>
                <c:pt idx="5">
                  <c:v>2.1667618630000001</c:v>
                </c:pt>
                <c:pt idx="6">
                  <c:v>2.0432511180000001</c:v>
                </c:pt>
                <c:pt idx="7">
                  <c:v>2.0281439469999998</c:v>
                </c:pt>
                <c:pt idx="8">
                  <c:v>2.0593064609999998</c:v>
                </c:pt>
                <c:pt idx="9">
                  <c:v>2.038325854</c:v>
                </c:pt>
                <c:pt idx="10">
                  <c:v>2.030767129</c:v>
                </c:pt>
                <c:pt idx="11">
                  <c:v>2.0238801209999999</c:v>
                </c:pt>
                <c:pt idx="12">
                  <c:v>2.030345219</c:v>
                </c:pt>
                <c:pt idx="13">
                  <c:v>2.0304507620000001</c:v>
                </c:pt>
                <c:pt idx="14">
                  <c:v>2.0518871829999998</c:v>
                </c:pt>
                <c:pt idx="15">
                  <c:v>2.2050355559999999</c:v>
                </c:pt>
                <c:pt idx="16">
                  <c:v>2.008318257</c:v>
                </c:pt>
                <c:pt idx="17">
                  <c:v>2.045970547</c:v>
                </c:pt>
                <c:pt idx="18">
                  <c:v>2.02763816</c:v>
                </c:pt>
                <c:pt idx="19">
                  <c:v>2.0585969500000001</c:v>
                </c:pt>
                <c:pt idx="20">
                  <c:v>2.031276686</c:v>
                </c:pt>
                <c:pt idx="21">
                  <c:v>2.0303259090000001</c:v>
                </c:pt>
                <c:pt idx="22">
                  <c:v>2.0801727849999998</c:v>
                </c:pt>
                <c:pt idx="23">
                  <c:v>2.1074554889999999</c:v>
                </c:pt>
                <c:pt idx="24">
                  <c:v>2.116572036</c:v>
                </c:pt>
                <c:pt idx="25">
                  <c:v>2.0663158070000001</c:v>
                </c:pt>
                <c:pt idx="26">
                  <c:v>2.0049895659999999</c:v>
                </c:pt>
                <c:pt idx="27">
                  <c:v>2.0586740510000001</c:v>
                </c:pt>
                <c:pt idx="28">
                  <c:v>2.0567904229999998</c:v>
                </c:pt>
                <c:pt idx="29">
                  <c:v>2.1517200769999998</c:v>
                </c:pt>
                <c:pt idx="30">
                  <c:v>2.3263719300000001</c:v>
                </c:pt>
                <c:pt idx="31">
                  <c:v>2.1249875899999999</c:v>
                </c:pt>
                <c:pt idx="32">
                  <c:v>2.0284904109999999</c:v>
                </c:pt>
                <c:pt idx="33">
                  <c:v>2.0589205480000001</c:v>
                </c:pt>
                <c:pt idx="34">
                  <c:v>5.3006383479999997</c:v>
                </c:pt>
                <c:pt idx="35">
                  <c:v>2.0409920420000001</c:v>
                </c:pt>
                <c:pt idx="36">
                  <c:v>2.096003321</c:v>
                </c:pt>
                <c:pt idx="37">
                  <c:v>2.055734669</c:v>
                </c:pt>
                <c:pt idx="38">
                  <c:v>2.0554825229999998</c:v>
                </c:pt>
                <c:pt idx="39">
                  <c:v>2.0061175960000002</c:v>
                </c:pt>
                <c:pt idx="40">
                  <c:v>2.0127500199999999</c:v>
                </c:pt>
                <c:pt idx="41">
                  <c:v>2.0081745550000001</c:v>
                </c:pt>
                <c:pt idx="42">
                  <c:v>2.0473850219999998</c:v>
                </c:pt>
                <c:pt idx="43">
                  <c:v>2.0446657660000001</c:v>
                </c:pt>
                <c:pt idx="44">
                  <c:v>1.959942995</c:v>
                </c:pt>
                <c:pt idx="45">
                  <c:v>2.0369674130000002</c:v>
                </c:pt>
                <c:pt idx="46">
                  <c:v>2.0311195049999999</c:v>
                </c:pt>
                <c:pt idx="47">
                  <c:v>2.024980303</c:v>
                </c:pt>
                <c:pt idx="48">
                  <c:v>2.0750850189999999</c:v>
                </c:pt>
                <c:pt idx="49">
                  <c:v>2.0602519520000002</c:v>
                </c:pt>
                <c:pt idx="50">
                  <c:v>2.0424487990000002</c:v>
                </c:pt>
                <c:pt idx="51">
                  <c:v>2.0175828939999998</c:v>
                </c:pt>
                <c:pt idx="52">
                  <c:v>2.0626018949999998</c:v>
                </c:pt>
                <c:pt idx="53">
                  <c:v>2.161619843</c:v>
                </c:pt>
                <c:pt idx="54">
                  <c:v>1.994129885</c:v>
                </c:pt>
                <c:pt idx="55">
                  <c:v>2.0195477519999998</c:v>
                </c:pt>
                <c:pt idx="56">
                  <c:v>2.0335608230000002</c:v>
                </c:pt>
                <c:pt idx="57">
                  <c:v>2.0858178289999998</c:v>
                </c:pt>
                <c:pt idx="58">
                  <c:v>1.970475084</c:v>
                </c:pt>
                <c:pt idx="59">
                  <c:v>2.0931875080000002</c:v>
                </c:pt>
                <c:pt idx="60">
                  <c:v>2.0902674569999999</c:v>
                </c:pt>
                <c:pt idx="61">
                  <c:v>2.0007085280000001</c:v>
                </c:pt>
                <c:pt idx="62">
                  <c:v>2.0917128420000002</c:v>
                </c:pt>
                <c:pt idx="63">
                  <c:v>2.019219471</c:v>
                </c:pt>
                <c:pt idx="64">
                  <c:v>2.0717982159999999</c:v>
                </c:pt>
                <c:pt idx="65">
                  <c:v>2.0355638479999998</c:v>
                </c:pt>
                <c:pt idx="66">
                  <c:v>2.0635762130000002</c:v>
                </c:pt>
                <c:pt idx="67">
                  <c:v>2.065340977</c:v>
                </c:pt>
                <c:pt idx="68">
                  <c:v>2.0612123910000002</c:v>
                </c:pt>
                <c:pt idx="69">
                  <c:v>2.032847319</c:v>
                </c:pt>
                <c:pt idx="70">
                  <c:v>2.0161796430000001</c:v>
                </c:pt>
                <c:pt idx="71">
                  <c:v>2.3147868370000002</c:v>
                </c:pt>
                <c:pt idx="72">
                  <c:v>2.3320033590000002</c:v>
                </c:pt>
                <c:pt idx="73">
                  <c:v>2.0071924120000002</c:v>
                </c:pt>
                <c:pt idx="74">
                  <c:v>2.0311662739999998</c:v>
                </c:pt>
                <c:pt idx="75">
                  <c:v>2.007446651</c:v>
                </c:pt>
                <c:pt idx="76">
                  <c:v>2.031772514</c:v>
                </c:pt>
                <c:pt idx="77">
                  <c:v>2.0390152879999999</c:v>
                </c:pt>
                <c:pt idx="78">
                  <c:v>2.0569993819999999</c:v>
                </c:pt>
                <c:pt idx="79">
                  <c:v>2.0610643290000001</c:v>
                </c:pt>
                <c:pt idx="80">
                  <c:v>2.0517927829999998</c:v>
                </c:pt>
                <c:pt idx="81">
                  <c:v>2.1509446560000001</c:v>
                </c:pt>
                <c:pt idx="82">
                  <c:v>2.051567672</c:v>
                </c:pt>
                <c:pt idx="83">
                  <c:v>2.0050311089999999</c:v>
                </c:pt>
                <c:pt idx="84">
                  <c:v>2.0063853950000001</c:v>
                </c:pt>
                <c:pt idx="85">
                  <c:v>2.024974018</c:v>
                </c:pt>
                <c:pt idx="86">
                  <c:v>2.065510604</c:v>
                </c:pt>
                <c:pt idx="87">
                  <c:v>2.0842051860000002</c:v>
                </c:pt>
                <c:pt idx="88">
                  <c:v>2.1042941970000002</c:v>
                </c:pt>
                <c:pt idx="89">
                  <c:v>2.0807045390000001</c:v>
                </c:pt>
                <c:pt idx="90">
                  <c:v>2.108581875</c:v>
                </c:pt>
                <c:pt idx="91">
                  <c:v>2.0652799339999999</c:v>
                </c:pt>
                <c:pt idx="92">
                  <c:v>2.1194583730000001</c:v>
                </c:pt>
                <c:pt idx="93">
                  <c:v>2.151713574</c:v>
                </c:pt>
                <c:pt idx="94">
                  <c:v>2.108776743</c:v>
                </c:pt>
                <c:pt idx="95">
                  <c:v>2.1459637059999999</c:v>
                </c:pt>
                <c:pt idx="96">
                  <c:v>2.0305386219999999</c:v>
                </c:pt>
                <c:pt idx="97">
                  <c:v>1.9370524229999999</c:v>
                </c:pt>
                <c:pt idx="98">
                  <c:v>3.1642171010000002</c:v>
                </c:pt>
                <c:pt idx="99">
                  <c:v>1.997085974</c:v>
                </c:pt>
                <c:pt idx="100">
                  <c:v>1.891748797</c:v>
                </c:pt>
                <c:pt idx="101">
                  <c:v>2.0426297510000002</c:v>
                </c:pt>
                <c:pt idx="102">
                  <c:v>2.0556658840000002</c:v>
                </c:pt>
                <c:pt idx="103">
                  <c:v>2.0429948360000001</c:v>
                </c:pt>
                <c:pt idx="104">
                  <c:v>2.104313017</c:v>
                </c:pt>
                <c:pt idx="105">
                  <c:v>2.0210322930000002</c:v>
                </c:pt>
                <c:pt idx="106">
                  <c:v>2.0475400970000002</c:v>
                </c:pt>
                <c:pt idx="107">
                  <c:v>2.0395472880000001</c:v>
                </c:pt>
                <c:pt idx="108">
                  <c:v>1.977533856</c:v>
                </c:pt>
                <c:pt idx="109">
                  <c:v>2.0802321319999999</c:v>
                </c:pt>
                <c:pt idx="110">
                  <c:v>1.978537413</c:v>
                </c:pt>
                <c:pt idx="111">
                  <c:v>2.0080901529999999</c:v>
                </c:pt>
                <c:pt idx="112">
                  <c:v>2.032187226</c:v>
                </c:pt>
                <c:pt idx="113">
                  <c:v>2.0229907059999999</c:v>
                </c:pt>
                <c:pt idx="114">
                  <c:v>2.0392063029999998</c:v>
                </c:pt>
                <c:pt idx="115">
                  <c:v>2.0665052350000002</c:v>
                </c:pt>
                <c:pt idx="116">
                  <c:v>2.0328102819999998</c:v>
                </c:pt>
                <c:pt idx="117">
                  <c:v>2.14797686</c:v>
                </c:pt>
                <c:pt idx="118">
                  <c:v>2.0839084529999998</c:v>
                </c:pt>
                <c:pt idx="119">
                  <c:v>2.2130369220000001</c:v>
                </c:pt>
                <c:pt idx="120">
                  <c:v>2.1849414989999998</c:v>
                </c:pt>
                <c:pt idx="121">
                  <c:v>2.0410243779999999</c:v>
                </c:pt>
                <c:pt idx="122">
                  <c:v>2.2363542980000002</c:v>
                </c:pt>
                <c:pt idx="123">
                  <c:v>2.048257666</c:v>
                </c:pt>
                <c:pt idx="124">
                  <c:v>2.034183772</c:v>
                </c:pt>
                <c:pt idx="125">
                  <c:v>2.0895536469999998</c:v>
                </c:pt>
                <c:pt idx="126">
                  <c:v>2.0973324409999998</c:v>
                </c:pt>
                <c:pt idx="127">
                  <c:v>2.0068262840000002</c:v>
                </c:pt>
                <c:pt idx="128">
                  <c:v>2.0588725750000001</c:v>
                </c:pt>
                <c:pt idx="129">
                  <c:v>2.0257491019999998</c:v>
                </c:pt>
                <c:pt idx="130">
                  <c:v>2.0128677169999998</c:v>
                </c:pt>
                <c:pt idx="131">
                  <c:v>2.0665362319999998</c:v>
                </c:pt>
                <c:pt idx="132">
                  <c:v>2.0218994119999998</c:v>
                </c:pt>
                <c:pt idx="133">
                  <c:v>2.0404390440000002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FE-4E8A-98BB-5F5C0CD70D86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'Bond length b2'!$B$2:$B$135</c:f>
              <c:numCache>
                <c:formatCode>General</c:formatCode>
                <c:ptCount val="134"/>
                <c:pt idx="0">
                  <c:v>1.9321955900000001</c:v>
                </c:pt>
                <c:pt idx="1">
                  <c:v>1.9373906999999999</c:v>
                </c:pt>
                <c:pt idx="2">
                  <c:v>1.9717024599999999</c:v>
                </c:pt>
                <c:pt idx="3">
                  <c:v>2.0540723839999999</c:v>
                </c:pt>
                <c:pt idx="4">
                  <c:v>2.2522182850000001</c:v>
                </c:pt>
                <c:pt idx="5">
                  <c:v>2.0580832349999998</c:v>
                </c:pt>
                <c:pt idx="6">
                  <c:v>1.9137020629999999</c:v>
                </c:pt>
                <c:pt idx="7">
                  <c:v>1.942436568</c:v>
                </c:pt>
                <c:pt idx="8">
                  <c:v>1.9385524080000001</c:v>
                </c:pt>
                <c:pt idx="9">
                  <c:v>1.962784254</c:v>
                </c:pt>
                <c:pt idx="10">
                  <c:v>1.9441373749999999</c:v>
                </c:pt>
                <c:pt idx="11">
                  <c:v>2.0996474680000001</c:v>
                </c:pt>
                <c:pt idx="12">
                  <c:v>1.933298575</c:v>
                </c:pt>
                <c:pt idx="13">
                  <c:v>1.945123387</c:v>
                </c:pt>
                <c:pt idx="14">
                  <c:v>1.95132124</c:v>
                </c:pt>
                <c:pt idx="15">
                  <c:v>2.045063587</c:v>
                </c:pt>
                <c:pt idx="16">
                  <c:v>1.9505054470000001</c:v>
                </c:pt>
                <c:pt idx="17">
                  <c:v>1.951148522</c:v>
                </c:pt>
                <c:pt idx="18">
                  <c:v>1.948654369</c:v>
                </c:pt>
                <c:pt idx="19">
                  <c:v>1.9781308639999999</c:v>
                </c:pt>
                <c:pt idx="20">
                  <c:v>1.9421810749999999</c:v>
                </c:pt>
                <c:pt idx="21">
                  <c:v>1.969706604</c:v>
                </c:pt>
                <c:pt idx="22">
                  <c:v>1.9754621809999999</c:v>
                </c:pt>
                <c:pt idx="23">
                  <c:v>1.866359071</c:v>
                </c:pt>
                <c:pt idx="24">
                  <c:v>1.976645618</c:v>
                </c:pt>
                <c:pt idx="25">
                  <c:v>1.984690069</c:v>
                </c:pt>
                <c:pt idx="26">
                  <c:v>1.99782116</c:v>
                </c:pt>
                <c:pt idx="27">
                  <c:v>1.9793027620000001</c:v>
                </c:pt>
                <c:pt idx="28">
                  <c:v>1.886125048</c:v>
                </c:pt>
                <c:pt idx="29">
                  <c:v>2.0110637699999998</c:v>
                </c:pt>
                <c:pt idx="30">
                  <c:v>2.1030942640000001</c:v>
                </c:pt>
                <c:pt idx="31">
                  <c:v>1.9947067839999999</c:v>
                </c:pt>
                <c:pt idx="32">
                  <c:v>1.9872416589999999</c:v>
                </c:pt>
                <c:pt idx="33">
                  <c:v>2.0606589319999999</c:v>
                </c:pt>
                <c:pt idx="34">
                  <c:v>2.2476159729999998</c:v>
                </c:pt>
                <c:pt idx="35">
                  <c:v>1.9677128960000001</c:v>
                </c:pt>
                <c:pt idx="36">
                  <c:v>2.0080147140000002</c:v>
                </c:pt>
                <c:pt idx="37">
                  <c:v>1.962022052</c:v>
                </c:pt>
                <c:pt idx="38">
                  <c:v>1.96273787</c:v>
                </c:pt>
                <c:pt idx="39">
                  <c:v>1.927280898</c:v>
                </c:pt>
                <c:pt idx="40">
                  <c:v>1.941899622</c:v>
                </c:pt>
                <c:pt idx="41">
                  <c:v>1.9433357449999999</c:v>
                </c:pt>
                <c:pt idx="42">
                  <c:v>1.948566126</c:v>
                </c:pt>
                <c:pt idx="43">
                  <c:v>1.961022236</c:v>
                </c:pt>
                <c:pt idx="44">
                  <c:v>1.967101464</c:v>
                </c:pt>
                <c:pt idx="45">
                  <c:v>2.0081185979999998</c:v>
                </c:pt>
                <c:pt idx="46">
                  <c:v>1.9509091080000001</c:v>
                </c:pt>
                <c:pt idx="47">
                  <c:v>1.964533613</c:v>
                </c:pt>
                <c:pt idx="48">
                  <c:v>1.9888866089999999</c:v>
                </c:pt>
                <c:pt idx="49">
                  <c:v>1.9940346040000001</c:v>
                </c:pt>
                <c:pt idx="50">
                  <c:v>1.9671897780000001</c:v>
                </c:pt>
                <c:pt idx="51">
                  <c:v>1.9565429990000001</c:v>
                </c:pt>
                <c:pt idx="52">
                  <c:v>1.9730358800000001</c:v>
                </c:pt>
                <c:pt idx="53">
                  <c:v>1.968763491</c:v>
                </c:pt>
                <c:pt idx="54">
                  <c:v>2.024926249</c:v>
                </c:pt>
                <c:pt idx="55">
                  <c:v>1.9371663210000001</c:v>
                </c:pt>
                <c:pt idx="56">
                  <c:v>1.958263731</c:v>
                </c:pt>
                <c:pt idx="57">
                  <c:v>1.9874297299999999</c:v>
                </c:pt>
                <c:pt idx="58">
                  <c:v>1.9191454859999999</c:v>
                </c:pt>
                <c:pt idx="59">
                  <c:v>1.999452191</c:v>
                </c:pt>
                <c:pt idx="60">
                  <c:v>1.9789017330000001</c:v>
                </c:pt>
                <c:pt idx="61">
                  <c:v>1.9258085030000001</c:v>
                </c:pt>
                <c:pt idx="62">
                  <c:v>1.9899688040000001</c:v>
                </c:pt>
                <c:pt idx="63">
                  <c:v>1.9320831389999999</c:v>
                </c:pt>
                <c:pt idx="64">
                  <c:v>1.94274634</c:v>
                </c:pt>
                <c:pt idx="65">
                  <c:v>1.950673152</c:v>
                </c:pt>
                <c:pt idx="66">
                  <c:v>1.9609282809999999</c:v>
                </c:pt>
                <c:pt idx="67">
                  <c:v>1.968044941</c:v>
                </c:pt>
                <c:pt idx="68">
                  <c:v>1.9583602929999999</c:v>
                </c:pt>
                <c:pt idx="69">
                  <c:v>1.9350431459999999</c:v>
                </c:pt>
                <c:pt idx="70">
                  <c:v>1.9585791210000001</c:v>
                </c:pt>
                <c:pt idx="71">
                  <c:v>2.256395591</c:v>
                </c:pt>
                <c:pt idx="72">
                  <c:v>2.24151787</c:v>
                </c:pt>
                <c:pt idx="73">
                  <c:v>1.9267546289999999</c:v>
                </c:pt>
                <c:pt idx="74">
                  <c:v>1.935756134</c:v>
                </c:pt>
                <c:pt idx="75">
                  <c:v>1.946182396</c:v>
                </c:pt>
                <c:pt idx="76">
                  <c:v>1.944237818</c:v>
                </c:pt>
                <c:pt idx="77">
                  <c:v>1.947820506</c:v>
                </c:pt>
                <c:pt idx="78">
                  <c:v>1.9746259900000001</c:v>
                </c:pt>
                <c:pt idx="79">
                  <c:v>1.9884827949999999</c:v>
                </c:pt>
                <c:pt idx="80">
                  <c:v>1.952028377</c:v>
                </c:pt>
                <c:pt idx="81">
                  <c:v>2.0927938410000002</c:v>
                </c:pt>
                <c:pt idx="82">
                  <c:v>1.939630253</c:v>
                </c:pt>
                <c:pt idx="83">
                  <c:v>1.931736388</c:v>
                </c:pt>
                <c:pt idx="84">
                  <c:v>1.941831632</c:v>
                </c:pt>
                <c:pt idx="85">
                  <c:v>1.8320330760000001</c:v>
                </c:pt>
                <c:pt idx="86">
                  <c:v>1.969389155</c:v>
                </c:pt>
                <c:pt idx="87">
                  <c:v>1.8548790150000001</c:v>
                </c:pt>
                <c:pt idx="88">
                  <c:v>1.9830799640000001</c:v>
                </c:pt>
                <c:pt idx="89">
                  <c:v>1.97551674</c:v>
                </c:pt>
                <c:pt idx="90">
                  <c:v>1.996667717</c:v>
                </c:pt>
                <c:pt idx="91">
                  <c:v>1.994152623</c:v>
                </c:pt>
                <c:pt idx="92">
                  <c:v>2.0144990229999999</c:v>
                </c:pt>
                <c:pt idx="93">
                  <c:v>2.0277865980000001</c:v>
                </c:pt>
                <c:pt idx="94">
                  <c:v>1.98772364</c:v>
                </c:pt>
                <c:pt idx="95">
                  <c:v>2.044943741</c:v>
                </c:pt>
                <c:pt idx="96">
                  <c:v>2.0246538460000001</c:v>
                </c:pt>
                <c:pt idx="97">
                  <c:v>2.082727475</c:v>
                </c:pt>
                <c:pt idx="98">
                  <c:v>2.6417735420000001</c:v>
                </c:pt>
                <c:pt idx="99">
                  <c:v>2.0517278559999998</c:v>
                </c:pt>
                <c:pt idx="100">
                  <c:v>1.987097492</c:v>
                </c:pt>
                <c:pt idx="101">
                  <c:v>1.9677903830000001</c:v>
                </c:pt>
                <c:pt idx="102">
                  <c:v>1.9655807780000001</c:v>
                </c:pt>
                <c:pt idx="103">
                  <c:v>1.941240565</c:v>
                </c:pt>
                <c:pt idx="104">
                  <c:v>1.992911264</c:v>
                </c:pt>
                <c:pt idx="105">
                  <c:v>1.95924623</c:v>
                </c:pt>
                <c:pt idx="106">
                  <c:v>1.978972003</c:v>
                </c:pt>
                <c:pt idx="107">
                  <c:v>1.9520992770000001</c:v>
                </c:pt>
                <c:pt idx="108">
                  <c:v>1.906731489</c:v>
                </c:pt>
                <c:pt idx="109">
                  <c:v>1.9458803060000001</c:v>
                </c:pt>
                <c:pt idx="110">
                  <c:v>1.9944630640000001</c:v>
                </c:pt>
                <c:pt idx="111">
                  <c:v>1.9768904009999999</c:v>
                </c:pt>
                <c:pt idx="112">
                  <c:v>1.9426313159999999</c:v>
                </c:pt>
                <c:pt idx="113">
                  <c:v>1.964123783</c:v>
                </c:pt>
                <c:pt idx="114">
                  <c:v>1.9870110620000001</c:v>
                </c:pt>
                <c:pt idx="115">
                  <c:v>2.006666241</c:v>
                </c:pt>
                <c:pt idx="116">
                  <c:v>2.0667647159999998</c:v>
                </c:pt>
                <c:pt idx="117">
                  <c:v>1.96458066</c:v>
                </c:pt>
                <c:pt idx="118">
                  <c:v>1.9750213000000001</c:v>
                </c:pt>
                <c:pt idx="119">
                  <c:v>2.0314778279999999</c:v>
                </c:pt>
                <c:pt idx="120">
                  <c:v>1.8842443280000001</c:v>
                </c:pt>
                <c:pt idx="121">
                  <c:v>1.9035706450000001</c:v>
                </c:pt>
                <c:pt idx="122">
                  <c:v>2.0239429790000001</c:v>
                </c:pt>
                <c:pt idx="123">
                  <c:v>1.954256596</c:v>
                </c:pt>
                <c:pt idx="124">
                  <c:v>1.9557912690000001</c:v>
                </c:pt>
                <c:pt idx="125">
                  <c:v>1.9865901379999999</c:v>
                </c:pt>
                <c:pt idx="126">
                  <c:v>1.9806630489999999</c:v>
                </c:pt>
                <c:pt idx="127">
                  <c:v>1.9539431890000001</c:v>
                </c:pt>
                <c:pt idx="128">
                  <c:v>1.962805328</c:v>
                </c:pt>
                <c:pt idx="129">
                  <c:v>1.9776009480000001</c:v>
                </c:pt>
                <c:pt idx="130">
                  <c:v>1.926485827</c:v>
                </c:pt>
                <c:pt idx="131">
                  <c:v>1.9736571780000001</c:v>
                </c:pt>
                <c:pt idx="132">
                  <c:v>1.9525257869999999</c:v>
                </c:pt>
                <c:pt idx="133">
                  <c:v>1.9523121029999999</c:v>
                </c:pt>
              </c:numCache>
            </c:numRef>
          </c:xVal>
          <c:yVal>
            <c:numRef>
              <c:f>'Bond length b2'!$I$2:$I$135</c:f>
              <c:numCache>
                <c:formatCode>General</c:formatCode>
                <c:ptCount val="134"/>
                <c:pt idx="0">
                  <c:v>1.9321955900000001</c:v>
                </c:pt>
                <c:pt idx="1">
                  <c:v>1.9373906999999999</c:v>
                </c:pt>
                <c:pt idx="2">
                  <c:v>1.9717024599999999</c:v>
                </c:pt>
                <c:pt idx="3">
                  <c:v>2.0540723839999999</c:v>
                </c:pt>
                <c:pt idx="4">
                  <c:v>2.2522182850000001</c:v>
                </c:pt>
                <c:pt idx="5">
                  <c:v>2.0580832349999998</c:v>
                </c:pt>
                <c:pt idx="6">
                  <c:v>1.9137020629999999</c:v>
                </c:pt>
                <c:pt idx="7">
                  <c:v>1.942436568</c:v>
                </c:pt>
                <c:pt idx="8">
                  <c:v>1.9385524080000001</c:v>
                </c:pt>
                <c:pt idx="9">
                  <c:v>1.962784254</c:v>
                </c:pt>
                <c:pt idx="10">
                  <c:v>1.9441373749999999</c:v>
                </c:pt>
                <c:pt idx="11">
                  <c:v>2.0996474680000001</c:v>
                </c:pt>
                <c:pt idx="12">
                  <c:v>1.933298575</c:v>
                </c:pt>
                <c:pt idx="13">
                  <c:v>1.945123387</c:v>
                </c:pt>
                <c:pt idx="14">
                  <c:v>1.95132124</c:v>
                </c:pt>
                <c:pt idx="15">
                  <c:v>2.045063587</c:v>
                </c:pt>
                <c:pt idx="16">
                  <c:v>1.9505054470000001</c:v>
                </c:pt>
                <c:pt idx="17">
                  <c:v>1.951148522</c:v>
                </c:pt>
                <c:pt idx="18">
                  <c:v>1.948654369</c:v>
                </c:pt>
                <c:pt idx="19">
                  <c:v>1.9781308639999999</c:v>
                </c:pt>
                <c:pt idx="20">
                  <c:v>1.9421810749999999</c:v>
                </c:pt>
                <c:pt idx="21">
                  <c:v>1.969706604</c:v>
                </c:pt>
                <c:pt idx="22">
                  <c:v>1.9754621809999999</c:v>
                </c:pt>
                <c:pt idx="23">
                  <c:v>1.866359071</c:v>
                </c:pt>
                <c:pt idx="24">
                  <c:v>1.976645618</c:v>
                </c:pt>
                <c:pt idx="25">
                  <c:v>1.984690069</c:v>
                </c:pt>
                <c:pt idx="26">
                  <c:v>1.99782116</c:v>
                </c:pt>
                <c:pt idx="27">
                  <c:v>1.9793027620000001</c:v>
                </c:pt>
                <c:pt idx="28">
                  <c:v>1.886125048</c:v>
                </c:pt>
                <c:pt idx="29">
                  <c:v>2.0110637699999998</c:v>
                </c:pt>
                <c:pt idx="30">
                  <c:v>2.1030942640000001</c:v>
                </c:pt>
                <c:pt idx="31">
                  <c:v>1.9947067839999999</c:v>
                </c:pt>
                <c:pt idx="32">
                  <c:v>1.9872416589999999</c:v>
                </c:pt>
                <c:pt idx="33">
                  <c:v>2.0606589319999999</c:v>
                </c:pt>
                <c:pt idx="34">
                  <c:v>2.2476159729999998</c:v>
                </c:pt>
                <c:pt idx="35">
                  <c:v>1.9677128960000001</c:v>
                </c:pt>
                <c:pt idx="36">
                  <c:v>2.0080147140000002</c:v>
                </c:pt>
                <c:pt idx="37">
                  <c:v>1.962022052</c:v>
                </c:pt>
                <c:pt idx="38">
                  <c:v>1.96273787</c:v>
                </c:pt>
                <c:pt idx="39">
                  <c:v>1.927280898</c:v>
                </c:pt>
                <c:pt idx="40">
                  <c:v>1.941899622</c:v>
                </c:pt>
                <c:pt idx="41">
                  <c:v>1.9433357449999999</c:v>
                </c:pt>
                <c:pt idx="42">
                  <c:v>1.948566126</c:v>
                </c:pt>
                <c:pt idx="43">
                  <c:v>1.961022236</c:v>
                </c:pt>
                <c:pt idx="44">
                  <c:v>1.967101464</c:v>
                </c:pt>
                <c:pt idx="45">
                  <c:v>2.0081185979999998</c:v>
                </c:pt>
                <c:pt idx="46">
                  <c:v>1.9509091080000001</c:v>
                </c:pt>
                <c:pt idx="47">
                  <c:v>1.964533613</c:v>
                </c:pt>
                <c:pt idx="48">
                  <c:v>1.9888866089999999</c:v>
                </c:pt>
                <c:pt idx="49">
                  <c:v>1.9940346040000001</c:v>
                </c:pt>
                <c:pt idx="50">
                  <c:v>1.9671897780000001</c:v>
                </c:pt>
                <c:pt idx="51">
                  <c:v>1.9565429990000001</c:v>
                </c:pt>
                <c:pt idx="52">
                  <c:v>1.9730358800000001</c:v>
                </c:pt>
                <c:pt idx="53">
                  <c:v>1.968763491</c:v>
                </c:pt>
                <c:pt idx="54">
                  <c:v>2.024926249</c:v>
                </c:pt>
                <c:pt idx="55">
                  <c:v>1.9371663210000001</c:v>
                </c:pt>
                <c:pt idx="56">
                  <c:v>1.958263731</c:v>
                </c:pt>
                <c:pt idx="57">
                  <c:v>1.9874297299999999</c:v>
                </c:pt>
                <c:pt idx="58">
                  <c:v>1.9191454859999999</c:v>
                </c:pt>
                <c:pt idx="59">
                  <c:v>1.999452191</c:v>
                </c:pt>
                <c:pt idx="60">
                  <c:v>1.9789017330000001</c:v>
                </c:pt>
                <c:pt idx="61">
                  <c:v>1.9258085030000001</c:v>
                </c:pt>
                <c:pt idx="62">
                  <c:v>1.9899688040000001</c:v>
                </c:pt>
                <c:pt idx="63">
                  <c:v>1.9320831389999999</c:v>
                </c:pt>
                <c:pt idx="64">
                  <c:v>1.94274634</c:v>
                </c:pt>
                <c:pt idx="65">
                  <c:v>1.950673152</c:v>
                </c:pt>
                <c:pt idx="66">
                  <c:v>1.9609282809999999</c:v>
                </c:pt>
                <c:pt idx="67">
                  <c:v>1.968044941</c:v>
                </c:pt>
                <c:pt idx="68">
                  <c:v>1.9583602929999999</c:v>
                </c:pt>
                <c:pt idx="69">
                  <c:v>1.9350431459999999</c:v>
                </c:pt>
                <c:pt idx="70">
                  <c:v>1.9585791210000001</c:v>
                </c:pt>
                <c:pt idx="71">
                  <c:v>2.256395591</c:v>
                </c:pt>
                <c:pt idx="72">
                  <c:v>2.24151787</c:v>
                </c:pt>
                <c:pt idx="73">
                  <c:v>1.9267546289999999</c:v>
                </c:pt>
                <c:pt idx="74">
                  <c:v>1.935756134</c:v>
                </c:pt>
                <c:pt idx="75">
                  <c:v>1.946182396</c:v>
                </c:pt>
                <c:pt idx="76">
                  <c:v>1.944237818</c:v>
                </c:pt>
                <c:pt idx="77">
                  <c:v>1.947820506</c:v>
                </c:pt>
                <c:pt idx="78">
                  <c:v>1.9746259900000001</c:v>
                </c:pt>
                <c:pt idx="79">
                  <c:v>1.9884827949999999</c:v>
                </c:pt>
                <c:pt idx="80">
                  <c:v>1.952028377</c:v>
                </c:pt>
                <c:pt idx="81">
                  <c:v>2.0927938410000002</c:v>
                </c:pt>
                <c:pt idx="82">
                  <c:v>1.939630253</c:v>
                </c:pt>
                <c:pt idx="83">
                  <c:v>1.931736388</c:v>
                </c:pt>
                <c:pt idx="84">
                  <c:v>1.941831632</c:v>
                </c:pt>
                <c:pt idx="85">
                  <c:v>1.8320330760000001</c:v>
                </c:pt>
                <c:pt idx="86">
                  <c:v>1.969389155</c:v>
                </c:pt>
                <c:pt idx="87">
                  <c:v>1.8548790150000001</c:v>
                </c:pt>
                <c:pt idx="88">
                  <c:v>1.9830799640000001</c:v>
                </c:pt>
                <c:pt idx="89">
                  <c:v>1.97551674</c:v>
                </c:pt>
                <c:pt idx="90">
                  <c:v>1.996667717</c:v>
                </c:pt>
                <c:pt idx="91">
                  <c:v>1.994152623</c:v>
                </c:pt>
                <c:pt idx="92">
                  <c:v>2.0144990229999999</c:v>
                </c:pt>
                <c:pt idx="93">
                  <c:v>2.0277865980000001</c:v>
                </c:pt>
                <c:pt idx="94">
                  <c:v>1.98772364</c:v>
                </c:pt>
                <c:pt idx="95">
                  <c:v>2.044943741</c:v>
                </c:pt>
                <c:pt idx="96">
                  <c:v>2.0246538460000001</c:v>
                </c:pt>
                <c:pt idx="97">
                  <c:v>2.082727475</c:v>
                </c:pt>
                <c:pt idx="98">
                  <c:v>2.6417735420000001</c:v>
                </c:pt>
                <c:pt idx="99">
                  <c:v>2.0517278559999998</c:v>
                </c:pt>
                <c:pt idx="100">
                  <c:v>1.987097492</c:v>
                </c:pt>
                <c:pt idx="101">
                  <c:v>1.9677903830000001</c:v>
                </c:pt>
                <c:pt idx="102">
                  <c:v>1.9655807780000001</c:v>
                </c:pt>
                <c:pt idx="103">
                  <c:v>1.941240565</c:v>
                </c:pt>
                <c:pt idx="104">
                  <c:v>1.992911264</c:v>
                </c:pt>
                <c:pt idx="105">
                  <c:v>1.95924623</c:v>
                </c:pt>
                <c:pt idx="106">
                  <c:v>1.978972003</c:v>
                </c:pt>
                <c:pt idx="107">
                  <c:v>1.9520992770000001</c:v>
                </c:pt>
                <c:pt idx="108">
                  <c:v>1.906731489</c:v>
                </c:pt>
                <c:pt idx="109">
                  <c:v>1.9458803060000001</c:v>
                </c:pt>
                <c:pt idx="110">
                  <c:v>1.9944630640000001</c:v>
                </c:pt>
                <c:pt idx="111">
                  <c:v>1.9768904009999999</c:v>
                </c:pt>
                <c:pt idx="112">
                  <c:v>1.9426313159999999</c:v>
                </c:pt>
                <c:pt idx="113">
                  <c:v>1.964123783</c:v>
                </c:pt>
                <c:pt idx="114">
                  <c:v>1.9870110620000001</c:v>
                </c:pt>
                <c:pt idx="115">
                  <c:v>2.006666241</c:v>
                </c:pt>
                <c:pt idx="116">
                  <c:v>2.0667647159999998</c:v>
                </c:pt>
                <c:pt idx="117">
                  <c:v>1.96458066</c:v>
                </c:pt>
                <c:pt idx="118">
                  <c:v>1.9750213000000001</c:v>
                </c:pt>
                <c:pt idx="119">
                  <c:v>2.0314778279999999</c:v>
                </c:pt>
                <c:pt idx="120">
                  <c:v>1.8842443280000001</c:v>
                </c:pt>
                <c:pt idx="121">
                  <c:v>1.9035706450000001</c:v>
                </c:pt>
                <c:pt idx="122">
                  <c:v>2.0239429790000001</c:v>
                </c:pt>
                <c:pt idx="123">
                  <c:v>1.954256596</c:v>
                </c:pt>
                <c:pt idx="124">
                  <c:v>1.9557912690000001</c:v>
                </c:pt>
                <c:pt idx="125">
                  <c:v>1.9865901379999999</c:v>
                </c:pt>
                <c:pt idx="126">
                  <c:v>1.9806630489999999</c:v>
                </c:pt>
                <c:pt idx="127">
                  <c:v>1.9539431890000001</c:v>
                </c:pt>
                <c:pt idx="128">
                  <c:v>1.962805328</c:v>
                </c:pt>
                <c:pt idx="129">
                  <c:v>1.9776009480000001</c:v>
                </c:pt>
                <c:pt idx="130">
                  <c:v>1.926485827</c:v>
                </c:pt>
                <c:pt idx="131">
                  <c:v>1.9736571780000001</c:v>
                </c:pt>
                <c:pt idx="132">
                  <c:v>1.9525257869999999</c:v>
                </c:pt>
                <c:pt idx="133">
                  <c:v>1.9523121029999999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FE-4E8A-98BB-5F5C0CD70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2.6419999999999999"/>
          <c:min val="1.8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1" u="none" strike="noStrike" kern="1200" baseline="0">
                    <a:solidFill>
                      <a:sysClr val="windowText" lastClr="000000"/>
                    </a:solidFill>
                  </a:rPr>
                  <a:t>b2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5.31"/>
          <c:min val="1.890000000000000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1" u="none" strike="noStrike" kern="1200" baseline="0">
                    <a:solidFill>
                      <a:sysClr val="windowText" lastClr="000000"/>
                    </a:solidFill>
                  </a:rPr>
                  <a:t>b2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85301131846917E-4"/>
              <c:y val="0.378460192475940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ysClr val="windowText" lastClr="000000"/>
                </a:solidFill>
              </a:rPr>
              <a:t>Bond</a:t>
            </a:r>
            <a:r>
              <a:rPr lang="en-IN" sz="1600" b="1" baseline="0">
                <a:solidFill>
                  <a:sysClr val="windowText" lastClr="000000"/>
                </a:solidFill>
              </a:rPr>
              <a:t> length </a:t>
            </a:r>
            <a:r>
              <a:rPr lang="en-IN" sz="1600" b="1" i="1" baseline="0">
                <a:solidFill>
                  <a:sysClr val="windowText" lastClr="000000"/>
                </a:solidFill>
              </a:rPr>
              <a:t>c</a:t>
            </a:r>
            <a:endParaRPr lang="en-IN" sz="1600" b="1" i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7851625653193732"/>
          <c:y val="2.3475299788269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50431031389931"/>
          <c:y val="0.17375015855360088"/>
          <c:w val="0.84452666717631175"/>
          <c:h val="0.53841243802857974"/>
        </c:manualLayout>
      </c:layout>
      <c:scatterChart>
        <c:scatterStyle val="lineMarker"/>
        <c:varyColors val="0"/>
        <c:ser>
          <c:idx val="0"/>
          <c:order val="0"/>
          <c:tx>
            <c:v>Data points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6897019620076139E-2"/>
                  <c:y val="0.1038210929953458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GB" sz="1000" b="1" i="1" u="none" strike="noStrike" baseline="0">
                        <a:effectLst/>
                      </a:rPr>
                      <a:t>c</a:t>
                    </a:r>
                    <a:r>
                      <a:rPr lang="en-GB" sz="1000" b="1" i="0" u="none" strike="noStrike" baseline="-25000">
                        <a:effectLst/>
                      </a:rPr>
                      <a:t>DFT</a:t>
                    </a:r>
                    <a:r>
                      <a:rPr lang="en-US" sz="1000" b="1" baseline="0"/>
                      <a:t> = 0.68</a:t>
                    </a:r>
                    <a:r>
                      <a:rPr lang="en-GB" sz="1000" b="1" i="1" u="none" strike="noStrike" baseline="0">
                        <a:effectLst/>
                      </a:rPr>
                      <a:t>c</a:t>
                    </a:r>
                    <a:r>
                      <a:rPr lang="en-GB" sz="1000" b="1" i="0" u="none" strike="noStrike" baseline="-25000">
                        <a:effectLst/>
                      </a:rPr>
                      <a:t>xTB</a:t>
                    </a:r>
                    <a:r>
                      <a:rPr lang="en-US" sz="1000" b="1" baseline="0"/>
                      <a:t> + 0.46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0.63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Pearson R = 0.80</a:t>
                    </a:r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MAE = 0.01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RMSE = 0.01</a:t>
                    </a:r>
                    <a:r>
                      <a:rPr lang="en-IN" sz="1000" b="1" i="0" u="none" strike="noStrike" baseline="0">
                        <a:effectLst/>
                      </a:rPr>
                      <a:t>Å</a:t>
                    </a:r>
                    <a:endParaRPr lang="en-US" sz="1000" b="1" baseline="0"/>
                  </a:p>
                  <a:p>
                    <a:pPr>
                      <a:defRPr sz="1000" b="1">
                        <a:solidFill>
                          <a:sysClr val="windowText" lastClr="000000"/>
                        </a:solidFill>
                      </a:defRPr>
                    </a:pPr>
                    <a:r>
                      <a:rPr lang="en-US" sz="1000" b="1" baseline="0"/>
                      <a:t>N = 133</a:t>
                    </a:r>
                  </a:p>
                </c:rich>
              </c:tx>
              <c:numFmt formatCode="General" sourceLinked="0"/>
              <c:spPr>
                <a:solidFill>
                  <a:schemeClr val="bg1">
                    <a:lumMod val="9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'Bond length c'!$B$2:$B$132</c:f>
              <c:numCache>
                <c:formatCode>General</c:formatCode>
                <c:ptCount val="131"/>
                <c:pt idx="0">
                  <c:v>1.417921918</c:v>
                </c:pt>
                <c:pt idx="1">
                  <c:v>1.4194838219999999</c:v>
                </c:pt>
                <c:pt idx="2">
                  <c:v>1.415015712</c:v>
                </c:pt>
                <c:pt idx="3">
                  <c:v>1.413509321</c:v>
                </c:pt>
                <c:pt idx="4">
                  <c:v>1.4225022979999999</c:v>
                </c:pt>
                <c:pt idx="5">
                  <c:v>1.415468057</c:v>
                </c:pt>
                <c:pt idx="6">
                  <c:v>1.4193721770000001</c:v>
                </c:pt>
                <c:pt idx="7">
                  <c:v>1.4185362960000001</c:v>
                </c:pt>
                <c:pt idx="8">
                  <c:v>1.4213791440000001</c:v>
                </c:pt>
                <c:pt idx="9">
                  <c:v>1.420657936</c:v>
                </c:pt>
                <c:pt idx="10">
                  <c:v>1.418044673</c:v>
                </c:pt>
                <c:pt idx="11">
                  <c:v>1.4206619110000001</c:v>
                </c:pt>
                <c:pt idx="12">
                  <c:v>1.4199857</c:v>
                </c:pt>
                <c:pt idx="13">
                  <c:v>1.416507755</c:v>
                </c:pt>
                <c:pt idx="14">
                  <c:v>1.4162680670000001</c:v>
                </c:pt>
                <c:pt idx="15">
                  <c:v>1.413587953</c:v>
                </c:pt>
                <c:pt idx="16">
                  <c:v>1.4178599030000001</c:v>
                </c:pt>
                <c:pt idx="17">
                  <c:v>1.412060141</c:v>
                </c:pt>
                <c:pt idx="18">
                  <c:v>1.418396459</c:v>
                </c:pt>
                <c:pt idx="19">
                  <c:v>1.4204586450000001</c:v>
                </c:pt>
                <c:pt idx="20">
                  <c:v>1.4168877790000001</c:v>
                </c:pt>
                <c:pt idx="21">
                  <c:v>1.4221383089999999</c:v>
                </c:pt>
                <c:pt idx="22">
                  <c:v>1.418020268</c:v>
                </c:pt>
                <c:pt idx="23">
                  <c:v>1.419345335</c:v>
                </c:pt>
                <c:pt idx="24">
                  <c:v>1.4197568739999999</c:v>
                </c:pt>
                <c:pt idx="25">
                  <c:v>1.415785297</c:v>
                </c:pt>
                <c:pt idx="26">
                  <c:v>1.4177962559999999</c:v>
                </c:pt>
                <c:pt idx="27">
                  <c:v>1.416511699</c:v>
                </c:pt>
                <c:pt idx="28">
                  <c:v>1.4365673240000001</c:v>
                </c:pt>
                <c:pt idx="29">
                  <c:v>1.4124032070000001</c:v>
                </c:pt>
                <c:pt idx="30">
                  <c:v>1.4056937890000001</c:v>
                </c:pt>
                <c:pt idx="31">
                  <c:v>1.4140466970000001</c:v>
                </c:pt>
                <c:pt idx="32">
                  <c:v>1.4151681780000001</c:v>
                </c:pt>
                <c:pt idx="33">
                  <c:v>1.4109659489999999</c:v>
                </c:pt>
                <c:pt idx="34">
                  <c:v>1.4164165879999999</c:v>
                </c:pt>
                <c:pt idx="35">
                  <c:v>1.4206427070000001</c:v>
                </c:pt>
                <c:pt idx="36">
                  <c:v>1.4158095369999999</c:v>
                </c:pt>
                <c:pt idx="37">
                  <c:v>1.4195065259999999</c:v>
                </c:pt>
                <c:pt idx="38">
                  <c:v>1.422463708</c:v>
                </c:pt>
                <c:pt idx="39">
                  <c:v>1.4168055429999999</c:v>
                </c:pt>
                <c:pt idx="40">
                  <c:v>1.4163268819999999</c:v>
                </c:pt>
                <c:pt idx="41">
                  <c:v>1.4258666149999999</c:v>
                </c:pt>
                <c:pt idx="42">
                  <c:v>1.4180345480000001</c:v>
                </c:pt>
                <c:pt idx="43">
                  <c:v>1.415186072</c:v>
                </c:pt>
                <c:pt idx="44">
                  <c:v>1.409885297</c:v>
                </c:pt>
                <c:pt idx="45">
                  <c:v>1.420739671</c:v>
                </c:pt>
                <c:pt idx="46">
                  <c:v>1.4174885370000001</c:v>
                </c:pt>
                <c:pt idx="47">
                  <c:v>1.4145346910000001</c:v>
                </c:pt>
                <c:pt idx="48">
                  <c:v>1.4219179879999999</c:v>
                </c:pt>
                <c:pt idx="49">
                  <c:v>1.4189911479999999</c:v>
                </c:pt>
                <c:pt idx="50">
                  <c:v>1.4206275269999999</c:v>
                </c:pt>
                <c:pt idx="51">
                  <c:v>1.417989535</c:v>
                </c:pt>
                <c:pt idx="52">
                  <c:v>1.418492192</c:v>
                </c:pt>
                <c:pt idx="53">
                  <c:v>1.411684003</c:v>
                </c:pt>
                <c:pt idx="54">
                  <c:v>1.4158967</c:v>
                </c:pt>
                <c:pt idx="55">
                  <c:v>1.4198682279999999</c:v>
                </c:pt>
                <c:pt idx="56">
                  <c:v>1.4169854770000001</c:v>
                </c:pt>
                <c:pt idx="57">
                  <c:v>1.4129963759999999</c:v>
                </c:pt>
                <c:pt idx="58">
                  <c:v>1.41731969</c:v>
                </c:pt>
                <c:pt idx="59">
                  <c:v>1.420164328</c:v>
                </c:pt>
                <c:pt idx="60">
                  <c:v>1.4222990360000001</c:v>
                </c:pt>
                <c:pt idx="61">
                  <c:v>1.4138970230000001</c:v>
                </c:pt>
                <c:pt idx="62">
                  <c:v>1.4241756430000001</c:v>
                </c:pt>
                <c:pt idx="63">
                  <c:v>1.4180700550000001</c:v>
                </c:pt>
                <c:pt idx="64">
                  <c:v>1.42091437</c:v>
                </c:pt>
                <c:pt idx="65">
                  <c:v>1.420968483</c:v>
                </c:pt>
                <c:pt idx="66">
                  <c:v>1.4157681660000001</c:v>
                </c:pt>
                <c:pt idx="67">
                  <c:v>1.419912474</c:v>
                </c:pt>
                <c:pt idx="68">
                  <c:v>1.420321052</c:v>
                </c:pt>
                <c:pt idx="69">
                  <c:v>1.415602681</c:v>
                </c:pt>
                <c:pt idx="70">
                  <c:v>1.4176213630000001</c:v>
                </c:pt>
                <c:pt idx="71">
                  <c:v>1.423270244</c:v>
                </c:pt>
                <c:pt idx="72">
                  <c:v>1.4187088299999999</c:v>
                </c:pt>
                <c:pt idx="73">
                  <c:v>1.4163085280000001</c:v>
                </c:pt>
                <c:pt idx="74">
                  <c:v>1.424850387</c:v>
                </c:pt>
                <c:pt idx="75">
                  <c:v>1.4206560100000001</c:v>
                </c:pt>
                <c:pt idx="76">
                  <c:v>1.4254478180000001</c:v>
                </c:pt>
                <c:pt idx="77">
                  <c:v>1.416710876</c:v>
                </c:pt>
                <c:pt idx="78">
                  <c:v>1.420143857</c:v>
                </c:pt>
                <c:pt idx="79">
                  <c:v>1.4161673669999999</c:v>
                </c:pt>
                <c:pt idx="80">
                  <c:v>1.4144401049999999</c:v>
                </c:pt>
                <c:pt idx="81">
                  <c:v>1.4076584940000001</c:v>
                </c:pt>
                <c:pt idx="82">
                  <c:v>1.417730403</c:v>
                </c:pt>
                <c:pt idx="83">
                  <c:v>1.4172334579999999</c:v>
                </c:pt>
                <c:pt idx="84">
                  <c:v>1.414121687</c:v>
                </c:pt>
                <c:pt idx="85">
                  <c:v>1.4228371950000001</c:v>
                </c:pt>
                <c:pt idx="86">
                  <c:v>1.41796744</c:v>
                </c:pt>
                <c:pt idx="87">
                  <c:v>1.4189055800000001</c:v>
                </c:pt>
                <c:pt idx="88">
                  <c:v>1.419471508</c:v>
                </c:pt>
                <c:pt idx="89">
                  <c:v>1.4173114330000001</c:v>
                </c:pt>
                <c:pt idx="90">
                  <c:v>1.4166515399999999</c:v>
                </c:pt>
                <c:pt idx="91">
                  <c:v>1.4129398289999999</c:v>
                </c:pt>
                <c:pt idx="92">
                  <c:v>1.4145469690000001</c:v>
                </c:pt>
                <c:pt idx="93">
                  <c:v>1.4181098400000001</c:v>
                </c:pt>
                <c:pt idx="94">
                  <c:v>1.405117204</c:v>
                </c:pt>
                <c:pt idx="95">
                  <c:v>1.4106356179999999</c:v>
                </c:pt>
                <c:pt idx="96">
                  <c:v>1.426287611</c:v>
                </c:pt>
                <c:pt idx="97">
                  <c:v>1.4069692899999999</c:v>
                </c:pt>
                <c:pt idx="98">
                  <c:v>1.4078596560000001</c:v>
                </c:pt>
                <c:pt idx="99">
                  <c:v>1.418742309</c:v>
                </c:pt>
                <c:pt idx="100">
                  <c:v>1.4188014040000001</c:v>
                </c:pt>
                <c:pt idx="101">
                  <c:v>1.4193310640000001</c:v>
                </c:pt>
                <c:pt idx="102">
                  <c:v>1.422923374</c:v>
                </c:pt>
                <c:pt idx="103">
                  <c:v>1.418837964</c:v>
                </c:pt>
                <c:pt idx="104">
                  <c:v>1.417127617</c:v>
                </c:pt>
                <c:pt idx="105">
                  <c:v>1.4219013549999999</c:v>
                </c:pt>
                <c:pt idx="106">
                  <c:v>1.4215265989999999</c:v>
                </c:pt>
                <c:pt idx="107">
                  <c:v>1.4189457729999999</c:v>
                </c:pt>
                <c:pt idx="108">
                  <c:v>1.4144017980000001</c:v>
                </c:pt>
                <c:pt idx="109">
                  <c:v>1.4094670119999999</c:v>
                </c:pt>
                <c:pt idx="110">
                  <c:v>1.418652628</c:v>
                </c:pt>
                <c:pt idx="111">
                  <c:v>1.4208847389999999</c:v>
                </c:pt>
                <c:pt idx="112">
                  <c:v>1.4181487749999999</c:v>
                </c:pt>
                <c:pt idx="113">
                  <c:v>1.419757004</c:v>
                </c:pt>
                <c:pt idx="114">
                  <c:v>1.419387621</c:v>
                </c:pt>
                <c:pt idx="115">
                  <c:v>1.411500228</c:v>
                </c:pt>
                <c:pt idx="116">
                  <c:v>1.418963548</c:v>
                </c:pt>
                <c:pt idx="117">
                  <c:v>1.420428244</c:v>
                </c:pt>
                <c:pt idx="118">
                  <c:v>1.411890627</c:v>
                </c:pt>
                <c:pt idx="119">
                  <c:v>1.4209111539999999</c:v>
                </c:pt>
                <c:pt idx="120">
                  <c:v>1.416661698</c:v>
                </c:pt>
                <c:pt idx="121">
                  <c:v>1.4192891599999999</c:v>
                </c:pt>
                <c:pt idx="122">
                  <c:v>1.4147910020000001</c:v>
                </c:pt>
                <c:pt idx="123">
                  <c:v>1.421969024</c:v>
                </c:pt>
                <c:pt idx="124">
                  <c:v>1.424523151</c:v>
                </c:pt>
                <c:pt idx="125">
                  <c:v>1.414346173</c:v>
                </c:pt>
                <c:pt idx="126">
                  <c:v>1.42160624</c:v>
                </c:pt>
                <c:pt idx="127">
                  <c:v>1.420314235</c:v>
                </c:pt>
                <c:pt idx="128">
                  <c:v>1.4223911140000001</c:v>
                </c:pt>
                <c:pt idx="129">
                  <c:v>1.4174967629999999</c:v>
                </c:pt>
                <c:pt idx="130">
                  <c:v>1.419612479</c:v>
                </c:pt>
              </c:numCache>
            </c:numRef>
          </c:xVal>
          <c:yVal>
            <c:numRef>
              <c:f>'Bond length c'!$C$2:$C$132</c:f>
              <c:numCache>
                <c:formatCode>General</c:formatCode>
                <c:ptCount val="131"/>
                <c:pt idx="0">
                  <c:v>1.426043204</c:v>
                </c:pt>
                <c:pt idx="1">
                  <c:v>1.4253369849999999</c:v>
                </c:pt>
                <c:pt idx="2">
                  <c:v>1.421914098</c:v>
                </c:pt>
                <c:pt idx="3">
                  <c:v>1.424913128</c:v>
                </c:pt>
                <c:pt idx="4">
                  <c:v>1.423648335</c:v>
                </c:pt>
                <c:pt idx="5">
                  <c:v>1.4240206900000001</c:v>
                </c:pt>
                <c:pt idx="6">
                  <c:v>1.4271161800000001</c:v>
                </c:pt>
                <c:pt idx="7">
                  <c:v>1.422061628</c:v>
                </c:pt>
                <c:pt idx="8">
                  <c:v>1.425197577</c:v>
                </c:pt>
                <c:pt idx="9">
                  <c:v>1.42637445</c:v>
                </c:pt>
                <c:pt idx="10">
                  <c:v>1.424425101</c:v>
                </c:pt>
                <c:pt idx="11">
                  <c:v>1.426213304</c:v>
                </c:pt>
                <c:pt idx="12">
                  <c:v>1.4255460790000001</c:v>
                </c:pt>
                <c:pt idx="13">
                  <c:v>1.4230378210000001</c:v>
                </c:pt>
                <c:pt idx="14">
                  <c:v>1.423573306</c:v>
                </c:pt>
                <c:pt idx="15">
                  <c:v>1.4202384969999999</c:v>
                </c:pt>
                <c:pt idx="16">
                  <c:v>1.4246349279999999</c:v>
                </c:pt>
                <c:pt idx="17">
                  <c:v>1.4178292969999999</c:v>
                </c:pt>
                <c:pt idx="18">
                  <c:v>1.4237691859999999</c:v>
                </c:pt>
                <c:pt idx="19">
                  <c:v>1.4266412740000001</c:v>
                </c:pt>
                <c:pt idx="20">
                  <c:v>1.422327855</c:v>
                </c:pt>
                <c:pt idx="21">
                  <c:v>1.429186158</c:v>
                </c:pt>
                <c:pt idx="22">
                  <c:v>1.424026217</c:v>
                </c:pt>
                <c:pt idx="23">
                  <c:v>1.4245639189999999</c:v>
                </c:pt>
                <c:pt idx="24">
                  <c:v>1.425421214</c:v>
                </c:pt>
                <c:pt idx="25">
                  <c:v>1.4237883170000001</c:v>
                </c:pt>
                <c:pt idx="26">
                  <c:v>1.4231364259999999</c:v>
                </c:pt>
                <c:pt idx="27">
                  <c:v>1.4243196060000001</c:v>
                </c:pt>
                <c:pt idx="28">
                  <c:v>1.4335214169999999</c:v>
                </c:pt>
                <c:pt idx="29">
                  <c:v>1.4265398170000001</c:v>
                </c:pt>
                <c:pt idx="30">
                  <c:v>1.4132236199999999</c:v>
                </c:pt>
                <c:pt idx="31">
                  <c:v>1.4208167549999999</c:v>
                </c:pt>
                <c:pt idx="32">
                  <c:v>1.424547988</c:v>
                </c:pt>
                <c:pt idx="33">
                  <c:v>1.415760981</c:v>
                </c:pt>
                <c:pt idx="34">
                  <c:v>1.428265288</c:v>
                </c:pt>
                <c:pt idx="35">
                  <c:v>1.421905712</c:v>
                </c:pt>
                <c:pt idx="36">
                  <c:v>1.4260527249999999</c:v>
                </c:pt>
                <c:pt idx="37">
                  <c:v>1.424441589</c:v>
                </c:pt>
                <c:pt idx="38">
                  <c:v>1.427646075</c:v>
                </c:pt>
                <c:pt idx="39">
                  <c:v>1.423116144</c:v>
                </c:pt>
                <c:pt idx="40">
                  <c:v>1.425686834</c:v>
                </c:pt>
                <c:pt idx="41">
                  <c:v>1.4243369749999999</c:v>
                </c:pt>
                <c:pt idx="42">
                  <c:v>1.4257926700000001</c:v>
                </c:pt>
                <c:pt idx="43">
                  <c:v>1.4215051599999999</c:v>
                </c:pt>
                <c:pt idx="44">
                  <c:v>1.418948221</c:v>
                </c:pt>
                <c:pt idx="45">
                  <c:v>1.4270848330000001</c:v>
                </c:pt>
                <c:pt idx="46">
                  <c:v>1.428003812</c:v>
                </c:pt>
                <c:pt idx="47">
                  <c:v>1.4216822440000001</c:v>
                </c:pt>
                <c:pt idx="48">
                  <c:v>1.42792567</c:v>
                </c:pt>
                <c:pt idx="49">
                  <c:v>1.424880133</c:v>
                </c:pt>
                <c:pt idx="50">
                  <c:v>1.427131565</c:v>
                </c:pt>
                <c:pt idx="51">
                  <c:v>1.4241353969999999</c:v>
                </c:pt>
                <c:pt idx="52">
                  <c:v>1.4202336600000001</c:v>
                </c:pt>
                <c:pt idx="53">
                  <c:v>1.416277161</c:v>
                </c:pt>
                <c:pt idx="54">
                  <c:v>1.4253804839999999</c:v>
                </c:pt>
                <c:pt idx="55">
                  <c:v>1.4260073660000001</c:v>
                </c:pt>
                <c:pt idx="56">
                  <c:v>1.425115315</c:v>
                </c:pt>
                <c:pt idx="57">
                  <c:v>1.418817813</c:v>
                </c:pt>
                <c:pt idx="58">
                  <c:v>1.425152741</c:v>
                </c:pt>
                <c:pt idx="59">
                  <c:v>1.426308422</c:v>
                </c:pt>
                <c:pt idx="60">
                  <c:v>1.4287767920000001</c:v>
                </c:pt>
                <c:pt idx="61">
                  <c:v>1.4220742879999999</c:v>
                </c:pt>
                <c:pt idx="62">
                  <c:v>1.4289838669999999</c:v>
                </c:pt>
                <c:pt idx="63">
                  <c:v>1.425296576</c:v>
                </c:pt>
                <c:pt idx="64">
                  <c:v>1.425605668</c:v>
                </c:pt>
                <c:pt idx="65">
                  <c:v>1.429706618</c:v>
                </c:pt>
                <c:pt idx="66">
                  <c:v>1.4240506770000001</c:v>
                </c:pt>
                <c:pt idx="67">
                  <c:v>1.426118623</c:v>
                </c:pt>
                <c:pt idx="68">
                  <c:v>1.425337402</c:v>
                </c:pt>
                <c:pt idx="69">
                  <c:v>1.4214098449999999</c:v>
                </c:pt>
                <c:pt idx="70">
                  <c:v>1.4236442709999999</c:v>
                </c:pt>
                <c:pt idx="71">
                  <c:v>1.4214704220000001</c:v>
                </c:pt>
                <c:pt idx="72">
                  <c:v>1.424325077</c:v>
                </c:pt>
                <c:pt idx="73">
                  <c:v>1.422316658</c:v>
                </c:pt>
                <c:pt idx="74">
                  <c:v>1.4253633349999999</c:v>
                </c:pt>
                <c:pt idx="75">
                  <c:v>1.4282038560000001</c:v>
                </c:pt>
                <c:pt idx="76">
                  <c:v>1.431057775</c:v>
                </c:pt>
                <c:pt idx="77">
                  <c:v>1.426213263</c:v>
                </c:pt>
                <c:pt idx="78">
                  <c:v>1.4270062830000001</c:v>
                </c:pt>
                <c:pt idx="79">
                  <c:v>1.423585273</c:v>
                </c:pt>
                <c:pt idx="80">
                  <c:v>1.4248757460000001</c:v>
                </c:pt>
                <c:pt idx="81">
                  <c:v>1.415945265</c:v>
                </c:pt>
                <c:pt idx="82">
                  <c:v>1.4237905280000001</c:v>
                </c:pt>
                <c:pt idx="83">
                  <c:v>1.426810508</c:v>
                </c:pt>
                <c:pt idx="84">
                  <c:v>1.419732819</c:v>
                </c:pt>
                <c:pt idx="85">
                  <c:v>1.4289345470000001</c:v>
                </c:pt>
                <c:pt idx="86">
                  <c:v>1.423726152</c:v>
                </c:pt>
                <c:pt idx="87">
                  <c:v>1.423347734</c:v>
                </c:pt>
                <c:pt idx="88">
                  <c:v>1.4261409570000001</c:v>
                </c:pt>
                <c:pt idx="89">
                  <c:v>1.424890175</c:v>
                </c:pt>
                <c:pt idx="90">
                  <c:v>1.4232212710000001</c:v>
                </c:pt>
                <c:pt idx="91">
                  <c:v>1.4193223370000001</c:v>
                </c:pt>
                <c:pt idx="92">
                  <c:v>1.422910184</c:v>
                </c:pt>
                <c:pt idx="93">
                  <c:v>1.4269103460000001</c:v>
                </c:pt>
                <c:pt idx="94">
                  <c:v>1.410392621</c:v>
                </c:pt>
                <c:pt idx="95">
                  <c:v>1.4158961999999999</c:v>
                </c:pt>
                <c:pt idx="96">
                  <c:v>1.4298803739999999</c:v>
                </c:pt>
                <c:pt idx="97">
                  <c:v>1.4155894849999999</c:v>
                </c:pt>
                <c:pt idx="98">
                  <c:v>1.414360418</c:v>
                </c:pt>
                <c:pt idx="99">
                  <c:v>1.426529889</c:v>
                </c:pt>
                <c:pt idx="100">
                  <c:v>1.427144916</c:v>
                </c:pt>
                <c:pt idx="101">
                  <c:v>1.4244482089999999</c:v>
                </c:pt>
                <c:pt idx="102">
                  <c:v>1.427208614</c:v>
                </c:pt>
                <c:pt idx="103">
                  <c:v>1.426930866</c:v>
                </c:pt>
                <c:pt idx="104">
                  <c:v>1.425231283</c:v>
                </c:pt>
                <c:pt idx="105">
                  <c:v>1.4240736599999999</c:v>
                </c:pt>
                <c:pt idx="106">
                  <c:v>1.4245910909999999</c:v>
                </c:pt>
                <c:pt idx="107">
                  <c:v>1.4223588579999999</c:v>
                </c:pt>
                <c:pt idx="108">
                  <c:v>1.421578507</c:v>
                </c:pt>
                <c:pt idx="109">
                  <c:v>1.4188096750000001</c:v>
                </c:pt>
                <c:pt idx="110">
                  <c:v>1.425173359</c:v>
                </c:pt>
                <c:pt idx="111">
                  <c:v>1.427615533</c:v>
                </c:pt>
                <c:pt idx="112">
                  <c:v>1.426907208</c:v>
                </c:pt>
                <c:pt idx="113">
                  <c:v>1.4268581629999999</c:v>
                </c:pt>
                <c:pt idx="114">
                  <c:v>1.4258784120000001</c:v>
                </c:pt>
                <c:pt idx="115">
                  <c:v>1.4255778910000001</c:v>
                </c:pt>
                <c:pt idx="116">
                  <c:v>1.4208872320000001</c:v>
                </c:pt>
                <c:pt idx="117">
                  <c:v>1.4258809269999999</c:v>
                </c:pt>
                <c:pt idx="118">
                  <c:v>1.4137664299999999</c:v>
                </c:pt>
                <c:pt idx="119">
                  <c:v>1.4233506010000001</c:v>
                </c:pt>
                <c:pt idx="120">
                  <c:v>1.4242458730000001</c:v>
                </c:pt>
                <c:pt idx="121">
                  <c:v>1.4259025729999999</c:v>
                </c:pt>
                <c:pt idx="122">
                  <c:v>1.4208728530000001</c:v>
                </c:pt>
                <c:pt idx="123">
                  <c:v>1.4275134190000001</c:v>
                </c:pt>
                <c:pt idx="124">
                  <c:v>1.4243677509999999</c:v>
                </c:pt>
                <c:pt idx="125">
                  <c:v>1.421420329</c:v>
                </c:pt>
                <c:pt idx="126">
                  <c:v>1.4272622850000001</c:v>
                </c:pt>
                <c:pt idx="127">
                  <c:v>1.4285666109999999</c:v>
                </c:pt>
                <c:pt idx="128">
                  <c:v>1.4275526119999999</c:v>
                </c:pt>
                <c:pt idx="129">
                  <c:v>1.425239446</c:v>
                </c:pt>
                <c:pt idx="130">
                  <c:v>1.428800348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CD-47EF-8884-2AD1F1677D64}"/>
            </c:ext>
          </c:extLst>
        </c:ser>
        <c:ser>
          <c:idx val="1"/>
          <c:order val="1"/>
          <c:tx>
            <c:v>Perfect line</c:v>
          </c:tx>
          <c:spPr>
            <a:ln w="254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'Bond length c'!$B$2:$B$132</c:f>
              <c:numCache>
                <c:formatCode>General</c:formatCode>
                <c:ptCount val="131"/>
                <c:pt idx="0">
                  <c:v>1.417921918</c:v>
                </c:pt>
                <c:pt idx="1">
                  <c:v>1.4194838219999999</c:v>
                </c:pt>
                <c:pt idx="2">
                  <c:v>1.415015712</c:v>
                </c:pt>
                <c:pt idx="3">
                  <c:v>1.413509321</c:v>
                </c:pt>
                <c:pt idx="4">
                  <c:v>1.4225022979999999</c:v>
                </c:pt>
                <c:pt idx="5">
                  <c:v>1.415468057</c:v>
                </c:pt>
                <c:pt idx="6">
                  <c:v>1.4193721770000001</c:v>
                </c:pt>
                <c:pt idx="7">
                  <c:v>1.4185362960000001</c:v>
                </c:pt>
                <c:pt idx="8">
                  <c:v>1.4213791440000001</c:v>
                </c:pt>
                <c:pt idx="9">
                  <c:v>1.420657936</c:v>
                </c:pt>
                <c:pt idx="10">
                  <c:v>1.418044673</c:v>
                </c:pt>
                <c:pt idx="11">
                  <c:v>1.4206619110000001</c:v>
                </c:pt>
                <c:pt idx="12">
                  <c:v>1.4199857</c:v>
                </c:pt>
                <c:pt idx="13">
                  <c:v>1.416507755</c:v>
                </c:pt>
                <c:pt idx="14">
                  <c:v>1.4162680670000001</c:v>
                </c:pt>
                <c:pt idx="15">
                  <c:v>1.413587953</c:v>
                </c:pt>
                <c:pt idx="16">
                  <c:v>1.4178599030000001</c:v>
                </c:pt>
                <c:pt idx="17">
                  <c:v>1.412060141</c:v>
                </c:pt>
                <c:pt idx="18">
                  <c:v>1.418396459</c:v>
                </c:pt>
                <c:pt idx="19">
                  <c:v>1.4204586450000001</c:v>
                </c:pt>
                <c:pt idx="20">
                  <c:v>1.4168877790000001</c:v>
                </c:pt>
                <c:pt idx="21">
                  <c:v>1.4221383089999999</c:v>
                </c:pt>
                <c:pt idx="22">
                  <c:v>1.418020268</c:v>
                </c:pt>
                <c:pt idx="23">
                  <c:v>1.419345335</c:v>
                </c:pt>
                <c:pt idx="24">
                  <c:v>1.4197568739999999</c:v>
                </c:pt>
                <c:pt idx="25">
                  <c:v>1.415785297</c:v>
                </c:pt>
                <c:pt idx="26">
                  <c:v>1.4177962559999999</c:v>
                </c:pt>
                <c:pt idx="27">
                  <c:v>1.416511699</c:v>
                </c:pt>
                <c:pt idx="28">
                  <c:v>1.4365673240000001</c:v>
                </c:pt>
                <c:pt idx="29">
                  <c:v>1.4124032070000001</c:v>
                </c:pt>
                <c:pt idx="30">
                  <c:v>1.4056937890000001</c:v>
                </c:pt>
                <c:pt idx="31">
                  <c:v>1.4140466970000001</c:v>
                </c:pt>
                <c:pt idx="32">
                  <c:v>1.4151681780000001</c:v>
                </c:pt>
                <c:pt idx="33">
                  <c:v>1.4109659489999999</c:v>
                </c:pt>
                <c:pt idx="34">
                  <c:v>1.4164165879999999</c:v>
                </c:pt>
                <c:pt idx="35">
                  <c:v>1.4206427070000001</c:v>
                </c:pt>
                <c:pt idx="36">
                  <c:v>1.4158095369999999</c:v>
                </c:pt>
                <c:pt idx="37">
                  <c:v>1.4195065259999999</c:v>
                </c:pt>
                <c:pt idx="38">
                  <c:v>1.422463708</c:v>
                </c:pt>
                <c:pt idx="39">
                  <c:v>1.4168055429999999</c:v>
                </c:pt>
                <c:pt idx="40">
                  <c:v>1.4163268819999999</c:v>
                </c:pt>
                <c:pt idx="41">
                  <c:v>1.4258666149999999</c:v>
                </c:pt>
                <c:pt idx="42">
                  <c:v>1.4180345480000001</c:v>
                </c:pt>
                <c:pt idx="43">
                  <c:v>1.415186072</c:v>
                </c:pt>
                <c:pt idx="44">
                  <c:v>1.409885297</c:v>
                </c:pt>
                <c:pt idx="45">
                  <c:v>1.420739671</c:v>
                </c:pt>
                <c:pt idx="46">
                  <c:v>1.4174885370000001</c:v>
                </c:pt>
                <c:pt idx="47">
                  <c:v>1.4145346910000001</c:v>
                </c:pt>
                <c:pt idx="48">
                  <c:v>1.4219179879999999</c:v>
                </c:pt>
                <c:pt idx="49">
                  <c:v>1.4189911479999999</c:v>
                </c:pt>
                <c:pt idx="50">
                  <c:v>1.4206275269999999</c:v>
                </c:pt>
                <c:pt idx="51">
                  <c:v>1.417989535</c:v>
                </c:pt>
                <c:pt idx="52">
                  <c:v>1.418492192</c:v>
                </c:pt>
                <c:pt idx="53">
                  <c:v>1.411684003</c:v>
                </c:pt>
                <c:pt idx="54">
                  <c:v>1.4158967</c:v>
                </c:pt>
                <c:pt idx="55">
                  <c:v>1.4198682279999999</c:v>
                </c:pt>
                <c:pt idx="56">
                  <c:v>1.4169854770000001</c:v>
                </c:pt>
                <c:pt idx="57">
                  <c:v>1.4129963759999999</c:v>
                </c:pt>
                <c:pt idx="58">
                  <c:v>1.41731969</c:v>
                </c:pt>
                <c:pt idx="59">
                  <c:v>1.420164328</c:v>
                </c:pt>
                <c:pt idx="60">
                  <c:v>1.4222990360000001</c:v>
                </c:pt>
                <c:pt idx="61">
                  <c:v>1.4138970230000001</c:v>
                </c:pt>
                <c:pt idx="62">
                  <c:v>1.4241756430000001</c:v>
                </c:pt>
                <c:pt idx="63">
                  <c:v>1.4180700550000001</c:v>
                </c:pt>
                <c:pt idx="64">
                  <c:v>1.42091437</c:v>
                </c:pt>
                <c:pt idx="65">
                  <c:v>1.420968483</c:v>
                </c:pt>
                <c:pt idx="66">
                  <c:v>1.4157681660000001</c:v>
                </c:pt>
                <c:pt idx="67">
                  <c:v>1.419912474</c:v>
                </c:pt>
                <c:pt idx="68">
                  <c:v>1.420321052</c:v>
                </c:pt>
                <c:pt idx="69">
                  <c:v>1.415602681</c:v>
                </c:pt>
                <c:pt idx="70">
                  <c:v>1.4176213630000001</c:v>
                </c:pt>
                <c:pt idx="71">
                  <c:v>1.423270244</c:v>
                </c:pt>
                <c:pt idx="72">
                  <c:v>1.4187088299999999</c:v>
                </c:pt>
                <c:pt idx="73">
                  <c:v>1.4163085280000001</c:v>
                </c:pt>
                <c:pt idx="74">
                  <c:v>1.424850387</c:v>
                </c:pt>
                <c:pt idx="75">
                  <c:v>1.4206560100000001</c:v>
                </c:pt>
                <c:pt idx="76">
                  <c:v>1.4254478180000001</c:v>
                </c:pt>
                <c:pt idx="77">
                  <c:v>1.416710876</c:v>
                </c:pt>
                <c:pt idx="78">
                  <c:v>1.420143857</c:v>
                </c:pt>
                <c:pt idx="79">
                  <c:v>1.4161673669999999</c:v>
                </c:pt>
                <c:pt idx="80">
                  <c:v>1.4144401049999999</c:v>
                </c:pt>
                <c:pt idx="81">
                  <c:v>1.4076584940000001</c:v>
                </c:pt>
                <c:pt idx="82">
                  <c:v>1.417730403</c:v>
                </c:pt>
                <c:pt idx="83">
                  <c:v>1.4172334579999999</c:v>
                </c:pt>
                <c:pt idx="84">
                  <c:v>1.414121687</c:v>
                </c:pt>
                <c:pt idx="85">
                  <c:v>1.4228371950000001</c:v>
                </c:pt>
                <c:pt idx="86">
                  <c:v>1.41796744</c:v>
                </c:pt>
                <c:pt idx="87">
                  <c:v>1.4189055800000001</c:v>
                </c:pt>
                <c:pt idx="88">
                  <c:v>1.419471508</c:v>
                </c:pt>
                <c:pt idx="89">
                  <c:v>1.4173114330000001</c:v>
                </c:pt>
                <c:pt idx="90">
                  <c:v>1.4166515399999999</c:v>
                </c:pt>
                <c:pt idx="91">
                  <c:v>1.4129398289999999</c:v>
                </c:pt>
                <c:pt idx="92">
                  <c:v>1.4145469690000001</c:v>
                </c:pt>
                <c:pt idx="93">
                  <c:v>1.4181098400000001</c:v>
                </c:pt>
                <c:pt idx="94">
                  <c:v>1.405117204</c:v>
                </c:pt>
                <c:pt idx="95">
                  <c:v>1.4106356179999999</c:v>
                </c:pt>
                <c:pt idx="96">
                  <c:v>1.426287611</c:v>
                </c:pt>
                <c:pt idx="97">
                  <c:v>1.4069692899999999</c:v>
                </c:pt>
                <c:pt idx="98">
                  <c:v>1.4078596560000001</c:v>
                </c:pt>
                <c:pt idx="99">
                  <c:v>1.418742309</c:v>
                </c:pt>
                <c:pt idx="100">
                  <c:v>1.4188014040000001</c:v>
                </c:pt>
                <c:pt idx="101">
                  <c:v>1.4193310640000001</c:v>
                </c:pt>
                <c:pt idx="102">
                  <c:v>1.422923374</c:v>
                </c:pt>
                <c:pt idx="103">
                  <c:v>1.418837964</c:v>
                </c:pt>
                <c:pt idx="104">
                  <c:v>1.417127617</c:v>
                </c:pt>
                <c:pt idx="105">
                  <c:v>1.4219013549999999</c:v>
                </c:pt>
                <c:pt idx="106">
                  <c:v>1.4215265989999999</c:v>
                </c:pt>
                <c:pt idx="107">
                  <c:v>1.4189457729999999</c:v>
                </c:pt>
                <c:pt idx="108">
                  <c:v>1.4144017980000001</c:v>
                </c:pt>
                <c:pt idx="109">
                  <c:v>1.4094670119999999</c:v>
                </c:pt>
                <c:pt idx="110">
                  <c:v>1.418652628</c:v>
                </c:pt>
                <c:pt idx="111">
                  <c:v>1.4208847389999999</c:v>
                </c:pt>
                <c:pt idx="112">
                  <c:v>1.4181487749999999</c:v>
                </c:pt>
                <c:pt idx="113">
                  <c:v>1.419757004</c:v>
                </c:pt>
                <c:pt idx="114">
                  <c:v>1.419387621</c:v>
                </c:pt>
                <c:pt idx="115">
                  <c:v>1.411500228</c:v>
                </c:pt>
                <c:pt idx="116">
                  <c:v>1.418963548</c:v>
                </c:pt>
                <c:pt idx="117">
                  <c:v>1.420428244</c:v>
                </c:pt>
                <c:pt idx="118">
                  <c:v>1.411890627</c:v>
                </c:pt>
                <c:pt idx="119">
                  <c:v>1.4209111539999999</c:v>
                </c:pt>
                <c:pt idx="120">
                  <c:v>1.416661698</c:v>
                </c:pt>
                <c:pt idx="121">
                  <c:v>1.4192891599999999</c:v>
                </c:pt>
                <c:pt idx="122">
                  <c:v>1.4147910020000001</c:v>
                </c:pt>
                <c:pt idx="123">
                  <c:v>1.421969024</c:v>
                </c:pt>
                <c:pt idx="124">
                  <c:v>1.424523151</c:v>
                </c:pt>
                <c:pt idx="125">
                  <c:v>1.414346173</c:v>
                </c:pt>
                <c:pt idx="126">
                  <c:v>1.42160624</c:v>
                </c:pt>
                <c:pt idx="127">
                  <c:v>1.420314235</c:v>
                </c:pt>
                <c:pt idx="128">
                  <c:v>1.4223911140000001</c:v>
                </c:pt>
                <c:pt idx="129">
                  <c:v>1.4174967629999999</c:v>
                </c:pt>
                <c:pt idx="130">
                  <c:v>1.419612479</c:v>
                </c:pt>
              </c:numCache>
            </c:numRef>
          </c:xVal>
          <c:yVal>
            <c:numRef>
              <c:f>'Bond length c'!$I$2:$I$132</c:f>
              <c:numCache>
                <c:formatCode>General</c:formatCode>
                <c:ptCount val="131"/>
                <c:pt idx="0">
                  <c:v>1.417921918</c:v>
                </c:pt>
                <c:pt idx="1">
                  <c:v>1.4194838219999999</c:v>
                </c:pt>
                <c:pt idx="2">
                  <c:v>1.415015712</c:v>
                </c:pt>
                <c:pt idx="3">
                  <c:v>1.413509321</c:v>
                </c:pt>
                <c:pt idx="4">
                  <c:v>1.4225022979999999</c:v>
                </c:pt>
                <c:pt idx="5">
                  <c:v>1.415468057</c:v>
                </c:pt>
                <c:pt idx="6">
                  <c:v>1.4193721770000001</c:v>
                </c:pt>
                <c:pt idx="7">
                  <c:v>1.4185362960000001</c:v>
                </c:pt>
                <c:pt idx="8">
                  <c:v>1.4213791440000001</c:v>
                </c:pt>
                <c:pt idx="9">
                  <c:v>1.420657936</c:v>
                </c:pt>
                <c:pt idx="10">
                  <c:v>1.418044673</c:v>
                </c:pt>
                <c:pt idx="11">
                  <c:v>1.4206619110000001</c:v>
                </c:pt>
                <c:pt idx="12">
                  <c:v>1.4199857</c:v>
                </c:pt>
                <c:pt idx="13">
                  <c:v>1.416507755</c:v>
                </c:pt>
                <c:pt idx="14">
                  <c:v>1.4162680670000001</c:v>
                </c:pt>
                <c:pt idx="15">
                  <c:v>1.413587953</c:v>
                </c:pt>
                <c:pt idx="16">
                  <c:v>1.4178599030000001</c:v>
                </c:pt>
                <c:pt idx="17">
                  <c:v>1.412060141</c:v>
                </c:pt>
                <c:pt idx="18">
                  <c:v>1.418396459</c:v>
                </c:pt>
                <c:pt idx="19">
                  <c:v>1.4204586450000001</c:v>
                </c:pt>
                <c:pt idx="20">
                  <c:v>1.4168877790000001</c:v>
                </c:pt>
                <c:pt idx="21">
                  <c:v>1.4221383089999999</c:v>
                </c:pt>
                <c:pt idx="22">
                  <c:v>1.418020268</c:v>
                </c:pt>
                <c:pt idx="23">
                  <c:v>1.419345335</c:v>
                </c:pt>
                <c:pt idx="24">
                  <c:v>1.4197568739999999</c:v>
                </c:pt>
                <c:pt idx="25">
                  <c:v>1.415785297</c:v>
                </c:pt>
                <c:pt idx="26">
                  <c:v>1.4177962559999999</c:v>
                </c:pt>
                <c:pt idx="27">
                  <c:v>1.416511699</c:v>
                </c:pt>
                <c:pt idx="28">
                  <c:v>1.4365673240000001</c:v>
                </c:pt>
                <c:pt idx="29">
                  <c:v>1.4124032070000001</c:v>
                </c:pt>
                <c:pt idx="30">
                  <c:v>1.4056937890000001</c:v>
                </c:pt>
                <c:pt idx="31">
                  <c:v>1.4140466970000001</c:v>
                </c:pt>
                <c:pt idx="32">
                  <c:v>1.4151681780000001</c:v>
                </c:pt>
                <c:pt idx="33">
                  <c:v>1.4109659489999999</c:v>
                </c:pt>
                <c:pt idx="34">
                  <c:v>1.4164165879999999</c:v>
                </c:pt>
                <c:pt idx="35">
                  <c:v>1.4206427070000001</c:v>
                </c:pt>
                <c:pt idx="36">
                  <c:v>1.4158095369999999</c:v>
                </c:pt>
                <c:pt idx="37">
                  <c:v>1.4195065259999999</c:v>
                </c:pt>
                <c:pt idx="38">
                  <c:v>1.422463708</c:v>
                </c:pt>
                <c:pt idx="39">
                  <c:v>1.4168055429999999</c:v>
                </c:pt>
                <c:pt idx="40">
                  <c:v>1.4163268819999999</c:v>
                </c:pt>
                <c:pt idx="41">
                  <c:v>1.4258666149999999</c:v>
                </c:pt>
                <c:pt idx="42">
                  <c:v>1.4180345480000001</c:v>
                </c:pt>
                <c:pt idx="43">
                  <c:v>1.415186072</c:v>
                </c:pt>
                <c:pt idx="44">
                  <c:v>1.409885297</c:v>
                </c:pt>
                <c:pt idx="45">
                  <c:v>1.420739671</c:v>
                </c:pt>
                <c:pt idx="46">
                  <c:v>1.4174885370000001</c:v>
                </c:pt>
                <c:pt idx="47">
                  <c:v>1.4145346910000001</c:v>
                </c:pt>
                <c:pt idx="48">
                  <c:v>1.4219179879999999</c:v>
                </c:pt>
                <c:pt idx="49">
                  <c:v>1.4189911479999999</c:v>
                </c:pt>
                <c:pt idx="50">
                  <c:v>1.4206275269999999</c:v>
                </c:pt>
                <c:pt idx="51">
                  <c:v>1.417989535</c:v>
                </c:pt>
                <c:pt idx="52">
                  <c:v>1.418492192</c:v>
                </c:pt>
                <c:pt idx="53">
                  <c:v>1.411684003</c:v>
                </c:pt>
                <c:pt idx="54">
                  <c:v>1.4158967</c:v>
                </c:pt>
                <c:pt idx="55">
                  <c:v>1.4198682279999999</c:v>
                </c:pt>
                <c:pt idx="56">
                  <c:v>1.4169854770000001</c:v>
                </c:pt>
                <c:pt idx="57">
                  <c:v>1.4129963759999999</c:v>
                </c:pt>
                <c:pt idx="58">
                  <c:v>1.41731969</c:v>
                </c:pt>
                <c:pt idx="59">
                  <c:v>1.420164328</c:v>
                </c:pt>
                <c:pt idx="60">
                  <c:v>1.4222990360000001</c:v>
                </c:pt>
                <c:pt idx="61">
                  <c:v>1.4138970230000001</c:v>
                </c:pt>
                <c:pt idx="62">
                  <c:v>1.4241756430000001</c:v>
                </c:pt>
                <c:pt idx="63">
                  <c:v>1.4180700550000001</c:v>
                </c:pt>
                <c:pt idx="64">
                  <c:v>1.42091437</c:v>
                </c:pt>
                <c:pt idx="65">
                  <c:v>1.420968483</c:v>
                </c:pt>
                <c:pt idx="66">
                  <c:v>1.4157681660000001</c:v>
                </c:pt>
                <c:pt idx="67">
                  <c:v>1.419912474</c:v>
                </c:pt>
                <c:pt idx="68">
                  <c:v>1.420321052</c:v>
                </c:pt>
                <c:pt idx="69">
                  <c:v>1.415602681</c:v>
                </c:pt>
                <c:pt idx="70">
                  <c:v>1.4176213630000001</c:v>
                </c:pt>
                <c:pt idx="71">
                  <c:v>1.423270244</c:v>
                </c:pt>
                <c:pt idx="72">
                  <c:v>1.4187088299999999</c:v>
                </c:pt>
                <c:pt idx="73">
                  <c:v>1.4163085280000001</c:v>
                </c:pt>
                <c:pt idx="74">
                  <c:v>1.424850387</c:v>
                </c:pt>
                <c:pt idx="75">
                  <c:v>1.4206560100000001</c:v>
                </c:pt>
                <c:pt idx="76">
                  <c:v>1.4254478180000001</c:v>
                </c:pt>
                <c:pt idx="77">
                  <c:v>1.416710876</c:v>
                </c:pt>
                <c:pt idx="78">
                  <c:v>1.420143857</c:v>
                </c:pt>
                <c:pt idx="79">
                  <c:v>1.4161673669999999</c:v>
                </c:pt>
                <c:pt idx="80">
                  <c:v>1.4144401049999999</c:v>
                </c:pt>
                <c:pt idx="81">
                  <c:v>1.4076584940000001</c:v>
                </c:pt>
                <c:pt idx="82">
                  <c:v>1.417730403</c:v>
                </c:pt>
                <c:pt idx="83">
                  <c:v>1.4172334579999999</c:v>
                </c:pt>
                <c:pt idx="84">
                  <c:v>1.414121687</c:v>
                </c:pt>
                <c:pt idx="85">
                  <c:v>1.4228371950000001</c:v>
                </c:pt>
                <c:pt idx="86">
                  <c:v>1.41796744</c:v>
                </c:pt>
                <c:pt idx="87">
                  <c:v>1.4189055800000001</c:v>
                </c:pt>
                <c:pt idx="88">
                  <c:v>1.419471508</c:v>
                </c:pt>
                <c:pt idx="89">
                  <c:v>1.4173114330000001</c:v>
                </c:pt>
                <c:pt idx="90">
                  <c:v>1.4166515399999999</c:v>
                </c:pt>
                <c:pt idx="91">
                  <c:v>1.4129398289999999</c:v>
                </c:pt>
                <c:pt idx="92">
                  <c:v>1.4145469690000001</c:v>
                </c:pt>
                <c:pt idx="93">
                  <c:v>1.4181098400000001</c:v>
                </c:pt>
                <c:pt idx="94">
                  <c:v>1.405117204</c:v>
                </c:pt>
                <c:pt idx="95">
                  <c:v>1.4106356179999999</c:v>
                </c:pt>
                <c:pt idx="96">
                  <c:v>1.426287611</c:v>
                </c:pt>
                <c:pt idx="97">
                  <c:v>1.4069692899999999</c:v>
                </c:pt>
                <c:pt idx="98">
                  <c:v>1.4078596560000001</c:v>
                </c:pt>
                <c:pt idx="99">
                  <c:v>1.418742309</c:v>
                </c:pt>
                <c:pt idx="100">
                  <c:v>1.4188014040000001</c:v>
                </c:pt>
                <c:pt idx="101">
                  <c:v>1.4193310640000001</c:v>
                </c:pt>
                <c:pt idx="102">
                  <c:v>1.422923374</c:v>
                </c:pt>
                <c:pt idx="103">
                  <c:v>1.418837964</c:v>
                </c:pt>
                <c:pt idx="104">
                  <c:v>1.417127617</c:v>
                </c:pt>
                <c:pt idx="105">
                  <c:v>1.4219013549999999</c:v>
                </c:pt>
                <c:pt idx="106">
                  <c:v>1.4215265989999999</c:v>
                </c:pt>
                <c:pt idx="107">
                  <c:v>1.4189457729999999</c:v>
                </c:pt>
                <c:pt idx="108">
                  <c:v>1.4144017980000001</c:v>
                </c:pt>
                <c:pt idx="109">
                  <c:v>1.4094670119999999</c:v>
                </c:pt>
                <c:pt idx="110">
                  <c:v>1.418652628</c:v>
                </c:pt>
                <c:pt idx="111">
                  <c:v>1.4208847389999999</c:v>
                </c:pt>
                <c:pt idx="112">
                  <c:v>1.4181487749999999</c:v>
                </c:pt>
                <c:pt idx="113">
                  <c:v>1.419757004</c:v>
                </c:pt>
                <c:pt idx="114">
                  <c:v>1.419387621</c:v>
                </c:pt>
                <c:pt idx="115">
                  <c:v>1.411500228</c:v>
                </c:pt>
                <c:pt idx="116">
                  <c:v>1.418963548</c:v>
                </c:pt>
                <c:pt idx="117">
                  <c:v>1.420428244</c:v>
                </c:pt>
                <c:pt idx="118">
                  <c:v>1.411890627</c:v>
                </c:pt>
                <c:pt idx="119">
                  <c:v>1.4209111539999999</c:v>
                </c:pt>
                <c:pt idx="120">
                  <c:v>1.416661698</c:v>
                </c:pt>
                <c:pt idx="121">
                  <c:v>1.4192891599999999</c:v>
                </c:pt>
                <c:pt idx="122">
                  <c:v>1.4147910020000001</c:v>
                </c:pt>
                <c:pt idx="123">
                  <c:v>1.421969024</c:v>
                </c:pt>
                <c:pt idx="124">
                  <c:v>1.424523151</c:v>
                </c:pt>
                <c:pt idx="125">
                  <c:v>1.414346173</c:v>
                </c:pt>
                <c:pt idx="126">
                  <c:v>1.42160624</c:v>
                </c:pt>
                <c:pt idx="127">
                  <c:v>1.420314235</c:v>
                </c:pt>
                <c:pt idx="128">
                  <c:v>1.4223911140000001</c:v>
                </c:pt>
                <c:pt idx="129">
                  <c:v>1.4174967629999999</c:v>
                </c:pt>
                <c:pt idx="130">
                  <c:v>1.419612479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CD-47EF-8884-2AD1F1677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447664"/>
        <c:axId val="745434704"/>
      </c:scatterChart>
      <c:valAx>
        <c:axId val="745447664"/>
        <c:scaling>
          <c:orientation val="minMax"/>
          <c:max val="1.4369999999999998"/>
          <c:min val="1.404999999999999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1" u="none" strike="noStrike" kern="1200" baseline="0">
                    <a:solidFill>
                      <a:sysClr val="windowText" lastClr="000000"/>
                    </a:solidFill>
                  </a:rPr>
                  <a:t>c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xTB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34704"/>
        <c:crosses val="autoZero"/>
        <c:crossBetween val="midCat"/>
      </c:valAx>
      <c:valAx>
        <c:axId val="745434704"/>
        <c:scaling>
          <c:orientation val="minMax"/>
          <c:max val="1.4369999999999998"/>
          <c:min val="1.404999999999999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1" u="none" strike="noStrike" kern="1200" baseline="0">
                    <a:solidFill>
                      <a:sysClr val="windowText" lastClr="000000"/>
                    </a:solidFill>
                  </a:rPr>
                  <a:t>c</a:t>
                </a:r>
                <a:r>
                  <a:rPr lang="en-GB" sz="1400" b="0" i="0" u="none" strike="noStrike" kern="1200" baseline="-25000">
                    <a:solidFill>
                      <a:sysClr val="windowText" lastClr="000000"/>
                    </a:solidFill>
                  </a:rPr>
                  <a:t>DFT 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(</a:t>
                </a:r>
                <a:r>
                  <a:rPr lang="en-IN" sz="1400" b="0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  <a:endParaRPr lang="en-IN" sz="1400" b="0" i="0" u="none" strike="noStrike" kern="1200" baseline="-25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7379660726350297E-4"/>
              <c:y val="0.38341675692025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44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173737991488932E-2"/>
          <c:y val="0.89313466025080201"/>
          <c:w val="0.89165266841644797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6</xdr:row>
      <xdr:rowOff>47625</xdr:rowOff>
    </xdr:from>
    <xdr:to>
      <xdr:col>16</xdr:col>
      <xdr:colOff>619125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1FCB8-1C28-4DE6-8BC5-C880BFE9F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6</xdr:row>
      <xdr:rowOff>47625</xdr:rowOff>
    </xdr:from>
    <xdr:to>
      <xdr:col>17</xdr:col>
      <xdr:colOff>238125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A3E9F-8869-49F1-A1DC-6AD71EE83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6</xdr:row>
      <xdr:rowOff>47625</xdr:rowOff>
    </xdr:from>
    <xdr:to>
      <xdr:col>17</xdr:col>
      <xdr:colOff>238125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80D79-61DC-4D0E-BDF5-8253C3729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6</xdr:row>
      <xdr:rowOff>47625</xdr:rowOff>
    </xdr:from>
    <xdr:to>
      <xdr:col>17</xdr:col>
      <xdr:colOff>238125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A96B33-7511-4EC9-9479-169837D29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B519-D5A7-4CC7-A880-48DD02FEC9DF}">
  <dimension ref="A1:AU139"/>
  <sheetViews>
    <sheetView tabSelected="1" workbookViewId="0">
      <selection activeCell="L5" sqref="L5"/>
    </sheetView>
  </sheetViews>
  <sheetFormatPr defaultRowHeight="14.25" x14ac:dyDescent="0.45"/>
  <cols>
    <col min="15" max="15" width="11.46484375" customWidth="1"/>
    <col min="16" max="16" width="11.1328125" customWidth="1"/>
  </cols>
  <sheetData>
    <row r="1" spans="1:47" s="2" customFormat="1" x14ac:dyDescent="0.45">
      <c r="A1" s="2" t="s">
        <v>6</v>
      </c>
      <c r="B1" s="2" t="s">
        <v>145</v>
      </c>
      <c r="C1" s="2" t="s">
        <v>146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47" x14ac:dyDescent="0.45">
      <c r="A2" t="s">
        <v>113</v>
      </c>
      <c r="B2">
        <v>1.868938663</v>
      </c>
      <c r="C2">
        <v>1.8833496329999999</v>
      </c>
      <c r="D2">
        <f>(C2-B2)</f>
        <v>1.4410969999999912E-2</v>
      </c>
      <c r="E2">
        <f>ABS(D2)</f>
        <v>1.4410969999999912E-2</v>
      </c>
      <c r="F2">
        <f>E2^2</f>
        <v>2.0767605634089745E-4</v>
      </c>
      <c r="G2">
        <f>CORREL(B2:B136,C2:C136)</f>
        <v>0.41898073964633065</v>
      </c>
      <c r="H2">
        <f>G2^2</f>
        <v>0.17554486019458632</v>
      </c>
      <c r="I2">
        <v>1.868938663</v>
      </c>
    </row>
    <row r="3" spans="1:47" x14ac:dyDescent="0.45">
      <c r="A3" t="s">
        <v>114</v>
      </c>
      <c r="B3">
        <v>1.870580186</v>
      </c>
      <c r="C3">
        <v>1.8824241930000001</v>
      </c>
      <c r="D3">
        <f t="shared" ref="D3:D62" si="0">(C3-B3)</f>
        <v>1.1844007000000101E-2</v>
      </c>
      <c r="E3">
        <f t="shared" ref="E3:E62" si="1">ABS(D3)</f>
        <v>1.1844007000000101E-2</v>
      </c>
      <c r="F3">
        <f t="shared" ref="F3:F62" si="2">E3^2</f>
        <v>1.4028050181605139E-4</v>
      </c>
      <c r="I3">
        <v>1.870580186</v>
      </c>
    </row>
    <row r="4" spans="1:47" x14ac:dyDescent="0.45">
      <c r="A4" t="s">
        <v>115</v>
      </c>
      <c r="B4">
        <v>1.874077131</v>
      </c>
      <c r="C4">
        <v>1.8920869069999999</v>
      </c>
      <c r="D4">
        <f t="shared" si="0"/>
        <v>1.8009775999999977E-2</v>
      </c>
      <c r="E4">
        <f t="shared" si="1"/>
        <v>1.8009775999999977E-2</v>
      </c>
      <c r="F4">
        <f t="shared" si="2"/>
        <v>3.2435203157017516E-4</v>
      </c>
      <c r="I4">
        <v>1.874077131</v>
      </c>
    </row>
    <row r="5" spans="1:47" x14ac:dyDescent="0.45">
      <c r="A5" t="s">
        <v>116</v>
      </c>
      <c r="B5">
        <v>1.913052972</v>
      </c>
      <c r="C5">
        <v>1.900078691</v>
      </c>
      <c r="D5">
        <f t="shared" si="0"/>
        <v>-1.2974280999999976E-2</v>
      </c>
      <c r="E5">
        <f t="shared" si="1"/>
        <v>1.2974280999999976E-2</v>
      </c>
      <c r="F5">
        <f t="shared" si="2"/>
        <v>1.6833196746696038E-4</v>
      </c>
      <c r="I5">
        <v>1.913052972</v>
      </c>
    </row>
    <row r="6" spans="1:47" x14ac:dyDescent="0.45">
      <c r="A6" t="s">
        <v>117</v>
      </c>
      <c r="B6">
        <v>1.8719479320000001</v>
      </c>
      <c r="C6">
        <v>1.898810406</v>
      </c>
      <c r="D6">
        <f t="shared" si="0"/>
        <v>2.6862473999999859E-2</v>
      </c>
      <c r="E6">
        <f t="shared" si="1"/>
        <v>2.6862473999999859E-2</v>
      </c>
      <c r="F6">
        <f t="shared" si="2"/>
        <v>7.2159250940066842E-4</v>
      </c>
      <c r="I6">
        <v>1.8719479320000001</v>
      </c>
    </row>
    <row r="7" spans="1:47" x14ac:dyDescent="0.45">
      <c r="A7" t="s">
        <v>118</v>
      </c>
      <c r="B7">
        <v>1.9088394120000001</v>
      </c>
      <c r="C7">
        <v>1.89857429</v>
      </c>
      <c r="D7">
        <f t="shared" si="0"/>
        <v>-1.0265122000000071E-2</v>
      </c>
      <c r="E7">
        <f t="shared" si="1"/>
        <v>1.0265122000000071E-2</v>
      </c>
      <c r="F7">
        <f t="shared" si="2"/>
        <v>1.0537272967488546E-4</v>
      </c>
      <c r="I7">
        <v>1.9088394120000001</v>
      </c>
    </row>
    <row r="8" spans="1:47" x14ac:dyDescent="0.45">
      <c r="A8" t="s">
        <v>7</v>
      </c>
      <c r="B8">
        <v>1.8877101489999999</v>
      </c>
      <c r="C8">
        <v>1.9065251759999999</v>
      </c>
      <c r="D8">
        <f t="shared" si="0"/>
        <v>1.881502700000004E-2</v>
      </c>
      <c r="E8">
        <f t="shared" si="1"/>
        <v>1.881502700000004E-2</v>
      </c>
      <c r="F8">
        <f t="shared" si="2"/>
        <v>3.5400524101073048E-4</v>
      </c>
      <c r="I8">
        <v>1.8877101489999999</v>
      </c>
    </row>
    <row r="9" spans="1:47" x14ac:dyDescent="0.45">
      <c r="A9" t="s">
        <v>8</v>
      </c>
      <c r="B9">
        <v>1.890098083</v>
      </c>
      <c r="C9">
        <v>1.9077996070000001</v>
      </c>
      <c r="D9">
        <f t="shared" si="0"/>
        <v>1.7701524000000024E-2</v>
      </c>
      <c r="E9">
        <f t="shared" si="1"/>
        <v>1.7701524000000024E-2</v>
      </c>
      <c r="F9">
        <f t="shared" si="2"/>
        <v>3.1334395192257684E-4</v>
      </c>
      <c r="I9">
        <v>1.890098083</v>
      </c>
    </row>
    <row r="10" spans="1:47" x14ac:dyDescent="0.45">
      <c r="A10" t="s">
        <v>9</v>
      </c>
      <c r="B10">
        <v>1.8868488029999999</v>
      </c>
      <c r="C10">
        <v>1.900447083</v>
      </c>
      <c r="D10">
        <f t="shared" si="0"/>
        <v>1.3598280000000074E-2</v>
      </c>
      <c r="E10">
        <f t="shared" si="1"/>
        <v>1.3598280000000074E-2</v>
      </c>
      <c r="F10">
        <f t="shared" si="2"/>
        <v>1.8491321895840201E-4</v>
      </c>
      <c r="I10">
        <v>1.8868488029999999</v>
      </c>
    </row>
    <row r="11" spans="1:47" x14ac:dyDescent="0.45">
      <c r="A11" t="s">
        <v>10</v>
      </c>
      <c r="B11">
        <v>1.8879240289999999</v>
      </c>
      <c r="C11">
        <v>1.9000186219999999</v>
      </c>
      <c r="D11">
        <f t="shared" si="0"/>
        <v>1.2094593000000042E-2</v>
      </c>
      <c r="E11">
        <f t="shared" si="1"/>
        <v>1.2094593000000042E-2</v>
      </c>
      <c r="F11">
        <f t="shared" si="2"/>
        <v>1.4627917983565003E-4</v>
      </c>
      <c r="I11">
        <v>1.8879240289999999</v>
      </c>
    </row>
    <row r="12" spans="1:47" x14ac:dyDescent="0.45">
      <c r="A12" t="s">
        <v>11</v>
      </c>
      <c r="B12">
        <v>1.8735190070000001</v>
      </c>
      <c r="C12">
        <v>1.8899928779999999</v>
      </c>
      <c r="D12">
        <f t="shared" si="0"/>
        <v>1.6473870999999862E-2</v>
      </c>
      <c r="E12">
        <f t="shared" si="1"/>
        <v>1.6473870999999862E-2</v>
      </c>
      <c r="F12">
        <f t="shared" si="2"/>
        <v>2.7138842572463644E-4</v>
      </c>
      <c r="H12" t="s">
        <v>147</v>
      </c>
      <c r="I12">
        <v>1.8735190070000001</v>
      </c>
    </row>
    <row r="13" spans="1:47" x14ac:dyDescent="0.45">
      <c r="A13" t="s">
        <v>12</v>
      </c>
      <c r="B13">
        <v>2.004081867</v>
      </c>
      <c r="C13">
        <v>1.911275987</v>
      </c>
      <c r="D13">
        <f t="shared" si="0"/>
        <v>-9.2805880000000007E-2</v>
      </c>
      <c r="E13">
        <f t="shared" si="1"/>
        <v>9.2805880000000007E-2</v>
      </c>
      <c r="F13">
        <f t="shared" si="2"/>
        <v>8.6129313625744018E-3</v>
      </c>
      <c r="I13">
        <v>2.004081867</v>
      </c>
    </row>
    <row r="14" spans="1:47" x14ac:dyDescent="0.45">
      <c r="A14" t="s">
        <v>13</v>
      </c>
      <c r="B14">
        <v>1.886300547</v>
      </c>
      <c r="C14">
        <v>1.9097276910000001</v>
      </c>
      <c r="D14">
        <f t="shared" si="0"/>
        <v>2.3427144000000011E-2</v>
      </c>
      <c r="E14">
        <f t="shared" si="1"/>
        <v>2.3427144000000011E-2</v>
      </c>
      <c r="F14">
        <f t="shared" si="2"/>
        <v>5.4883107599673652E-4</v>
      </c>
      <c r="I14">
        <v>1.886300547</v>
      </c>
    </row>
    <row r="15" spans="1:47" x14ac:dyDescent="0.45">
      <c r="A15" t="s">
        <v>119</v>
      </c>
      <c r="B15">
        <v>1.88474403</v>
      </c>
      <c r="C15">
        <v>1.890602707</v>
      </c>
      <c r="D15">
        <f t="shared" si="0"/>
        <v>5.8586769999999788E-3</v>
      </c>
      <c r="E15">
        <f t="shared" si="1"/>
        <v>5.8586769999999788E-3</v>
      </c>
      <c r="F15">
        <f t="shared" si="2"/>
        <v>3.4324096190328752E-5</v>
      </c>
      <c r="I15">
        <v>1.88474403</v>
      </c>
      <c r="AU15" s="1"/>
    </row>
    <row r="16" spans="1:47" x14ac:dyDescent="0.45">
      <c r="A16" t="s">
        <v>14</v>
      </c>
      <c r="B16">
        <v>1.880413739</v>
      </c>
      <c r="C16">
        <v>1.9018765129999999</v>
      </c>
      <c r="D16">
        <f t="shared" si="0"/>
        <v>2.1462773999999962E-2</v>
      </c>
      <c r="E16">
        <f t="shared" si="1"/>
        <v>2.1462773999999962E-2</v>
      </c>
      <c r="F16">
        <f t="shared" si="2"/>
        <v>4.6065066777507439E-4</v>
      </c>
      <c r="I16">
        <v>1.880413739</v>
      </c>
      <c r="AU16" s="1"/>
    </row>
    <row r="17" spans="1:47" x14ac:dyDescent="0.45">
      <c r="A17" t="s">
        <v>120</v>
      </c>
      <c r="B17">
        <v>1.946178497</v>
      </c>
      <c r="C17">
        <v>1.9084090010000001</v>
      </c>
      <c r="D17">
        <f t="shared" si="0"/>
        <v>-3.7769495999999902E-2</v>
      </c>
      <c r="E17">
        <f t="shared" si="1"/>
        <v>3.7769495999999902E-2</v>
      </c>
      <c r="F17">
        <f t="shared" si="2"/>
        <v>1.4265348280940086E-3</v>
      </c>
      <c r="I17">
        <v>1.946178497</v>
      </c>
      <c r="AU17" s="1"/>
    </row>
    <row r="18" spans="1:47" x14ac:dyDescent="0.45">
      <c r="A18" t="s">
        <v>121</v>
      </c>
      <c r="B18">
        <v>1.8833267010000001</v>
      </c>
      <c r="C18">
        <v>1.886254426</v>
      </c>
      <c r="D18">
        <f t="shared" si="0"/>
        <v>2.9277249999999366E-3</v>
      </c>
      <c r="E18">
        <f t="shared" si="1"/>
        <v>2.9277249999999366E-3</v>
      </c>
      <c r="F18">
        <f t="shared" si="2"/>
        <v>8.5715736756246298E-6</v>
      </c>
      <c r="I18">
        <v>1.8833267010000001</v>
      </c>
      <c r="AU18" s="1"/>
    </row>
    <row r="19" spans="1:47" x14ac:dyDescent="0.45">
      <c r="A19" t="s">
        <v>122</v>
      </c>
      <c r="B19">
        <v>1.933695918</v>
      </c>
      <c r="C19">
        <v>1.9339912020000001</v>
      </c>
      <c r="D19">
        <f t="shared" si="0"/>
        <v>2.9528400000011779E-4</v>
      </c>
      <c r="E19">
        <f t="shared" si="1"/>
        <v>2.9528400000011779E-4</v>
      </c>
      <c r="F19">
        <f t="shared" si="2"/>
        <v>8.7192640656069564E-8</v>
      </c>
      <c r="I19">
        <v>1.933695918</v>
      </c>
      <c r="AU19" s="1"/>
    </row>
    <row r="20" spans="1:47" x14ac:dyDescent="0.45">
      <c r="A20" t="s">
        <v>123</v>
      </c>
      <c r="B20">
        <v>1.8801162090000001</v>
      </c>
      <c r="C20">
        <v>1.898615502</v>
      </c>
      <c r="D20">
        <f t="shared" si="0"/>
        <v>1.8499292999999861E-2</v>
      </c>
      <c r="E20">
        <f t="shared" si="1"/>
        <v>1.8499292999999861E-2</v>
      </c>
      <c r="F20">
        <f t="shared" si="2"/>
        <v>3.4222384149984388E-4</v>
      </c>
      <c r="I20">
        <v>1.8801162090000001</v>
      </c>
      <c r="AU20" s="1"/>
    </row>
    <row r="21" spans="1:47" x14ac:dyDescent="0.45">
      <c r="A21" t="s">
        <v>124</v>
      </c>
      <c r="B21">
        <v>1.8862537770000001</v>
      </c>
      <c r="C21">
        <v>1.9013611829999999</v>
      </c>
      <c r="D21">
        <f t="shared" si="0"/>
        <v>1.5107405999999823E-2</v>
      </c>
      <c r="E21">
        <f t="shared" si="1"/>
        <v>1.5107405999999823E-2</v>
      </c>
      <c r="F21">
        <f t="shared" si="2"/>
        <v>2.2823371604883066E-4</v>
      </c>
      <c r="I21">
        <v>1.8862537770000001</v>
      </c>
    </row>
    <row r="22" spans="1:47" x14ac:dyDescent="0.45">
      <c r="A22" t="s">
        <v>125</v>
      </c>
      <c r="B22">
        <v>1.9048510970000001</v>
      </c>
      <c r="C22">
        <v>1.9022093550000001</v>
      </c>
      <c r="D22">
        <f t="shared" si="0"/>
        <v>-2.6417420000000025E-3</v>
      </c>
      <c r="E22">
        <f t="shared" si="1"/>
        <v>2.6417420000000025E-3</v>
      </c>
      <c r="F22">
        <f t="shared" si="2"/>
        <v>6.9788007945640131E-6</v>
      </c>
      <c r="I22">
        <v>1.9048510970000001</v>
      </c>
    </row>
    <row r="23" spans="1:47" x14ac:dyDescent="0.45">
      <c r="A23" t="s">
        <v>15</v>
      </c>
      <c r="B23">
        <v>1.9139473469999999</v>
      </c>
      <c r="C23">
        <v>1.9232762889999999</v>
      </c>
      <c r="D23">
        <f t="shared" si="0"/>
        <v>9.3289420000000067E-3</v>
      </c>
      <c r="E23">
        <f t="shared" si="1"/>
        <v>9.3289420000000067E-3</v>
      </c>
      <c r="F23">
        <f t="shared" si="2"/>
        <v>8.702915883936413E-5</v>
      </c>
      <c r="I23">
        <v>1.9139473469999999</v>
      </c>
    </row>
    <row r="24" spans="1:47" x14ac:dyDescent="0.45">
      <c r="A24" t="s">
        <v>16</v>
      </c>
      <c r="B24">
        <v>1.8804056149999999</v>
      </c>
      <c r="C24">
        <v>1.886304414</v>
      </c>
      <c r="D24">
        <f t="shared" si="0"/>
        <v>5.8987990000001211E-3</v>
      </c>
      <c r="E24">
        <f t="shared" si="1"/>
        <v>5.8987990000001211E-3</v>
      </c>
      <c r="F24">
        <f t="shared" si="2"/>
        <v>3.4795829642402427E-5</v>
      </c>
      <c r="I24">
        <v>1.8804056149999999</v>
      </c>
    </row>
    <row r="25" spans="1:47" x14ac:dyDescent="0.45">
      <c r="A25" t="s">
        <v>17</v>
      </c>
      <c r="B25">
        <v>1.866979113</v>
      </c>
      <c r="C25">
        <v>1.888778198</v>
      </c>
      <c r="D25">
        <f t="shared" si="0"/>
        <v>2.1799085000000051E-2</v>
      </c>
      <c r="E25">
        <f t="shared" si="1"/>
        <v>2.1799085000000051E-2</v>
      </c>
      <c r="F25">
        <f t="shared" si="2"/>
        <v>4.7520010683722722E-4</v>
      </c>
      <c r="I25">
        <v>1.866979113</v>
      </c>
    </row>
    <row r="26" spans="1:47" x14ac:dyDescent="0.45">
      <c r="A26" t="s">
        <v>18</v>
      </c>
      <c r="B26">
        <v>1.9764687439999999</v>
      </c>
      <c r="C26">
        <v>1.8936236259999999</v>
      </c>
      <c r="D26">
        <f t="shared" si="0"/>
        <v>-8.2845118000000051E-2</v>
      </c>
      <c r="E26">
        <f t="shared" si="1"/>
        <v>8.2845118000000051E-2</v>
      </c>
      <c r="F26">
        <f t="shared" si="2"/>
        <v>6.8633135764339321E-3</v>
      </c>
      <c r="I26">
        <v>1.9764687439999999</v>
      </c>
    </row>
    <row r="27" spans="1:47" x14ac:dyDescent="0.45">
      <c r="A27" t="s">
        <v>19</v>
      </c>
      <c r="B27">
        <v>1.857463147</v>
      </c>
      <c r="C27">
        <v>1.891166565</v>
      </c>
      <c r="D27">
        <f t="shared" si="0"/>
        <v>3.3703417999999985E-2</v>
      </c>
      <c r="E27">
        <f t="shared" si="1"/>
        <v>3.3703417999999985E-2</v>
      </c>
      <c r="F27">
        <f t="shared" si="2"/>
        <v>1.135920384882723E-3</v>
      </c>
      <c r="I27">
        <v>1.857463147</v>
      </c>
    </row>
    <row r="28" spans="1:47" x14ac:dyDescent="0.45">
      <c r="A28" t="s">
        <v>20</v>
      </c>
      <c r="B28">
        <v>1.864512843</v>
      </c>
      <c r="C28">
        <v>1.8936391910000001</v>
      </c>
      <c r="D28">
        <f t="shared" si="0"/>
        <v>2.9126348000000135E-2</v>
      </c>
      <c r="E28">
        <f t="shared" si="1"/>
        <v>2.9126348000000135E-2</v>
      </c>
      <c r="F28">
        <f t="shared" si="2"/>
        <v>8.4834414781711186E-4</v>
      </c>
      <c r="I28">
        <v>1.864512843</v>
      </c>
    </row>
    <row r="29" spans="1:47" x14ac:dyDescent="0.45">
      <c r="A29" t="s">
        <v>21</v>
      </c>
      <c r="B29">
        <v>1.867068138</v>
      </c>
      <c r="C29">
        <v>1.8992466480000001</v>
      </c>
      <c r="D29">
        <f t="shared" si="0"/>
        <v>3.2178510000000049E-2</v>
      </c>
      <c r="E29">
        <f t="shared" si="1"/>
        <v>3.2178510000000049E-2</v>
      </c>
      <c r="F29">
        <f t="shared" si="2"/>
        <v>1.0354565058201032E-3</v>
      </c>
      <c r="I29">
        <v>1.867068138</v>
      </c>
    </row>
    <row r="30" spans="1:47" x14ac:dyDescent="0.45">
      <c r="A30" t="s">
        <v>22</v>
      </c>
      <c r="B30">
        <v>1.8685999069999999</v>
      </c>
      <c r="C30">
        <v>1.891377203</v>
      </c>
      <c r="D30">
        <f t="shared" si="0"/>
        <v>2.2777296000000113E-2</v>
      </c>
      <c r="E30">
        <f t="shared" si="1"/>
        <v>2.2777296000000113E-2</v>
      </c>
      <c r="F30">
        <f t="shared" si="2"/>
        <v>5.1880521307162111E-4</v>
      </c>
      <c r="I30">
        <v>1.8685999069999999</v>
      </c>
    </row>
    <row r="31" spans="1:47" x14ac:dyDescent="0.45">
      <c r="A31" t="s">
        <v>24</v>
      </c>
      <c r="B31">
        <v>1.893333092</v>
      </c>
      <c r="C31">
        <v>1.9003374790000001</v>
      </c>
      <c r="D31">
        <f t="shared" si="0"/>
        <v>7.0043870000000563E-3</v>
      </c>
      <c r="E31">
        <f t="shared" si="1"/>
        <v>7.0043870000000563E-3</v>
      </c>
      <c r="F31">
        <f t="shared" si="2"/>
        <v>4.9061437245769786E-5</v>
      </c>
      <c r="I31">
        <v>1.893333092</v>
      </c>
    </row>
    <row r="32" spans="1:47" x14ac:dyDescent="0.45">
      <c r="A32" t="s">
        <v>25</v>
      </c>
      <c r="B32">
        <v>1.9240053050000001</v>
      </c>
      <c r="C32">
        <v>1.8998402480000001</v>
      </c>
      <c r="D32">
        <f t="shared" si="0"/>
        <v>-2.4165057000000045E-2</v>
      </c>
      <c r="E32">
        <f t="shared" si="1"/>
        <v>2.4165057000000045E-2</v>
      </c>
      <c r="F32">
        <f t="shared" si="2"/>
        <v>5.8394997981325121E-4</v>
      </c>
      <c r="I32">
        <v>1.9240053050000001</v>
      </c>
    </row>
    <row r="33" spans="1:9" x14ac:dyDescent="0.45">
      <c r="A33" t="s">
        <v>26</v>
      </c>
      <c r="B33">
        <v>1.8888193129999999</v>
      </c>
      <c r="C33">
        <v>1.907583791</v>
      </c>
      <c r="D33">
        <f t="shared" si="0"/>
        <v>1.8764478000000029E-2</v>
      </c>
      <c r="E33">
        <f t="shared" si="1"/>
        <v>1.8764478000000029E-2</v>
      </c>
      <c r="F33">
        <f t="shared" si="2"/>
        <v>3.5210563461248508E-4</v>
      </c>
      <c r="I33">
        <v>1.8888193129999999</v>
      </c>
    </row>
    <row r="34" spans="1:9" x14ac:dyDescent="0.45">
      <c r="A34" t="s">
        <v>27</v>
      </c>
      <c r="B34">
        <v>1.8899554519999999</v>
      </c>
      <c r="C34">
        <v>1.878864417</v>
      </c>
      <c r="D34">
        <f t="shared" si="0"/>
        <v>-1.1091034999999971E-2</v>
      </c>
      <c r="E34">
        <f t="shared" si="1"/>
        <v>1.1091034999999971E-2</v>
      </c>
      <c r="F34">
        <f t="shared" si="2"/>
        <v>1.2301105737122435E-4</v>
      </c>
      <c r="I34">
        <v>1.8899554519999999</v>
      </c>
    </row>
    <row r="35" spans="1:9" x14ac:dyDescent="0.45">
      <c r="A35" t="s">
        <v>28</v>
      </c>
      <c r="B35">
        <v>1.9128028189999999</v>
      </c>
      <c r="C35">
        <v>1.902535884</v>
      </c>
      <c r="D35">
        <f t="shared" si="0"/>
        <v>-1.0266934999999977E-2</v>
      </c>
      <c r="E35">
        <f t="shared" si="1"/>
        <v>1.0266934999999977E-2</v>
      </c>
      <c r="F35">
        <f t="shared" si="2"/>
        <v>1.0540995429422453E-4</v>
      </c>
      <c r="I35">
        <v>1.9128028189999999</v>
      </c>
    </row>
    <row r="36" spans="1:9" x14ac:dyDescent="0.45">
      <c r="A36" t="s">
        <v>126</v>
      </c>
      <c r="B36">
        <v>1.9536187279999999</v>
      </c>
      <c r="C36">
        <v>1.9052842270000001</v>
      </c>
      <c r="D36">
        <f t="shared" si="0"/>
        <v>-4.8334500999999808E-2</v>
      </c>
      <c r="E36">
        <f t="shared" si="1"/>
        <v>4.8334500999999808E-2</v>
      </c>
      <c r="F36">
        <f t="shared" si="2"/>
        <v>2.3362239869189824E-3</v>
      </c>
      <c r="I36">
        <v>1.9536187279999999</v>
      </c>
    </row>
    <row r="37" spans="1:9" x14ac:dyDescent="0.45">
      <c r="A37" t="s">
        <v>29</v>
      </c>
      <c r="B37">
        <v>1.8756511490000001</v>
      </c>
      <c r="C37">
        <v>1.8729231180000001</v>
      </c>
      <c r="D37">
        <f t="shared" si="0"/>
        <v>-2.7280309999999641E-3</v>
      </c>
      <c r="E37">
        <f t="shared" si="1"/>
        <v>2.7280309999999641E-3</v>
      </c>
      <c r="F37">
        <f t="shared" si="2"/>
        <v>7.4421531369608046E-6</v>
      </c>
      <c r="I37">
        <v>1.8756511490000001</v>
      </c>
    </row>
    <row r="38" spans="1:9" x14ac:dyDescent="0.45">
      <c r="A38" t="s">
        <v>30</v>
      </c>
      <c r="B38">
        <v>1.9118702139999999</v>
      </c>
      <c r="C38">
        <v>1.880813853</v>
      </c>
      <c r="D38">
        <f t="shared" si="0"/>
        <v>-3.1056360999999866E-2</v>
      </c>
      <c r="E38">
        <f t="shared" si="1"/>
        <v>3.1056360999999866E-2</v>
      </c>
      <c r="F38">
        <f t="shared" si="2"/>
        <v>9.6449755856231265E-4</v>
      </c>
      <c r="I38">
        <v>1.9118702139999999</v>
      </c>
    </row>
    <row r="39" spans="1:9" x14ac:dyDescent="0.45">
      <c r="A39" t="s">
        <v>31</v>
      </c>
      <c r="B39">
        <v>1.906493054</v>
      </c>
      <c r="C39">
        <v>1.9122091400000001</v>
      </c>
      <c r="D39">
        <f t="shared" si="0"/>
        <v>5.7160860000000646E-3</v>
      </c>
      <c r="E39">
        <f t="shared" si="1"/>
        <v>5.7160860000000646E-3</v>
      </c>
      <c r="F39">
        <f t="shared" si="2"/>
        <v>3.2673639159396739E-5</v>
      </c>
      <c r="I39">
        <v>1.906493054</v>
      </c>
    </row>
    <row r="40" spans="1:9" x14ac:dyDescent="0.45">
      <c r="A40" t="s">
        <v>127</v>
      </c>
      <c r="B40">
        <v>1.8832859019999999</v>
      </c>
      <c r="C40">
        <v>1.885540368</v>
      </c>
      <c r="D40">
        <f t="shared" si="0"/>
        <v>2.2544660000001215E-3</v>
      </c>
      <c r="E40">
        <f t="shared" si="1"/>
        <v>2.2544660000001215E-3</v>
      </c>
      <c r="F40">
        <f t="shared" si="2"/>
        <v>5.082616945156548E-6</v>
      </c>
      <c r="I40">
        <v>1.8832859019999999</v>
      </c>
    </row>
    <row r="41" spans="1:9" x14ac:dyDescent="0.45">
      <c r="A41" t="s">
        <v>128</v>
      </c>
      <c r="B41">
        <v>1.8758591680000001</v>
      </c>
      <c r="C41">
        <v>1.887248934</v>
      </c>
      <c r="D41">
        <f t="shared" si="0"/>
        <v>1.1389765999999968E-2</v>
      </c>
      <c r="E41">
        <f t="shared" si="1"/>
        <v>1.1389765999999968E-2</v>
      </c>
      <c r="F41">
        <f t="shared" si="2"/>
        <v>1.2972676953475527E-4</v>
      </c>
      <c r="I41">
        <v>1.8758591680000001</v>
      </c>
    </row>
    <row r="42" spans="1:9" x14ac:dyDescent="0.45">
      <c r="A42" t="s">
        <v>32</v>
      </c>
      <c r="B42">
        <v>1.8952223290000001</v>
      </c>
      <c r="C42">
        <v>1.9066218479999999</v>
      </c>
      <c r="D42">
        <f t="shared" si="0"/>
        <v>1.1399518999999803E-2</v>
      </c>
      <c r="E42">
        <f t="shared" si="1"/>
        <v>1.1399518999999803E-2</v>
      </c>
      <c r="F42">
        <f t="shared" si="2"/>
        <v>1.299490334313565E-4</v>
      </c>
      <c r="I42">
        <v>1.8952223290000001</v>
      </c>
    </row>
    <row r="43" spans="1:9" x14ac:dyDescent="0.45">
      <c r="A43" t="s">
        <v>33</v>
      </c>
      <c r="B43">
        <v>1.9045838559999999</v>
      </c>
      <c r="C43">
        <v>1.904830977</v>
      </c>
      <c r="D43">
        <f t="shared" si="0"/>
        <v>2.4712100000012782E-4</v>
      </c>
      <c r="E43">
        <f t="shared" si="1"/>
        <v>2.4712100000012782E-4</v>
      </c>
      <c r="F43">
        <f t="shared" si="2"/>
        <v>6.1068788641063176E-8</v>
      </c>
      <c r="I43">
        <v>1.9045838559999999</v>
      </c>
    </row>
    <row r="44" spans="1:9" x14ac:dyDescent="0.45">
      <c r="A44" t="s">
        <v>34</v>
      </c>
      <c r="B44">
        <v>1.8925460839999999</v>
      </c>
      <c r="C44">
        <v>1.9268757110000001</v>
      </c>
      <c r="D44">
        <f t="shared" si="0"/>
        <v>3.4329627000000196E-2</v>
      </c>
      <c r="E44">
        <f t="shared" si="1"/>
        <v>3.4329627000000196E-2</v>
      </c>
      <c r="F44">
        <f t="shared" si="2"/>
        <v>1.1785232899591425E-3</v>
      </c>
      <c r="I44">
        <v>1.8925460839999999</v>
      </c>
    </row>
    <row r="45" spans="1:9" x14ac:dyDescent="0.45">
      <c r="A45" t="s">
        <v>35</v>
      </c>
      <c r="B45">
        <v>1.8981879070000001</v>
      </c>
      <c r="C45">
        <v>1.9211302370000001</v>
      </c>
      <c r="D45">
        <f t="shared" si="0"/>
        <v>2.2942330000000011E-2</v>
      </c>
      <c r="E45">
        <f t="shared" si="1"/>
        <v>2.2942330000000011E-2</v>
      </c>
      <c r="F45">
        <f t="shared" si="2"/>
        <v>5.2635050582890044E-4</v>
      </c>
      <c r="I45">
        <v>1.8981879070000001</v>
      </c>
    </row>
    <row r="46" spans="1:9" x14ac:dyDescent="0.45">
      <c r="A46" t="s">
        <v>36</v>
      </c>
      <c r="B46">
        <v>1.887368551</v>
      </c>
      <c r="C46">
        <v>1.8904267379999999</v>
      </c>
      <c r="D46">
        <f t="shared" si="0"/>
        <v>3.0581869999999345E-3</v>
      </c>
      <c r="E46">
        <f t="shared" si="1"/>
        <v>3.0581869999999345E-3</v>
      </c>
      <c r="F46">
        <f t="shared" si="2"/>
        <v>9.3525077269686001E-6</v>
      </c>
      <c r="I46">
        <v>1.887368551</v>
      </c>
    </row>
    <row r="47" spans="1:9" x14ac:dyDescent="0.45">
      <c r="A47" t="s">
        <v>37</v>
      </c>
      <c r="B47">
        <v>1.8762075819999999</v>
      </c>
      <c r="C47">
        <v>1.880392783</v>
      </c>
      <c r="D47">
        <f t="shared" si="0"/>
        <v>4.1852010000000828E-3</v>
      </c>
      <c r="E47">
        <f t="shared" si="1"/>
        <v>4.1852010000000828E-3</v>
      </c>
      <c r="F47">
        <f t="shared" si="2"/>
        <v>1.7515907410401692E-5</v>
      </c>
      <c r="I47">
        <v>1.8762075819999999</v>
      </c>
    </row>
    <row r="48" spans="1:9" x14ac:dyDescent="0.45">
      <c r="A48" t="s">
        <v>38</v>
      </c>
      <c r="B48">
        <v>1.863565038</v>
      </c>
      <c r="C48">
        <v>1.886175318</v>
      </c>
      <c r="D48">
        <f t="shared" si="0"/>
        <v>2.2610280000000094E-2</v>
      </c>
      <c r="E48">
        <f t="shared" si="1"/>
        <v>2.2610280000000094E-2</v>
      </c>
      <c r="F48">
        <f t="shared" si="2"/>
        <v>5.1122476167840428E-4</v>
      </c>
      <c r="I48">
        <v>1.863565038</v>
      </c>
    </row>
    <row r="49" spans="1:9" x14ac:dyDescent="0.45">
      <c r="A49" t="s">
        <v>39</v>
      </c>
      <c r="B49">
        <v>1.8750051649999999</v>
      </c>
      <c r="C49">
        <v>1.8825036989999999</v>
      </c>
      <c r="D49">
        <f t="shared" si="0"/>
        <v>7.4985340000000011E-3</v>
      </c>
      <c r="E49">
        <f t="shared" si="1"/>
        <v>7.4985340000000011E-3</v>
      </c>
      <c r="F49">
        <f t="shared" si="2"/>
        <v>5.6228012149156014E-5</v>
      </c>
      <c r="I49">
        <v>1.8750051649999999</v>
      </c>
    </row>
    <row r="50" spans="1:9" x14ac:dyDescent="0.45">
      <c r="A50" t="s">
        <v>40</v>
      </c>
      <c r="B50">
        <v>1.875659062</v>
      </c>
      <c r="C50">
        <v>1.8824320590000001</v>
      </c>
      <c r="D50">
        <f t="shared" si="0"/>
        <v>6.7729970000001138E-3</v>
      </c>
      <c r="E50">
        <f t="shared" si="1"/>
        <v>6.7729970000001138E-3</v>
      </c>
      <c r="F50">
        <f t="shared" si="2"/>
        <v>4.5873488362010539E-5</v>
      </c>
      <c r="I50">
        <v>1.875659062</v>
      </c>
    </row>
    <row r="51" spans="1:9" x14ac:dyDescent="0.45">
      <c r="A51" t="s">
        <v>41</v>
      </c>
      <c r="B51">
        <v>1.875181268</v>
      </c>
      <c r="C51">
        <v>1.879159714</v>
      </c>
      <c r="D51">
        <f t="shared" si="0"/>
        <v>3.9784460000000799E-3</v>
      </c>
      <c r="E51">
        <f t="shared" si="1"/>
        <v>3.9784460000000799E-3</v>
      </c>
      <c r="F51">
        <f t="shared" si="2"/>
        <v>1.5828032574916636E-5</v>
      </c>
      <c r="I51">
        <v>1.875181268</v>
      </c>
    </row>
    <row r="52" spans="1:9" x14ac:dyDescent="0.45">
      <c r="A52" t="s">
        <v>42</v>
      </c>
      <c r="B52">
        <v>1.858011251</v>
      </c>
      <c r="C52">
        <v>1.8870487119999999</v>
      </c>
      <c r="D52">
        <f t="shared" si="0"/>
        <v>2.9037460999999931E-2</v>
      </c>
      <c r="E52">
        <f t="shared" si="1"/>
        <v>2.9037460999999931E-2</v>
      </c>
      <c r="F52">
        <f t="shared" si="2"/>
        <v>8.4317414132651703E-4</v>
      </c>
      <c r="I52">
        <v>1.858011251</v>
      </c>
    </row>
    <row r="53" spans="1:9" x14ac:dyDescent="0.45">
      <c r="A53" t="s">
        <v>43</v>
      </c>
      <c r="B53">
        <v>1.852128438</v>
      </c>
      <c r="C53">
        <v>1.8764018899999999</v>
      </c>
      <c r="D53">
        <f t="shared" si="0"/>
        <v>2.4273451999999862E-2</v>
      </c>
      <c r="E53">
        <f t="shared" si="1"/>
        <v>2.4273451999999862E-2</v>
      </c>
      <c r="F53">
        <f t="shared" si="2"/>
        <v>5.8920047199629731E-4</v>
      </c>
      <c r="I53">
        <v>1.852128438</v>
      </c>
    </row>
    <row r="54" spans="1:9" x14ac:dyDescent="0.45">
      <c r="A54" t="s">
        <v>44</v>
      </c>
      <c r="B54">
        <v>1.860698907</v>
      </c>
      <c r="C54">
        <v>1.8906951519999999</v>
      </c>
      <c r="D54">
        <f t="shared" si="0"/>
        <v>2.9996244999999977E-2</v>
      </c>
      <c r="E54">
        <f t="shared" si="1"/>
        <v>2.9996244999999977E-2</v>
      </c>
      <c r="F54">
        <f t="shared" si="2"/>
        <v>8.9977471410002357E-4</v>
      </c>
      <c r="I54">
        <v>1.860698907</v>
      </c>
    </row>
    <row r="55" spans="1:9" x14ac:dyDescent="0.45">
      <c r="A55" t="s">
        <v>45</v>
      </c>
      <c r="B55">
        <v>1.8933446439999999</v>
      </c>
      <c r="C55">
        <v>1.9006915790000001</v>
      </c>
      <c r="D55">
        <f t="shared" si="0"/>
        <v>7.3469350000001654E-3</v>
      </c>
      <c r="E55">
        <f t="shared" si="1"/>
        <v>7.3469350000001654E-3</v>
      </c>
      <c r="F55">
        <f t="shared" si="2"/>
        <v>5.3977453894227428E-5</v>
      </c>
      <c r="I55">
        <v>1.8933446439999999</v>
      </c>
    </row>
    <row r="56" spans="1:9" x14ac:dyDescent="0.45">
      <c r="A56" t="s">
        <v>46</v>
      </c>
      <c r="B56">
        <v>1.934551763</v>
      </c>
      <c r="C56">
        <v>1.895102294</v>
      </c>
      <c r="D56">
        <f t="shared" si="0"/>
        <v>-3.9449469000000015E-2</v>
      </c>
      <c r="E56">
        <f t="shared" si="1"/>
        <v>3.9449469000000015E-2</v>
      </c>
      <c r="F56">
        <f t="shared" si="2"/>
        <v>1.5562606043819621E-3</v>
      </c>
      <c r="I56">
        <v>1.934551763</v>
      </c>
    </row>
    <row r="57" spans="1:9" x14ac:dyDescent="0.45">
      <c r="A57" t="s">
        <v>47</v>
      </c>
      <c r="B57">
        <v>1.8624376</v>
      </c>
      <c r="C57">
        <v>1.884993014</v>
      </c>
      <c r="D57">
        <f t="shared" si="0"/>
        <v>2.255541399999994E-2</v>
      </c>
      <c r="E57">
        <f t="shared" si="1"/>
        <v>2.255541399999994E-2</v>
      </c>
      <c r="F57">
        <f t="shared" si="2"/>
        <v>5.0874670071139334E-4</v>
      </c>
      <c r="I57">
        <v>1.8624376</v>
      </c>
    </row>
    <row r="58" spans="1:9" x14ac:dyDescent="0.45">
      <c r="A58" t="s">
        <v>48</v>
      </c>
      <c r="B58">
        <v>1.856414381</v>
      </c>
      <c r="C58">
        <v>1.885144293</v>
      </c>
      <c r="D58">
        <f t="shared" si="0"/>
        <v>2.8729911999999969E-2</v>
      </c>
      <c r="E58">
        <f t="shared" si="1"/>
        <v>2.8729911999999969E-2</v>
      </c>
      <c r="F58">
        <f t="shared" si="2"/>
        <v>8.2540784352774224E-4</v>
      </c>
      <c r="I58">
        <v>1.856414381</v>
      </c>
    </row>
    <row r="59" spans="1:9" x14ac:dyDescent="0.45">
      <c r="A59" t="s">
        <v>49</v>
      </c>
      <c r="B59">
        <v>1.9121718539999999</v>
      </c>
      <c r="C59">
        <v>1.901137053</v>
      </c>
      <c r="D59">
        <f t="shared" si="0"/>
        <v>-1.1034800999999872E-2</v>
      </c>
      <c r="E59">
        <f t="shared" si="1"/>
        <v>1.1034800999999872E-2</v>
      </c>
      <c r="F59">
        <f t="shared" si="2"/>
        <v>1.2176683310959818E-4</v>
      </c>
      <c r="I59">
        <v>1.9121718539999999</v>
      </c>
    </row>
    <row r="60" spans="1:9" x14ac:dyDescent="0.45">
      <c r="A60" t="s">
        <v>50</v>
      </c>
      <c r="B60">
        <v>1.915609396</v>
      </c>
      <c r="C60">
        <v>1.9068203889999999</v>
      </c>
      <c r="D60">
        <f t="shared" si="0"/>
        <v>-8.7890070000000708E-3</v>
      </c>
      <c r="E60">
        <f t="shared" si="1"/>
        <v>8.7890070000000708E-3</v>
      </c>
      <c r="F60">
        <f t="shared" si="2"/>
        <v>7.7246644046050241E-5</v>
      </c>
      <c r="I60">
        <v>1.915609396</v>
      </c>
    </row>
    <row r="61" spans="1:9" x14ac:dyDescent="0.45">
      <c r="A61" t="s">
        <v>51</v>
      </c>
      <c r="B61">
        <v>1.878382647</v>
      </c>
      <c r="C61">
        <v>1.88904969</v>
      </c>
      <c r="D61">
        <f t="shared" si="0"/>
        <v>1.0667042999999987E-2</v>
      </c>
      <c r="E61">
        <f t="shared" si="1"/>
        <v>1.0667042999999987E-2</v>
      </c>
      <c r="F61">
        <f t="shared" si="2"/>
        <v>1.1378580636384872E-4</v>
      </c>
      <c r="I61">
        <v>1.878382647</v>
      </c>
    </row>
    <row r="62" spans="1:9" x14ac:dyDescent="0.45">
      <c r="A62" t="s">
        <v>52</v>
      </c>
      <c r="B62">
        <v>1.8802089420000001</v>
      </c>
      <c r="C62">
        <v>1.8940123900000001</v>
      </c>
      <c r="D62">
        <f t="shared" si="0"/>
        <v>1.3803447999999996E-2</v>
      </c>
      <c r="E62">
        <f t="shared" si="1"/>
        <v>1.3803447999999996E-2</v>
      </c>
      <c r="F62">
        <f t="shared" si="2"/>
        <v>1.905351766887039E-4</v>
      </c>
      <c r="I62">
        <v>1.8802089420000001</v>
      </c>
    </row>
    <row r="63" spans="1:9" x14ac:dyDescent="0.45">
      <c r="A63" t="s">
        <v>53</v>
      </c>
      <c r="B63">
        <v>1.8747448579999999</v>
      </c>
      <c r="C63">
        <v>1.880813729</v>
      </c>
      <c r="D63">
        <f t="shared" ref="D63:D126" si="3">(C63-B63)</f>
        <v>6.0688710000000867E-3</v>
      </c>
      <c r="E63">
        <f t="shared" ref="E63:E126" si="4">ABS(D63)</f>
        <v>6.0688710000000867E-3</v>
      </c>
      <c r="F63">
        <f t="shared" ref="F63:F126" si="5">E63^2</f>
        <v>3.6831195214642052E-5</v>
      </c>
      <c r="I63">
        <v>1.8747448579999999</v>
      </c>
    </row>
    <row r="64" spans="1:9" x14ac:dyDescent="0.45">
      <c r="A64" t="s">
        <v>129</v>
      </c>
      <c r="B64">
        <v>1.8689331</v>
      </c>
      <c r="C64">
        <v>1.8950012650000001</v>
      </c>
      <c r="D64">
        <f t="shared" si="3"/>
        <v>2.6068165000000088E-2</v>
      </c>
      <c r="E64">
        <f t="shared" si="4"/>
        <v>2.6068165000000088E-2</v>
      </c>
      <c r="F64">
        <f t="shared" si="5"/>
        <v>6.7954922646722951E-4</v>
      </c>
      <c r="I64">
        <v>1.8689331</v>
      </c>
    </row>
    <row r="65" spans="1:9" x14ac:dyDescent="0.45">
      <c r="A65" t="s">
        <v>130</v>
      </c>
      <c r="B65">
        <v>1.877543862</v>
      </c>
      <c r="C65">
        <v>1.8890364639999999</v>
      </c>
      <c r="D65">
        <f t="shared" si="3"/>
        <v>1.1492601999999907E-2</v>
      </c>
      <c r="E65">
        <f t="shared" si="4"/>
        <v>1.1492601999999907E-2</v>
      </c>
      <c r="F65">
        <f t="shared" si="5"/>
        <v>1.3207990073040187E-4</v>
      </c>
      <c r="I65">
        <v>1.877543862</v>
      </c>
    </row>
    <row r="66" spans="1:9" x14ac:dyDescent="0.45">
      <c r="A66" t="s">
        <v>54</v>
      </c>
      <c r="B66">
        <v>1.90263429</v>
      </c>
      <c r="C66">
        <v>1.9163515069999999</v>
      </c>
      <c r="D66">
        <f t="shared" si="3"/>
        <v>1.3717216999999948E-2</v>
      </c>
      <c r="E66">
        <f t="shared" si="4"/>
        <v>1.3717216999999948E-2</v>
      </c>
      <c r="F66">
        <f t="shared" si="5"/>
        <v>1.8816204222508757E-4</v>
      </c>
      <c r="I66">
        <v>1.90263429</v>
      </c>
    </row>
    <row r="67" spans="1:9" x14ac:dyDescent="0.45">
      <c r="A67" t="s">
        <v>55</v>
      </c>
      <c r="B67">
        <v>1.8950428429999999</v>
      </c>
      <c r="C67">
        <v>1.9015533600000001</v>
      </c>
      <c r="D67">
        <f t="shared" si="3"/>
        <v>6.51051700000016E-3</v>
      </c>
      <c r="E67">
        <f t="shared" si="4"/>
        <v>6.51051700000016E-3</v>
      </c>
      <c r="F67">
        <f t="shared" si="5"/>
        <v>4.2386831607291083E-5</v>
      </c>
      <c r="I67">
        <v>1.8950428429999999</v>
      </c>
    </row>
    <row r="68" spans="1:9" x14ac:dyDescent="0.45">
      <c r="A68" t="s">
        <v>56</v>
      </c>
      <c r="B68">
        <v>1.906589632</v>
      </c>
      <c r="C68">
        <v>1.9084858220000001</v>
      </c>
      <c r="D68">
        <f t="shared" si="3"/>
        <v>1.8961900000000753E-3</v>
      </c>
      <c r="E68">
        <f t="shared" si="4"/>
        <v>1.8961900000000753E-3</v>
      </c>
      <c r="F68">
        <f t="shared" si="5"/>
        <v>3.5955365161002858E-6</v>
      </c>
      <c r="I68">
        <v>1.906589632</v>
      </c>
    </row>
    <row r="69" spans="1:9" x14ac:dyDescent="0.45">
      <c r="A69" t="s">
        <v>57</v>
      </c>
      <c r="B69">
        <v>1.889549275</v>
      </c>
      <c r="C69">
        <v>1.90825106</v>
      </c>
      <c r="D69">
        <f t="shared" si="3"/>
        <v>1.8701784999999971E-2</v>
      </c>
      <c r="E69">
        <f t="shared" si="4"/>
        <v>1.8701784999999971E-2</v>
      </c>
      <c r="F69">
        <f t="shared" si="5"/>
        <v>3.4975676218622391E-4</v>
      </c>
      <c r="I69">
        <v>1.889549275</v>
      </c>
    </row>
    <row r="70" spans="1:9" x14ac:dyDescent="0.45">
      <c r="A70" t="s">
        <v>58</v>
      </c>
      <c r="B70">
        <v>1.854335906</v>
      </c>
      <c r="C70">
        <v>1.8845992229999999</v>
      </c>
      <c r="D70">
        <f t="shared" si="3"/>
        <v>3.0263316999999956E-2</v>
      </c>
      <c r="E70">
        <f t="shared" si="4"/>
        <v>3.0263316999999956E-2</v>
      </c>
      <c r="F70">
        <f t="shared" si="5"/>
        <v>9.1586835584248636E-4</v>
      </c>
      <c r="I70">
        <v>1.854335906</v>
      </c>
    </row>
    <row r="71" spans="1:9" x14ac:dyDescent="0.45">
      <c r="A71" t="s">
        <v>131</v>
      </c>
      <c r="B71">
        <v>1.871715311</v>
      </c>
      <c r="C71">
        <v>1.8824119850000001</v>
      </c>
      <c r="D71">
        <f t="shared" si="3"/>
        <v>1.0696674000000073E-2</v>
      </c>
      <c r="E71">
        <f t="shared" si="4"/>
        <v>1.0696674000000073E-2</v>
      </c>
      <c r="F71">
        <f t="shared" si="5"/>
        <v>1.1441883466227755E-4</v>
      </c>
      <c r="I71">
        <v>1.871715311</v>
      </c>
    </row>
    <row r="72" spans="1:9" x14ac:dyDescent="0.45">
      <c r="A72" t="s">
        <v>132</v>
      </c>
      <c r="B72">
        <v>1.8797384239999999</v>
      </c>
      <c r="C72">
        <v>1.8905568749999999</v>
      </c>
      <c r="D72">
        <f t="shared" si="3"/>
        <v>1.0818451000000007E-2</v>
      </c>
      <c r="E72">
        <f t="shared" si="4"/>
        <v>1.0818451000000007E-2</v>
      </c>
      <c r="F72">
        <f t="shared" si="5"/>
        <v>1.1703888203940114E-4</v>
      </c>
      <c r="I72">
        <v>1.8797384239999999</v>
      </c>
    </row>
    <row r="73" spans="1:9" x14ac:dyDescent="0.45">
      <c r="A73" t="s">
        <v>133</v>
      </c>
      <c r="B73">
        <v>1.8588065250000001</v>
      </c>
      <c r="C73">
        <v>1.899506082</v>
      </c>
      <c r="D73">
        <f t="shared" si="3"/>
        <v>4.0699556999999942E-2</v>
      </c>
      <c r="E73">
        <f t="shared" si="4"/>
        <v>4.0699556999999942E-2</v>
      </c>
      <c r="F73">
        <f t="shared" si="5"/>
        <v>1.6564539399962443E-3</v>
      </c>
      <c r="I73">
        <v>1.8588065250000001</v>
      </c>
    </row>
    <row r="74" spans="1:9" x14ac:dyDescent="0.45">
      <c r="A74" t="s">
        <v>59</v>
      </c>
      <c r="B74">
        <v>1.8787603239999999</v>
      </c>
      <c r="C74">
        <v>1.9223769980000001</v>
      </c>
      <c r="D74">
        <f t="shared" si="3"/>
        <v>4.3616674000000133E-2</v>
      </c>
      <c r="E74">
        <f t="shared" si="4"/>
        <v>4.3616674000000133E-2</v>
      </c>
      <c r="F74">
        <f t="shared" si="5"/>
        <v>1.9024142508222877E-3</v>
      </c>
      <c r="I74">
        <v>1.8787603239999999</v>
      </c>
    </row>
    <row r="75" spans="1:9" x14ac:dyDescent="0.45">
      <c r="A75" t="s">
        <v>60</v>
      </c>
      <c r="B75">
        <v>1.897397174</v>
      </c>
      <c r="C75">
        <v>1.913449129</v>
      </c>
      <c r="D75">
        <f t="shared" si="3"/>
        <v>1.6051955000000007E-2</v>
      </c>
      <c r="E75">
        <f t="shared" si="4"/>
        <v>1.6051955000000007E-2</v>
      </c>
      <c r="F75">
        <f t="shared" si="5"/>
        <v>2.5766525932202519E-4</v>
      </c>
      <c r="I75">
        <v>1.897397174</v>
      </c>
    </row>
    <row r="76" spans="1:9" x14ac:dyDescent="0.45">
      <c r="A76" t="s">
        <v>61</v>
      </c>
      <c r="B76">
        <v>1.8844885</v>
      </c>
      <c r="C76">
        <v>1.909201476</v>
      </c>
      <c r="D76">
        <f t="shared" si="3"/>
        <v>2.4712975999999998E-2</v>
      </c>
      <c r="E76">
        <f t="shared" si="4"/>
        <v>2.4712975999999998E-2</v>
      </c>
      <c r="F76">
        <f t="shared" si="5"/>
        <v>6.1073118277657587E-4</v>
      </c>
      <c r="I76">
        <v>1.8844885</v>
      </c>
    </row>
    <row r="77" spans="1:9" x14ac:dyDescent="0.45">
      <c r="A77" t="s">
        <v>62</v>
      </c>
      <c r="B77">
        <v>1.882184114</v>
      </c>
      <c r="C77">
        <v>1.8999203570000001</v>
      </c>
      <c r="D77">
        <f t="shared" si="3"/>
        <v>1.7736243000000096E-2</v>
      </c>
      <c r="E77">
        <f t="shared" si="4"/>
        <v>1.7736243000000096E-2</v>
      </c>
      <c r="F77">
        <f t="shared" si="5"/>
        <v>3.1457431575505239E-4</v>
      </c>
      <c r="I77">
        <v>1.882184114</v>
      </c>
    </row>
    <row r="78" spans="1:9" x14ac:dyDescent="0.45">
      <c r="A78" t="s">
        <v>63</v>
      </c>
      <c r="B78">
        <v>1.876264403</v>
      </c>
      <c r="C78">
        <v>1.8870673140000001</v>
      </c>
      <c r="D78">
        <f t="shared" si="3"/>
        <v>1.0802911000000082E-2</v>
      </c>
      <c r="E78">
        <f t="shared" si="4"/>
        <v>1.0802911000000082E-2</v>
      </c>
      <c r="F78">
        <f t="shared" si="5"/>
        <v>1.1670288607392277E-4</v>
      </c>
      <c r="I78">
        <v>1.876264403</v>
      </c>
    </row>
    <row r="79" spans="1:9" x14ac:dyDescent="0.45">
      <c r="A79" t="s">
        <v>64</v>
      </c>
      <c r="B79">
        <v>1.8990807270000001</v>
      </c>
      <c r="C79">
        <v>1.909211719</v>
      </c>
      <c r="D79">
        <f t="shared" si="3"/>
        <v>1.0130991999999894E-2</v>
      </c>
      <c r="E79">
        <f t="shared" si="4"/>
        <v>1.0130991999999894E-2</v>
      </c>
      <c r="F79">
        <f t="shared" si="5"/>
        <v>1.0263699890406185E-4</v>
      </c>
      <c r="I79">
        <v>1.8990807270000001</v>
      </c>
    </row>
    <row r="80" spans="1:9" x14ac:dyDescent="0.45">
      <c r="A80" t="s">
        <v>65</v>
      </c>
      <c r="B80">
        <v>1.9116916900000001</v>
      </c>
      <c r="C80">
        <v>1.911208295</v>
      </c>
      <c r="D80">
        <f t="shared" si="3"/>
        <v>-4.8339500000005309E-4</v>
      </c>
      <c r="E80">
        <f t="shared" si="4"/>
        <v>4.8339500000005309E-4</v>
      </c>
      <c r="F80">
        <f t="shared" si="5"/>
        <v>2.3367072602505133E-7</v>
      </c>
      <c r="I80">
        <v>1.9116916900000001</v>
      </c>
    </row>
    <row r="81" spans="1:9" x14ac:dyDescent="0.45">
      <c r="A81" t="s">
        <v>66</v>
      </c>
      <c r="B81">
        <v>1.902012719</v>
      </c>
      <c r="C81">
        <v>1.913143354</v>
      </c>
      <c r="D81">
        <f t="shared" si="3"/>
        <v>1.1130635E-2</v>
      </c>
      <c r="E81">
        <f t="shared" si="4"/>
        <v>1.1130635E-2</v>
      </c>
      <c r="F81">
        <f t="shared" si="5"/>
        <v>1.23891035503225E-4</v>
      </c>
      <c r="I81">
        <v>1.902012719</v>
      </c>
    </row>
    <row r="82" spans="1:9" x14ac:dyDescent="0.45">
      <c r="A82" t="s">
        <v>67</v>
      </c>
      <c r="B82">
        <v>1.879307555</v>
      </c>
      <c r="C82">
        <v>1.9019035820000001</v>
      </c>
      <c r="D82">
        <f t="shared" si="3"/>
        <v>2.2596027000000074E-2</v>
      </c>
      <c r="E82">
        <f t="shared" si="4"/>
        <v>2.2596027000000074E-2</v>
      </c>
      <c r="F82">
        <f t="shared" si="5"/>
        <v>5.1058043618473238E-4</v>
      </c>
      <c r="I82">
        <v>1.879307555</v>
      </c>
    </row>
    <row r="83" spans="1:9" x14ac:dyDescent="0.45">
      <c r="A83" t="s">
        <v>134</v>
      </c>
      <c r="B83">
        <v>1.9122856880000001</v>
      </c>
      <c r="C83">
        <v>1.8989617270000001</v>
      </c>
      <c r="D83">
        <f t="shared" si="3"/>
        <v>-1.3323960999999995E-2</v>
      </c>
      <c r="E83">
        <f t="shared" si="4"/>
        <v>1.3323960999999995E-2</v>
      </c>
      <c r="F83">
        <f t="shared" si="5"/>
        <v>1.7752793672952088E-4</v>
      </c>
      <c r="I83">
        <v>1.9122856880000001</v>
      </c>
    </row>
    <row r="84" spans="1:9" x14ac:dyDescent="0.45">
      <c r="A84" t="s">
        <v>135</v>
      </c>
      <c r="B84">
        <v>1.9445386149999999</v>
      </c>
      <c r="C84">
        <v>1.931918365</v>
      </c>
      <c r="D84">
        <f t="shared" si="3"/>
        <v>-1.2620249999999889E-2</v>
      </c>
      <c r="E84">
        <f t="shared" si="4"/>
        <v>1.2620249999999889E-2</v>
      </c>
      <c r="F84">
        <f t="shared" si="5"/>
        <v>1.5927071006249717E-4</v>
      </c>
      <c r="I84">
        <v>1.9445386149999999</v>
      </c>
    </row>
    <row r="85" spans="1:9" x14ac:dyDescent="0.45">
      <c r="A85" t="s">
        <v>136</v>
      </c>
      <c r="B85">
        <v>1.8804470360000001</v>
      </c>
      <c r="C85">
        <v>1.8986152519999999</v>
      </c>
      <c r="D85">
        <f t="shared" si="3"/>
        <v>1.8168215999999848E-2</v>
      </c>
      <c r="E85">
        <f t="shared" si="4"/>
        <v>1.8168215999999848E-2</v>
      </c>
      <c r="F85">
        <f t="shared" si="5"/>
        <v>3.3008407262265048E-4</v>
      </c>
      <c r="I85">
        <v>1.8804470360000001</v>
      </c>
    </row>
    <row r="86" spans="1:9" x14ac:dyDescent="0.45">
      <c r="A86" t="s">
        <v>137</v>
      </c>
      <c r="B86">
        <v>1.8817018940000001</v>
      </c>
      <c r="C86">
        <v>1.898654149</v>
      </c>
      <c r="D86">
        <f t="shared" si="3"/>
        <v>1.6952254999999861E-2</v>
      </c>
      <c r="E86">
        <f t="shared" si="4"/>
        <v>1.6952254999999861E-2</v>
      </c>
      <c r="F86">
        <f t="shared" si="5"/>
        <v>2.8737894958502029E-4</v>
      </c>
      <c r="I86">
        <v>1.8817018940000001</v>
      </c>
    </row>
    <row r="87" spans="1:9" x14ac:dyDescent="0.45">
      <c r="A87" t="s">
        <v>138</v>
      </c>
      <c r="B87">
        <v>1.896042534</v>
      </c>
      <c r="C87">
        <v>1.9059580389999999</v>
      </c>
      <c r="D87">
        <f t="shared" si="3"/>
        <v>9.9155049999999356E-3</v>
      </c>
      <c r="E87">
        <f t="shared" si="4"/>
        <v>9.9155049999999356E-3</v>
      </c>
      <c r="F87">
        <f t="shared" si="5"/>
        <v>9.8317239405023719E-5</v>
      </c>
      <c r="I87">
        <v>1.896042534</v>
      </c>
    </row>
    <row r="88" spans="1:9" x14ac:dyDescent="0.45">
      <c r="A88" t="s">
        <v>68</v>
      </c>
      <c r="B88">
        <v>1.991142287</v>
      </c>
      <c r="C88">
        <v>1.926827098</v>
      </c>
      <c r="D88">
        <f t="shared" si="3"/>
        <v>-6.4315188999999995E-2</v>
      </c>
      <c r="E88">
        <f t="shared" si="4"/>
        <v>6.4315188999999995E-2</v>
      </c>
      <c r="F88">
        <f t="shared" si="5"/>
        <v>4.1364435361057206E-3</v>
      </c>
      <c r="I88">
        <v>1.991142287</v>
      </c>
    </row>
    <row r="89" spans="1:9" ht="13.9" customHeight="1" x14ac:dyDescent="0.45">
      <c r="A89" t="s">
        <v>69</v>
      </c>
      <c r="B89">
        <v>1.87681806</v>
      </c>
      <c r="C89">
        <v>1.8867317159999999</v>
      </c>
      <c r="D89">
        <f t="shared" si="3"/>
        <v>9.9136559999999374E-3</v>
      </c>
      <c r="E89">
        <f t="shared" si="4"/>
        <v>9.9136559999999374E-3</v>
      </c>
      <c r="F89">
        <f t="shared" si="5"/>
        <v>9.8280575286334765E-5</v>
      </c>
      <c r="I89">
        <v>1.87681806</v>
      </c>
    </row>
    <row r="90" spans="1:9" x14ac:dyDescent="0.45">
      <c r="A90" t="s">
        <v>70</v>
      </c>
      <c r="B90">
        <v>1.987096551</v>
      </c>
      <c r="C90">
        <v>1.8898658989999999</v>
      </c>
      <c r="D90">
        <f t="shared" si="3"/>
        <v>-9.723065200000014E-2</v>
      </c>
      <c r="E90">
        <f t="shared" si="4"/>
        <v>9.723065200000014E-2</v>
      </c>
      <c r="F90">
        <f t="shared" si="5"/>
        <v>9.4537996883451315E-3</v>
      </c>
      <c r="I90">
        <v>1.987096551</v>
      </c>
    </row>
    <row r="91" spans="1:9" x14ac:dyDescent="0.45">
      <c r="A91" t="s">
        <v>71</v>
      </c>
      <c r="B91">
        <v>1.870893667</v>
      </c>
      <c r="C91">
        <v>1.8934032999999999</v>
      </c>
      <c r="D91">
        <f t="shared" si="3"/>
        <v>2.2509632999999862E-2</v>
      </c>
      <c r="E91">
        <f t="shared" si="4"/>
        <v>2.2509632999999862E-2</v>
      </c>
      <c r="F91">
        <f t="shared" si="5"/>
        <v>5.0668357779468283E-4</v>
      </c>
      <c r="I91">
        <v>1.870893667</v>
      </c>
    </row>
    <row r="92" spans="1:9" x14ac:dyDescent="0.45">
      <c r="A92" t="s">
        <v>72</v>
      </c>
      <c r="B92">
        <v>1.8544843209999999</v>
      </c>
      <c r="C92">
        <v>1.888776598</v>
      </c>
      <c r="D92">
        <f t="shared" si="3"/>
        <v>3.4292277000000038E-2</v>
      </c>
      <c r="E92">
        <f t="shared" si="4"/>
        <v>3.4292277000000038E-2</v>
      </c>
      <c r="F92">
        <f t="shared" si="5"/>
        <v>1.1759602618447316E-3</v>
      </c>
      <c r="I92">
        <v>1.8544843209999999</v>
      </c>
    </row>
    <row r="93" spans="1:9" x14ac:dyDescent="0.45">
      <c r="A93" t="s">
        <v>73</v>
      </c>
      <c r="B93">
        <v>1.8668701080000001</v>
      </c>
      <c r="C93">
        <v>1.895131205</v>
      </c>
      <c r="D93">
        <f t="shared" si="3"/>
        <v>2.8261096999999902E-2</v>
      </c>
      <c r="E93">
        <f t="shared" si="4"/>
        <v>2.8261096999999902E-2</v>
      </c>
      <c r="F93">
        <f t="shared" si="5"/>
        <v>7.9868960364340349E-4</v>
      </c>
      <c r="I93">
        <v>1.8668701080000001</v>
      </c>
    </row>
    <row r="94" spans="1:9" x14ac:dyDescent="0.45">
      <c r="A94" t="s">
        <v>74</v>
      </c>
      <c r="B94">
        <v>1.868741102</v>
      </c>
      <c r="C94">
        <v>1.893850646</v>
      </c>
      <c r="D94">
        <f t="shared" si="3"/>
        <v>2.5109543999999984E-2</v>
      </c>
      <c r="E94">
        <f t="shared" si="4"/>
        <v>2.5109543999999984E-2</v>
      </c>
      <c r="F94">
        <f t="shared" si="5"/>
        <v>6.3048919988793522E-4</v>
      </c>
      <c r="I94">
        <v>1.868741102</v>
      </c>
    </row>
    <row r="95" spans="1:9" x14ac:dyDescent="0.45">
      <c r="A95" t="s">
        <v>75</v>
      </c>
      <c r="B95">
        <v>1.8737164209999999</v>
      </c>
      <c r="C95">
        <v>1.896170884</v>
      </c>
      <c r="D95">
        <f t="shared" si="3"/>
        <v>2.2454463000000091E-2</v>
      </c>
      <c r="E95">
        <f t="shared" si="4"/>
        <v>2.2454463000000091E-2</v>
      </c>
      <c r="F95">
        <f t="shared" si="5"/>
        <v>5.0420290861837307E-4</v>
      </c>
      <c r="I95">
        <v>1.8737164209999999</v>
      </c>
    </row>
    <row r="96" spans="1:9" x14ac:dyDescent="0.45">
      <c r="A96" t="s">
        <v>76</v>
      </c>
      <c r="B96">
        <v>1.8737687160000001</v>
      </c>
      <c r="C96">
        <v>1.8984336260000001</v>
      </c>
      <c r="D96">
        <f t="shared" si="3"/>
        <v>2.466491000000004E-2</v>
      </c>
      <c r="E96">
        <f t="shared" si="4"/>
        <v>2.466491000000004E-2</v>
      </c>
      <c r="F96">
        <f t="shared" si="5"/>
        <v>6.0835778530810198E-4</v>
      </c>
      <c r="I96">
        <v>1.8737687160000001</v>
      </c>
    </row>
    <row r="97" spans="1:9" x14ac:dyDescent="0.45">
      <c r="A97" t="s">
        <v>77</v>
      </c>
      <c r="B97">
        <v>1.864309856</v>
      </c>
      <c r="C97">
        <v>1.8975001170000001</v>
      </c>
      <c r="D97">
        <f t="shared" si="3"/>
        <v>3.319026100000011E-2</v>
      </c>
      <c r="E97">
        <f t="shared" si="4"/>
        <v>3.319026100000011E-2</v>
      </c>
      <c r="F97">
        <f t="shared" si="5"/>
        <v>1.1015934252481283E-3</v>
      </c>
      <c r="I97">
        <v>1.864309856</v>
      </c>
    </row>
    <row r="98" spans="1:9" x14ac:dyDescent="0.45">
      <c r="A98" t="s">
        <v>78</v>
      </c>
      <c r="B98">
        <v>1.926041946</v>
      </c>
      <c r="C98">
        <v>1.900100846</v>
      </c>
      <c r="D98">
        <f t="shared" si="3"/>
        <v>-2.594110000000005E-2</v>
      </c>
      <c r="E98">
        <f t="shared" si="4"/>
        <v>2.594110000000005E-2</v>
      </c>
      <c r="F98">
        <f t="shared" si="5"/>
        <v>6.7294066921000264E-4</v>
      </c>
      <c r="I98">
        <v>1.926041946</v>
      </c>
    </row>
    <row r="99" spans="1:9" x14ac:dyDescent="0.45">
      <c r="A99" t="s">
        <v>79</v>
      </c>
      <c r="B99">
        <v>1.9177016659999999</v>
      </c>
      <c r="C99">
        <v>1.89397255</v>
      </c>
      <c r="D99">
        <f t="shared" si="3"/>
        <v>-2.3729115999999939E-2</v>
      </c>
      <c r="E99">
        <f t="shared" si="4"/>
        <v>2.3729115999999939E-2</v>
      </c>
      <c r="F99">
        <f t="shared" si="5"/>
        <v>5.630709461414531E-4</v>
      </c>
      <c r="I99">
        <v>1.9177016659999999</v>
      </c>
    </row>
    <row r="100" spans="1:9" x14ac:dyDescent="0.45">
      <c r="A100" t="s">
        <v>80</v>
      </c>
      <c r="B100">
        <v>1.997796447</v>
      </c>
      <c r="C100">
        <v>1.8763081479999999</v>
      </c>
      <c r="D100">
        <f t="shared" si="3"/>
        <v>-0.12148829900000013</v>
      </c>
      <c r="E100">
        <f t="shared" si="4"/>
        <v>0.12148829900000013</v>
      </c>
      <c r="F100">
        <f t="shared" si="5"/>
        <v>1.4759406793913432E-2</v>
      </c>
      <c r="I100">
        <v>1.997796447</v>
      </c>
    </row>
    <row r="101" spans="1:9" x14ac:dyDescent="0.45">
      <c r="A101" t="s">
        <v>81</v>
      </c>
      <c r="B101">
        <v>1.9266714970000001</v>
      </c>
      <c r="C101">
        <v>1.894087426</v>
      </c>
      <c r="D101">
        <f t="shared" si="3"/>
        <v>-3.2584071000000048E-2</v>
      </c>
      <c r="E101">
        <f t="shared" si="4"/>
        <v>3.2584071000000048E-2</v>
      </c>
      <c r="F101">
        <f t="shared" si="5"/>
        <v>1.0617216829330442E-3</v>
      </c>
      <c r="I101">
        <v>1.9266714970000001</v>
      </c>
    </row>
    <row r="102" spans="1:9" x14ac:dyDescent="0.45">
      <c r="A102" t="s">
        <v>82</v>
      </c>
      <c r="B102">
        <v>1.933805011</v>
      </c>
      <c r="C102">
        <v>1.8885324020000001</v>
      </c>
      <c r="D102">
        <f t="shared" si="3"/>
        <v>-4.5272608999999964E-2</v>
      </c>
      <c r="E102">
        <f t="shared" si="4"/>
        <v>4.5272608999999964E-2</v>
      </c>
      <c r="F102">
        <f t="shared" si="5"/>
        <v>2.0496091256668779E-3</v>
      </c>
      <c r="I102">
        <v>1.933805011</v>
      </c>
    </row>
    <row r="103" spans="1:9" x14ac:dyDescent="0.45">
      <c r="A103" t="s">
        <v>83</v>
      </c>
      <c r="B103">
        <v>1.945486112</v>
      </c>
      <c r="C103">
        <v>1.8849868700000001</v>
      </c>
      <c r="D103">
        <f t="shared" si="3"/>
        <v>-6.0499241999999898E-2</v>
      </c>
      <c r="E103">
        <f t="shared" si="4"/>
        <v>6.0499241999999898E-2</v>
      </c>
      <c r="F103">
        <f t="shared" si="5"/>
        <v>3.6601582825745516E-3</v>
      </c>
      <c r="I103">
        <v>1.945486112</v>
      </c>
    </row>
    <row r="104" spans="1:9" x14ac:dyDescent="0.45">
      <c r="A104" t="s">
        <v>84</v>
      </c>
      <c r="B104">
        <v>1.915404356</v>
      </c>
      <c r="C104">
        <v>1.918839121</v>
      </c>
      <c r="D104">
        <f t="shared" si="3"/>
        <v>3.4347649999999508E-3</v>
      </c>
      <c r="E104">
        <f t="shared" si="4"/>
        <v>3.4347649999999508E-3</v>
      </c>
      <c r="F104">
        <f t="shared" si="5"/>
        <v>1.1797610605224663E-5</v>
      </c>
      <c r="I104">
        <v>1.915404356</v>
      </c>
    </row>
    <row r="105" spans="1:9" x14ac:dyDescent="0.45">
      <c r="A105" t="s">
        <v>139</v>
      </c>
      <c r="B105">
        <v>1.884713297</v>
      </c>
      <c r="C105">
        <v>1.8855770599999999</v>
      </c>
      <c r="D105">
        <f t="shared" si="3"/>
        <v>8.6376299999990636E-4</v>
      </c>
      <c r="E105">
        <f t="shared" si="4"/>
        <v>8.6376299999990636E-4</v>
      </c>
      <c r="F105">
        <f t="shared" si="5"/>
        <v>7.4608652016883819E-7</v>
      </c>
      <c r="I105">
        <v>1.884713297</v>
      </c>
    </row>
    <row r="106" spans="1:9" x14ac:dyDescent="0.45">
      <c r="A106" t="s">
        <v>140</v>
      </c>
      <c r="B106">
        <v>1.8740118889999999</v>
      </c>
      <c r="C106">
        <v>1.8895109960000001</v>
      </c>
      <c r="D106">
        <f t="shared" si="3"/>
        <v>1.5499107000000123E-2</v>
      </c>
      <c r="E106">
        <f t="shared" si="4"/>
        <v>1.5499107000000123E-2</v>
      </c>
      <c r="F106">
        <f t="shared" si="5"/>
        <v>2.402223177974528E-4</v>
      </c>
      <c r="I106">
        <v>1.8740118889999999</v>
      </c>
    </row>
    <row r="107" spans="1:9" x14ac:dyDescent="0.45">
      <c r="A107" t="s">
        <v>85</v>
      </c>
      <c r="B107">
        <v>1.9140265620000001</v>
      </c>
      <c r="C107">
        <v>1.9238111769999999</v>
      </c>
      <c r="D107">
        <f t="shared" si="3"/>
        <v>9.78461499999983E-3</v>
      </c>
      <c r="E107">
        <f t="shared" si="4"/>
        <v>9.78461499999983E-3</v>
      </c>
      <c r="F107">
        <f t="shared" si="5"/>
        <v>9.5738690698221677E-5</v>
      </c>
      <c r="I107">
        <v>1.9140265620000001</v>
      </c>
    </row>
    <row r="108" spans="1:9" x14ac:dyDescent="0.45">
      <c r="A108" t="s">
        <v>86</v>
      </c>
      <c r="B108">
        <v>1.901395787</v>
      </c>
      <c r="C108">
        <v>1.9085285030000001</v>
      </c>
      <c r="D108">
        <f t="shared" si="3"/>
        <v>7.1327160000000944E-3</v>
      </c>
      <c r="E108">
        <f t="shared" si="4"/>
        <v>7.1327160000000944E-3</v>
      </c>
      <c r="F108">
        <f t="shared" si="5"/>
        <v>5.0875637536657347E-5</v>
      </c>
      <c r="I108">
        <v>1.901395787</v>
      </c>
    </row>
    <row r="109" spans="1:9" x14ac:dyDescent="0.45">
      <c r="A109" t="s">
        <v>87</v>
      </c>
      <c r="B109">
        <v>1.9137030559999999</v>
      </c>
      <c r="C109">
        <v>1.905086359</v>
      </c>
      <c r="D109">
        <f t="shared" si="3"/>
        <v>-8.6166969999998955E-3</v>
      </c>
      <c r="E109">
        <f t="shared" si="4"/>
        <v>8.6166969999998955E-3</v>
      </c>
      <c r="F109">
        <f t="shared" si="5"/>
        <v>7.4247467189807195E-5</v>
      </c>
      <c r="I109">
        <v>1.9137030559999999</v>
      </c>
    </row>
    <row r="110" spans="1:9" x14ac:dyDescent="0.45">
      <c r="A110" t="s">
        <v>88</v>
      </c>
      <c r="B110">
        <v>1.874588143</v>
      </c>
      <c r="C110">
        <v>1.894376056</v>
      </c>
      <c r="D110">
        <f t="shared" si="3"/>
        <v>1.9787913000000046E-2</v>
      </c>
      <c r="E110">
        <f t="shared" si="4"/>
        <v>1.9787913000000046E-2</v>
      </c>
      <c r="F110">
        <f t="shared" si="5"/>
        <v>3.915615008955708E-4</v>
      </c>
      <c r="I110">
        <v>1.874588143</v>
      </c>
    </row>
    <row r="111" spans="1:9" x14ac:dyDescent="0.45">
      <c r="A111" t="s">
        <v>89</v>
      </c>
      <c r="B111">
        <v>1.9090627579999999</v>
      </c>
      <c r="C111">
        <v>1.917273293</v>
      </c>
      <c r="D111">
        <f t="shared" si="3"/>
        <v>8.2105350000001298E-3</v>
      </c>
      <c r="E111">
        <f t="shared" si="4"/>
        <v>8.2105350000001298E-3</v>
      </c>
      <c r="F111">
        <f t="shared" si="5"/>
        <v>6.7412884986227134E-5</v>
      </c>
      <c r="I111">
        <v>1.9090627579999999</v>
      </c>
    </row>
    <row r="112" spans="1:9" x14ac:dyDescent="0.45">
      <c r="A112" t="s">
        <v>90</v>
      </c>
      <c r="B112">
        <v>1.9042380940000001</v>
      </c>
      <c r="C112">
        <v>1.8847837160000001</v>
      </c>
      <c r="D112">
        <f t="shared" si="3"/>
        <v>-1.945437800000005E-2</v>
      </c>
      <c r="E112">
        <f t="shared" si="4"/>
        <v>1.945437800000005E-2</v>
      </c>
      <c r="F112">
        <f t="shared" si="5"/>
        <v>3.7847282336688593E-4</v>
      </c>
      <c r="I112">
        <v>1.9042380940000001</v>
      </c>
    </row>
    <row r="113" spans="1:9" x14ac:dyDescent="0.45">
      <c r="A113" t="s">
        <v>91</v>
      </c>
      <c r="B113">
        <v>1.8984833320000001</v>
      </c>
      <c r="C113">
        <v>1.889924706</v>
      </c>
      <c r="D113">
        <f t="shared" si="3"/>
        <v>-8.5586260000001246E-3</v>
      </c>
      <c r="E113">
        <f t="shared" si="4"/>
        <v>8.5586260000001246E-3</v>
      </c>
      <c r="F113">
        <f t="shared" si="5"/>
        <v>7.3250079007878139E-5</v>
      </c>
      <c r="I113">
        <v>1.8984833320000001</v>
      </c>
    </row>
    <row r="114" spans="1:9" x14ac:dyDescent="0.45">
      <c r="A114" t="s">
        <v>92</v>
      </c>
      <c r="B114">
        <v>1.871617608</v>
      </c>
      <c r="C114">
        <v>1.8783348799999999</v>
      </c>
      <c r="D114">
        <f t="shared" si="3"/>
        <v>6.7172719999999408E-3</v>
      </c>
      <c r="E114">
        <f t="shared" si="4"/>
        <v>6.7172719999999408E-3</v>
      </c>
      <c r="F114">
        <f t="shared" si="5"/>
        <v>4.5121743121983203E-5</v>
      </c>
      <c r="I114">
        <v>1.871617608</v>
      </c>
    </row>
    <row r="115" spans="1:9" x14ac:dyDescent="0.45">
      <c r="A115" t="s">
        <v>93</v>
      </c>
      <c r="B115">
        <v>1.8644019810000001</v>
      </c>
      <c r="C115">
        <v>1.8747307900000001</v>
      </c>
      <c r="D115">
        <f t="shared" si="3"/>
        <v>1.0328808999999994E-2</v>
      </c>
      <c r="E115">
        <f t="shared" si="4"/>
        <v>1.0328808999999994E-2</v>
      </c>
      <c r="F115">
        <f t="shared" si="5"/>
        <v>1.0668429535848089E-4</v>
      </c>
      <c r="I115">
        <v>1.8644019810000001</v>
      </c>
    </row>
    <row r="116" spans="1:9" x14ac:dyDescent="0.45">
      <c r="A116" t="s">
        <v>94</v>
      </c>
      <c r="B116">
        <v>1.873337338</v>
      </c>
      <c r="C116">
        <v>1.881372214</v>
      </c>
      <c r="D116">
        <f t="shared" si="3"/>
        <v>8.0348759999999686E-3</v>
      </c>
      <c r="E116">
        <f t="shared" si="4"/>
        <v>8.0348759999999686E-3</v>
      </c>
      <c r="F116">
        <f t="shared" si="5"/>
        <v>6.4559232335375497E-5</v>
      </c>
      <c r="I116">
        <v>1.873337338</v>
      </c>
    </row>
    <row r="117" spans="1:9" x14ac:dyDescent="0.45">
      <c r="A117" t="s">
        <v>95</v>
      </c>
      <c r="B117">
        <v>1.8774387100000001</v>
      </c>
      <c r="C117">
        <v>1.881765613</v>
      </c>
      <c r="D117">
        <f t="shared" si="3"/>
        <v>4.3269029999999375E-3</v>
      </c>
      <c r="E117">
        <f t="shared" si="4"/>
        <v>4.3269029999999375E-3</v>
      </c>
      <c r="F117">
        <f t="shared" si="5"/>
        <v>1.8722089571408458E-5</v>
      </c>
      <c r="I117">
        <v>1.8774387100000001</v>
      </c>
    </row>
    <row r="118" spans="1:9" x14ac:dyDescent="0.45">
      <c r="A118" t="s">
        <v>96</v>
      </c>
      <c r="B118">
        <v>1.877130985</v>
      </c>
      <c r="C118">
        <v>1.8828461000000001</v>
      </c>
      <c r="D118">
        <f t="shared" si="3"/>
        <v>5.7151150000001039E-3</v>
      </c>
      <c r="E118">
        <f t="shared" si="4"/>
        <v>5.7151150000001039E-3</v>
      </c>
      <c r="F118">
        <f t="shared" si="5"/>
        <v>3.2662539463226186E-5</v>
      </c>
      <c r="I118">
        <v>1.877130985</v>
      </c>
    </row>
    <row r="119" spans="1:9" x14ac:dyDescent="0.45">
      <c r="A119" t="s">
        <v>97</v>
      </c>
      <c r="B119">
        <v>1.8992585989999999</v>
      </c>
      <c r="C119">
        <v>1.881669984</v>
      </c>
      <c r="D119">
        <f t="shared" si="3"/>
        <v>-1.7588614999999974E-2</v>
      </c>
      <c r="E119">
        <f t="shared" si="4"/>
        <v>1.7588614999999974E-2</v>
      </c>
      <c r="F119">
        <f t="shared" si="5"/>
        <v>3.0935937761822412E-4</v>
      </c>
      <c r="I119">
        <v>1.8992585989999999</v>
      </c>
    </row>
    <row r="120" spans="1:9" x14ac:dyDescent="0.45">
      <c r="A120" t="s">
        <v>98</v>
      </c>
      <c r="B120">
        <v>1.872200297</v>
      </c>
      <c r="C120">
        <v>1.892011431</v>
      </c>
      <c r="D120">
        <f t="shared" si="3"/>
        <v>1.9811134000000008E-2</v>
      </c>
      <c r="E120">
        <f t="shared" si="4"/>
        <v>1.9811134000000008E-2</v>
      </c>
      <c r="F120">
        <f t="shared" si="5"/>
        <v>3.924810303659563E-4</v>
      </c>
      <c r="I120">
        <v>1.872200297</v>
      </c>
    </row>
    <row r="121" spans="1:9" x14ac:dyDescent="0.45">
      <c r="A121" t="s">
        <v>99</v>
      </c>
      <c r="B121">
        <v>1.8774140429999999</v>
      </c>
      <c r="C121">
        <v>1.8989394770000001</v>
      </c>
      <c r="D121">
        <f t="shared" si="3"/>
        <v>2.1525434000000176E-2</v>
      </c>
      <c r="E121">
        <f t="shared" si="4"/>
        <v>2.1525434000000176E-2</v>
      </c>
      <c r="F121">
        <f t="shared" si="5"/>
        <v>4.6334430888836359E-4</v>
      </c>
      <c r="I121">
        <v>1.8774140429999999</v>
      </c>
    </row>
    <row r="122" spans="1:9" x14ac:dyDescent="0.45">
      <c r="A122" t="s">
        <v>100</v>
      </c>
      <c r="B122">
        <v>1.924568898</v>
      </c>
      <c r="C122">
        <v>1.9054902549999999</v>
      </c>
      <c r="D122">
        <f t="shared" si="3"/>
        <v>-1.9078643000000062E-2</v>
      </c>
      <c r="E122">
        <f t="shared" si="4"/>
        <v>1.9078643000000062E-2</v>
      </c>
      <c r="F122">
        <f t="shared" si="5"/>
        <v>3.6399461872145138E-4</v>
      </c>
      <c r="I122">
        <v>1.924568898</v>
      </c>
    </row>
    <row r="123" spans="1:9" x14ac:dyDescent="0.45">
      <c r="A123" t="s">
        <v>101</v>
      </c>
      <c r="B123">
        <v>1.8953142249999999</v>
      </c>
      <c r="C123">
        <v>1.8937683320000001</v>
      </c>
      <c r="D123">
        <f t="shared" si="3"/>
        <v>-1.5458929999998539E-3</v>
      </c>
      <c r="E123">
        <f t="shared" si="4"/>
        <v>1.5458929999998539E-3</v>
      </c>
      <c r="F123">
        <f t="shared" si="5"/>
        <v>2.389785167448548E-6</v>
      </c>
      <c r="I123">
        <v>1.8953142249999999</v>
      </c>
    </row>
    <row r="124" spans="1:9" x14ac:dyDescent="0.45">
      <c r="A124" t="s">
        <v>102</v>
      </c>
      <c r="B124">
        <v>1.887492304</v>
      </c>
      <c r="C124">
        <v>1.900872742</v>
      </c>
      <c r="D124">
        <f t="shared" si="3"/>
        <v>1.3380437999999995E-2</v>
      </c>
      <c r="E124">
        <f t="shared" si="4"/>
        <v>1.3380437999999995E-2</v>
      </c>
      <c r="F124">
        <f t="shared" si="5"/>
        <v>1.7903612107184386E-4</v>
      </c>
      <c r="I124">
        <v>1.887492304</v>
      </c>
    </row>
    <row r="125" spans="1:9" x14ac:dyDescent="0.45">
      <c r="A125" t="s">
        <v>103</v>
      </c>
      <c r="B125">
        <v>1.9070621889999999</v>
      </c>
      <c r="C125">
        <v>1.899659478</v>
      </c>
      <c r="D125">
        <f t="shared" si="3"/>
        <v>-7.4027109999998952E-3</v>
      </c>
      <c r="E125">
        <f t="shared" si="4"/>
        <v>7.4027109999998952E-3</v>
      </c>
      <c r="F125">
        <f t="shared" si="5"/>
        <v>5.4800130149519448E-5</v>
      </c>
      <c r="I125">
        <v>1.9070621889999999</v>
      </c>
    </row>
    <row r="126" spans="1:9" x14ac:dyDescent="0.45">
      <c r="A126" t="s">
        <v>104</v>
      </c>
      <c r="B126">
        <v>1.8674385330000001</v>
      </c>
      <c r="C126">
        <v>1.888906502</v>
      </c>
      <c r="D126">
        <f t="shared" si="3"/>
        <v>2.146796899999992E-2</v>
      </c>
      <c r="E126">
        <f t="shared" si="4"/>
        <v>2.146796899999992E-2</v>
      </c>
      <c r="F126">
        <f t="shared" si="5"/>
        <v>4.6087369298495755E-4</v>
      </c>
      <c r="I126">
        <v>1.8674385330000001</v>
      </c>
    </row>
    <row r="127" spans="1:9" x14ac:dyDescent="0.45">
      <c r="A127" t="s">
        <v>105</v>
      </c>
      <c r="B127">
        <v>1.882021505</v>
      </c>
      <c r="C127">
        <v>1.8918263820000001</v>
      </c>
      <c r="D127">
        <f t="shared" ref="D127:D136" si="6">(C127-B127)</f>
        <v>9.8048770000001007E-3</v>
      </c>
      <c r="E127">
        <f t="shared" ref="E127:E136" si="7">ABS(D127)</f>
        <v>9.8048770000001007E-3</v>
      </c>
      <c r="F127">
        <f t="shared" ref="F127:F136" si="8">E127^2</f>
        <v>9.6135612985130971E-5</v>
      </c>
      <c r="I127">
        <v>1.882021505</v>
      </c>
    </row>
    <row r="128" spans="1:9" x14ac:dyDescent="0.45">
      <c r="A128" t="s">
        <v>106</v>
      </c>
      <c r="B128">
        <v>1.8936218490000001</v>
      </c>
      <c r="C128">
        <v>1.897496286</v>
      </c>
      <c r="D128">
        <f t="shared" si="6"/>
        <v>3.8744369999998973E-3</v>
      </c>
      <c r="E128">
        <f t="shared" si="7"/>
        <v>3.8744369999998973E-3</v>
      </c>
      <c r="F128">
        <f t="shared" si="8"/>
        <v>1.5011262066968204E-5</v>
      </c>
      <c r="I128">
        <v>1.8936218490000001</v>
      </c>
    </row>
    <row r="129" spans="1:9" x14ac:dyDescent="0.45">
      <c r="A129" t="s">
        <v>141</v>
      </c>
      <c r="B129">
        <v>1.8649885100000001</v>
      </c>
      <c r="C129">
        <v>1.897941281</v>
      </c>
      <c r="D129">
        <f t="shared" si="6"/>
        <v>3.2952770999999936E-2</v>
      </c>
      <c r="E129">
        <f t="shared" si="7"/>
        <v>3.2952770999999936E-2</v>
      </c>
      <c r="F129">
        <f t="shared" si="8"/>
        <v>1.0858851165784368E-3</v>
      </c>
      <c r="I129">
        <v>1.8649885100000001</v>
      </c>
    </row>
    <row r="130" spans="1:9" x14ac:dyDescent="0.45">
      <c r="A130" t="s">
        <v>142</v>
      </c>
      <c r="B130">
        <v>1.8804091439999999</v>
      </c>
      <c r="C130">
        <v>1.8836249519999999</v>
      </c>
      <c r="D130">
        <f t="shared" si="6"/>
        <v>3.2158079999999867E-3</v>
      </c>
      <c r="E130">
        <f t="shared" si="7"/>
        <v>3.2158079999999867E-3</v>
      </c>
      <c r="F130">
        <f t="shared" si="8"/>
        <v>1.0341421092863915E-5</v>
      </c>
      <c r="I130">
        <v>1.8804091439999999</v>
      </c>
    </row>
    <row r="131" spans="1:9" x14ac:dyDescent="0.45">
      <c r="A131" t="s">
        <v>107</v>
      </c>
      <c r="B131">
        <v>1.894216906</v>
      </c>
      <c r="C131">
        <v>1.900410014</v>
      </c>
      <c r="D131">
        <f t="shared" si="6"/>
        <v>6.1931079999999472E-3</v>
      </c>
      <c r="E131">
        <f t="shared" si="7"/>
        <v>6.1931079999999472E-3</v>
      </c>
      <c r="F131">
        <f t="shared" si="8"/>
        <v>3.8354586699663345E-5</v>
      </c>
      <c r="I131">
        <v>1.894216906</v>
      </c>
    </row>
    <row r="132" spans="1:9" x14ac:dyDescent="0.45">
      <c r="A132" t="s">
        <v>108</v>
      </c>
      <c r="B132">
        <v>1.921660492</v>
      </c>
      <c r="C132">
        <v>1.91664444</v>
      </c>
      <c r="D132">
        <f t="shared" si="6"/>
        <v>-5.0160519999999931E-3</v>
      </c>
      <c r="E132">
        <f t="shared" si="7"/>
        <v>5.0160519999999931E-3</v>
      </c>
      <c r="F132">
        <f t="shared" si="8"/>
        <v>2.5160777666703931E-5</v>
      </c>
      <c r="I132">
        <v>1.921660492</v>
      </c>
    </row>
    <row r="133" spans="1:9" x14ac:dyDescent="0.45">
      <c r="A133" t="s">
        <v>109</v>
      </c>
      <c r="B133">
        <v>1.9074033459999999</v>
      </c>
      <c r="C133">
        <v>1.9136834970000001</v>
      </c>
      <c r="D133">
        <f t="shared" si="6"/>
        <v>6.2801510000001226E-3</v>
      </c>
      <c r="E133">
        <f t="shared" si="7"/>
        <v>6.2801510000001226E-3</v>
      </c>
      <c r="F133">
        <f t="shared" si="8"/>
        <v>3.9440296582802542E-5</v>
      </c>
      <c r="I133">
        <v>1.9074033459999999</v>
      </c>
    </row>
    <row r="134" spans="1:9" x14ac:dyDescent="0.45">
      <c r="A134" t="s">
        <v>110</v>
      </c>
      <c r="B134">
        <v>1.900830185</v>
      </c>
      <c r="C134">
        <v>1.910033962</v>
      </c>
      <c r="D134">
        <f t="shared" si="6"/>
        <v>9.2037769999999686E-3</v>
      </c>
      <c r="E134">
        <f t="shared" si="7"/>
        <v>9.2037769999999686E-3</v>
      </c>
      <c r="F134">
        <f t="shared" si="8"/>
        <v>8.4709511065728425E-5</v>
      </c>
      <c r="I134">
        <v>1.900830185</v>
      </c>
    </row>
    <row r="135" spans="1:9" x14ac:dyDescent="0.45">
      <c r="A135" t="s">
        <v>111</v>
      </c>
      <c r="B135">
        <v>1.8548411929999999</v>
      </c>
      <c r="C135">
        <v>1.8808496560000001</v>
      </c>
      <c r="D135">
        <f t="shared" si="6"/>
        <v>2.6008463000000148E-2</v>
      </c>
      <c r="E135">
        <f t="shared" si="7"/>
        <v>2.6008463000000148E-2</v>
      </c>
      <c r="F135">
        <f t="shared" si="8"/>
        <v>6.7644014762237672E-4</v>
      </c>
      <c r="I135">
        <v>1.8548411929999999</v>
      </c>
    </row>
    <row r="136" spans="1:9" x14ac:dyDescent="0.45">
      <c r="A136" t="s">
        <v>112</v>
      </c>
      <c r="B136">
        <v>1.8552580270000001</v>
      </c>
      <c r="C136">
        <v>1.880604776</v>
      </c>
      <c r="D136">
        <f t="shared" si="6"/>
        <v>2.5346748999999891E-2</v>
      </c>
      <c r="E136">
        <f t="shared" si="7"/>
        <v>2.5346748999999891E-2</v>
      </c>
      <c r="F136">
        <f t="shared" si="8"/>
        <v>6.4245768486899542E-4</v>
      </c>
      <c r="I136">
        <v>1.8552580270000001</v>
      </c>
    </row>
    <row r="137" spans="1:9" x14ac:dyDescent="0.45">
      <c r="D137">
        <f>AVERAGE(D2:D136)</f>
        <v>4.3543800296296387E-3</v>
      </c>
      <c r="E137">
        <f>AVERAGE(E2:E136)</f>
        <v>1.933165906666667E-2</v>
      </c>
      <c r="F137">
        <f>SQRT(AVERAGE(F2:F136))</f>
        <v>2.6689932166648587E-2</v>
      </c>
    </row>
    <row r="138" spans="1:9" x14ac:dyDescent="0.45">
      <c r="B138">
        <f>MIN(B2:B136)</f>
        <v>1.852128438</v>
      </c>
      <c r="C138">
        <f>MIN(C2:C136)</f>
        <v>1.8729231180000001</v>
      </c>
    </row>
    <row r="139" spans="1:9" x14ac:dyDescent="0.45">
      <c r="B139">
        <f>MAX(B2:B136)</f>
        <v>2.004081867</v>
      </c>
      <c r="C139">
        <f>MAX(C2:C136)</f>
        <v>1.9339912020000001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0E07-139B-4133-80DB-318F646AE62C}">
  <dimension ref="A1:AU138"/>
  <sheetViews>
    <sheetView workbookViewId="0">
      <selection activeCell="G17" sqref="G17"/>
    </sheetView>
  </sheetViews>
  <sheetFormatPr defaultRowHeight="14.25" x14ac:dyDescent="0.45"/>
  <cols>
    <col min="15" max="15" width="11.46484375" customWidth="1"/>
    <col min="16" max="16" width="11.1328125" customWidth="1"/>
  </cols>
  <sheetData>
    <row r="1" spans="1:47" s="2" customFormat="1" ht="13.9" customHeight="1" x14ac:dyDescent="0.45">
      <c r="A1" s="2" t="s">
        <v>6</v>
      </c>
      <c r="B1" s="2" t="s">
        <v>151</v>
      </c>
      <c r="C1" s="2" t="s">
        <v>150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144</v>
      </c>
    </row>
    <row r="2" spans="1:47" x14ac:dyDescent="0.45">
      <c r="A2" t="s">
        <v>113</v>
      </c>
      <c r="B2">
        <v>1.94193141</v>
      </c>
      <c r="C2">
        <v>2.0130122109999999</v>
      </c>
      <c r="D2">
        <f>(C2-B2)</f>
        <v>7.1080800999999916E-2</v>
      </c>
      <c r="E2">
        <f>ABS(D2)</f>
        <v>7.1080800999999916E-2</v>
      </c>
      <c r="F2">
        <f>E2^2</f>
        <v>5.0524802708015893E-3</v>
      </c>
      <c r="G2">
        <f>CORREL(B2:B135,C2:C135)</f>
        <v>0.49926385674349921</v>
      </c>
      <c r="H2">
        <f>G2^2</f>
        <v>0.24926439865039329</v>
      </c>
      <c r="I2">
        <v>1.94193141</v>
      </c>
    </row>
    <row r="3" spans="1:47" x14ac:dyDescent="0.45">
      <c r="A3" t="s">
        <v>114</v>
      </c>
      <c r="B3">
        <v>1.9334317940000001</v>
      </c>
      <c r="C3">
        <v>2.0328312629999998</v>
      </c>
      <c r="D3">
        <f t="shared" ref="D3:D64" si="0">(C3-B3)</f>
        <v>9.9399468999999741E-2</v>
      </c>
      <c r="E3">
        <f t="shared" ref="E3:E64" si="1">ABS(D3)</f>
        <v>9.9399468999999741E-2</v>
      </c>
      <c r="F3">
        <f t="shared" ref="F3:F64" si="2">E3^2</f>
        <v>9.8802544374819098E-3</v>
      </c>
      <c r="I3">
        <v>1.9334317940000001</v>
      </c>
    </row>
    <row r="4" spans="1:47" x14ac:dyDescent="0.45">
      <c r="A4" t="s">
        <v>115</v>
      </c>
      <c r="B4">
        <v>1.961396879</v>
      </c>
      <c r="C4">
        <v>2.0350195129999999</v>
      </c>
      <c r="D4">
        <f t="shared" si="0"/>
        <v>7.3622633999999909E-2</v>
      </c>
      <c r="E4">
        <f t="shared" si="1"/>
        <v>7.3622633999999909E-2</v>
      </c>
      <c r="F4">
        <f t="shared" si="2"/>
        <v>5.420292237097943E-3</v>
      </c>
      <c r="I4">
        <v>1.961396879</v>
      </c>
    </row>
    <row r="5" spans="1:47" x14ac:dyDescent="0.45">
      <c r="A5" t="s">
        <v>116</v>
      </c>
      <c r="B5">
        <v>2.0283539350000002</v>
      </c>
      <c r="C5">
        <v>2.0569222100000002</v>
      </c>
      <c r="D5">
        <f t="shared" si="0"/>
        <v>2.8568275000000032E-2</v>
      </c>
      <c r="E5">
        <f t="shared" si="1"/>
        <v>2.8568275000000032E-2</v>
      </c>
      <c r="F5">
        <f t="shared" si="2"/>
        <v>8.1614633647562678E-4</v>
      </c>
      <c r="I5">
        <v>2.0283539350000002</v>
      </c>
    </row>
    <row r="6" spans="1:47" x14ac:dyDescent="0.45">
      <c r="A6" t="s">
        <v>117</v>
      </c>
      <c r="B6">
        <v>2.2462032340000002</v>
      </c>
      <c r="C6">
        <v>2.3081083429999998</v>
      </c>
      <c r="D6">
        <f t="shared" si="0"/>
        <v>6.190510899999957E-2</v>
      </c>
      <c r="E6">
        <f t="shared" si="1"/>
        <v>6.190510899999957E-2</v>
      </c>
      <c r="F6">
        <f t="shared" si="2"/>
        <v>3.8322425203018277E-3</v>
      </c>
      <c r="I6">
        <v>2.2462032340000002</v>
      </c>
    </row>
    <row r="7" spans="1:47" x14ac:dyDescent="0.45">
      <c r="A7" t="s">
        <v>118</v>
      </c>
      <c r="B7">
        <v>2.3363253570000002</v>
      </c>
      <c r="C7">
        <v>2.957415599</v>
      </c>
      <c r="D7">
        <f t="shared" si="0"/>
        <v>0.62109024199999974</v>
      </c>
      <c r="E7">
        <f t="shared" si="1"/>
        <v>0.62109024199999974</v>
      </c>
      <c r="F7">
        <f t="shared" si="2"/>
        <v>0.38575308870761826</v>
      </c>
      <c r="I7">
        <v>2.3363253570000002</v>
      </c>
    </row>
    <row r="8" spans="1:47" x14ac:dyDescent="0.45">
      <c r="A8" t="s">
        <v>7</v>
      </c>
      <c r="B8">
        <v>1.9179486649999999</v>
      </c>
      <c r="C8">
        <v>2.0049840369999998</v>
      </c>
      <c r="D8">
        <f t="shared" si="0"/>
        <v>8.7035371999999889E-2</v>
      </c>
      <c r="E8">
        <f t="shared" si="1"/>
        <v>8.7035371999999889E-2</v>
      </c>
      <c r="F8">
        <f t="shared" si="2"/>
        <v>7.5751559791783643E-3</v>
      </c>
      <c r="I8">
        <v>1.9179486649999999</v>
      </c>
    </row>
    <row r="9" spans="1:47" x14ac:dyDescent="0.45">
      <c r="A9" t="s">
        <v>8</v>
      </c>
      <c r="B9">
        <v>1.93685482</v>
      </c>
      <c r="C9">
        <v>2.0572051789999999</v>
      </c>
      <c r="D9">
        <f t="shared" si="0"/>
        <v>0.12035035899999991</v>
      </c>
      <c r="E9">
        <f t="shared" si="1"/>
        <v>0.12035035899999991</v>
      </c>
      <c r="F9">
        <f t="shared" si="2"/>
        <v>1.4484208911428858E-2</v>
      </c>
      <c r="I9">
        <v>1.93685482</v>
      </c>
    </row>
    <row r="10" spans="1:47" x14ac:dyDescent="0.45">
      <c r="A10" t="s">
        <v>9</v>
      </c>
      <c r="B10">
        <v>1.9255561349999999</v>
      </c>
      <c r="C10">
        <v>2.0102674070000002</v>
      </c>
      <c r="D10">
        <f t="shared" si="0"/>
        <v>8.4711272000000282E-2</v>
      </c>
      <c r="E10">
        <f t="shared" si="1"/>
        <v>8.4711272000000282E-2</v>
      </c>
      <c r="F10">
        <f t="shared" si="2"/>
        <v>7.1759996038580319E-3</v>
      </c>
      <c r="I10">
        <v>1.9255561349999999</v>
      </c>
    </row>
    <row r="11" spans="1:47" x14ac:dyDescent="0.45">
      <c r="A11" t="s">
        <v>10</v>
      </c>
      <c r="B11">
        <v>1.9449195189999999</v>
      </c>
      <c r="C11">
        <v>2.0292388799999999</v>
      </c>
      <c r="D11">
        <f t="shared" si="0"/>
        <v>8.4319360999999926E-2</v>
      </c>
      <c r="E11">
        <f t="shared" si="1"/>
        <v>8.4319360999999926E-2</v>
      </c>
      <c r="F11">
        <f t="shared" si="2"/>
        <v>7.1097546394483088E-3</v>
      </c>
      <c r="I11">
        <v>1.9449195189999999</v>
      </c>
    </row>
    <row r="12" spans="1:47" x14ac:dyDescent="0.45">
      <c r="A12" t="s">
        <v>11</v>
      </c>
      <c r="B12">
        <v>1.919309116</v>
      </c>
      <c r="C12">
        <v>1.998530742</v>
      </c>
      <c r="D12">
        <f t="shared" si="0"/>
        <v>7.9221626000000045E-2</v>
      </c>
      <c r="E12">
        <f t="shared" si="1"/>
        <v>7.9221626000000045E-2</v>
      </c>
      <c r="F12">
        <f t="shared" si="2"/>
        <v>6.2760660260838827E-3</v>
      </c>
      <c r="I12">
        <v>1.919309116</v>
      </c>
    </row>
    <row r="13" spans="1:47" x14ac:dyDescent="0.45">
      <c r="A13" t="s">
        <v>12</v>
      </c>
      <c r="B13">
        <v>1.8636008850000001</v>
      </c>
      <c r="C13">
        <v>2.0569366580000001</v>
      </c>
      <c r="D13">
        <f t="shared" si="0"/>
        <v>0.19333577300000004</v>
      </c>
      <c r="E13">
        <f t="shared" si="1"/>
        <v>0.19333577300000004</v>
      </c>
      <c r="F13">
        <f t="shared" si="2"/>
        <v>3.7378721121507544E-2</v>
      </c>
      <c r="I13">
        <v>1.8636008850000001</v>
      </c>
    </row>
    <row r="14" spans="1:47" x14ac:dyDescent="0.45">
      <c r="A14" t="s">
        <v>13</v>
      </c>
      <c r="B14">
        <v>1.9504321950000001</v>
      </c>
      <c r="C14">
        <v>2.0869582740000001</v>
      </c>
      <c r="D14">
        <f t="shared" si="0"/>
        <v>0.13652607900000002</v>
      </c>
      <c r="E14">
        <f t="shared" si="1"/>
        <v>0.13652607900000002</v>
      </c>
      <c r="F14">
        <f t="shared" si="2"/>
        <v>1.8639370247114248E-2</v>
      </c>
      <c r="I14">
        <v>1.9504321950000001</v>
      </c>
    </row>
    <row r="15" spans="1:47" x14ac:dyDescent="0.45">
      <c r="A15" t="s">
        <v>119</v>
      </c>
      <c r="B15">
        <v>1.9851826210000001</v>
      </c>
      <c r="C15">
        <v>2.0551587050000002</v>
      </c>
      <c r="D15">
        <f t="shared" si="0"/>
        <v>6.9976084000000105E-2</v>
      </c>
      <c r="E15">
        <f t="shared" si="1"/>
        <v>6.9976084000000105E-2</v>
      </c>
      <c r="F15">
        <f t="shared" si="2"/>
        <v>4.8966523319750703E-3</v>
      </c>
      <c r="I15">
        <v>1.9851826210000001</v>
      </c>
      <c r="AU15" s="1"/>
    </row>
    <row r="16" spans="1:47" x14ac:dyDescent="0.45">
      <c r="A16" t="s">
        <v>14</v>
      </c>
      <c r="B16">
        <v>1.9273528010000001</v>
      </c>
      <c r="C16">
        <v>2.0142197290000001</v>
      </c>
      <c r="D16">
        <f t="shared" si="0"/>
        <v>8.6866928000000065E-2</v>
      </c>
      <c r="E16">
        <f t="shared" si="1"/>
        <v>8.6866928000000065E-2</v>
      </c>
      <c r="F16">
        <f t="shared" si="2"/>
        <v>7.5458631801571955E-3</v>
      </c>
      <c r="I16">
        <v>1.9273528010000001</v>
      </c>
      <c r="AU16" s="1"/>
    </row>
    <row r="17" spans="1:47" x14ac:dyDescent="0.45">
      <c r="A17" t="s">
        <v>121</v>
      </c>
      <c r="B17">
        <v>1.9505097570000001</v>
      </c>
      <c r="C17">
        <v>2.0342974100000002</v>
      </c>
      <c r="D17">
        <f t="shared" si="0"/>
        <v>8.3787653000000129E-2</v>
      </c>
      <c r="E17">
        <f t="shared" si="1"/>
        <v>8.3787653000000129E-2</v>
      </c>
      <c r="F17">
        <f t="shared" si="2"/>
        <v>7.0203707952484302E-3</v>
      </c>
      <c r="I17">
        <v>1.9505097570000001</v>
      </c>
      <c r="AU17" s="1"/>
    </row>
    <row r="18" spans="1:47" x14ac:dyDescent="0.45">
      <c r="A18" t="s">
        <v>122</v>
      </c>
      <c r="B18">
        <v>2.2451269300000001</v>
      </c>
      <c r="C18">
        <v>2.2809172470000001</v>
      </c>
      <c r="D18">
        <f t="shared" si="0"/>
        <v>3.5790317000000016E-2</v>
      </c>
      <c r="E18">
        <f t="shared" si="1"/>
        <v>3.5790317000000016E-2</v>
      </c>
      <c r="F18">
        <f t="shared" si="2"/>
        <v>1.2809467909604901E-3</v>
      </c>
      <c r="I18">
        <v>2.2451269300000001</v>
      </c>
      <c r="AU18" s="1"/>
    </row>
    <row r="19" spans="1:47" x14ac:dyDescent="0.45">
      <c r="A19" t="s">
        <v>123</v>
      </c>
      <c r="B19">
        <v>1.9393601119999999</v>
      </c>
      <c r="C19">
        <v>2.051424972</v>
      </c>
      <c r="D19">
        <f t="shared" si="0"/>
        <v>0.11206486000000004</v>
      </c>
      <c r="E19">
        <f t="shared" si="1"/>
        <v>0.11206486000000004</v>
      </c>
      <c r="F19">
        <f t="shared" si="2"/>
        <v>1.255853284681961E-2</v>
      </c>
      <c r="I19">
        <v>1.9393601119999999</v>
      </c>
      <c r="AU19" s="1"/>
    </row>
    <row r="20" spans="1:47" x14ac:dyDescent="0.45">
      <c r="A20" t="s">
        <v>124</v>
      </c>
      <c r="B20">
        <v>1.9519152879999999</v>
      </c>
      <c r="C20">
        <v>2.037776171</v>
      </c>
      <c r="D20">
        <f t="shared" si="0"/>
        <v>8.5860883000000054E-2</v>
      </c>
      <c r="E20">
        <f t="shared" si="1"/>
        <v>8.5860883000000054E-2</v>
      </c>
      <c r="F20">
        <f t="shared" si="2"/>
        <v>7.3720912295396988E-3</v>
      </c>
      <c r="I20">
        <v>1.9519152879999999</v>
      </c>
    </row>
    <row r="21" spans="1:47" x14ac:dyDescent="0.45">
      <c r="A21" t="s">
        <v>125</v>
      </c>
      <c r="B21">
        <v>1.967452236</v>
      </c>
      <c r="C21">
        <v>2.0649213949999998</v>
      </c>
      <c r="D21">
        <f t="shared" si="0"/>
        <v>9.7469158999999861E-2</v>
      </c>
      <c r="E21">
        <f t="shared" si="1"/>
        <v>9.7469158999999861E-2</v>
      </c>
      <c r="F21">
        <f t="shared" si="2"/>
        <v>9.5002369561672535E-3</v>
      </c>
      <c r="I21">
        <v>1.967452236</v>
      </c>
    </row>
    <row r="22" spans="1:47" x14ac:dyDescent="0.45">
      <c r="A22" t="s">
        <v>15</v>
      </c>
      <c r="B22">
        <v>1.9595672420000001</v>
      </c>
      <c r="C22">
        <v>2.0578503920000002</v>
      </c>
      <c r="D22">
        <f t="shared" si="0"/>
        <v>9.8283150000000097E-2</v>
      </c>
      <c r="E22">
        <f t="shared" si="1"/>
        <v>9.8283150000000097E-2</v>
      </c>
      <c r="F22">
        <f t="shared" si="2"/>
        <v>9.6595775739225197E-3</v>
      </c>
      <c r="I22">
        <v>1.9595672420000001</v>
      </c>
    </row>
    <row r="23" spans="1:47" x14ac:dyDescent="0.45">
      <c r="A23" t="s">
        <v>16</v>
      </c>
      <c r="B23">
        <v>1.971214617</v>
      </c>
      <c r="C23">
        <v>2.0719115399999999</v>
      </c>
      <c r="D23">
        <f t="shared" si="0"/>
        <v>0.10069692299999988</v>
      </c>
      <c r="E23">
        <f t="shared" si="1"/>
        <v>0.10069692299999988</v>
      </c>
      <c r="F23">
        <f t="shared" si="2"/>
        <v>1.0139870301667905E-2</v>
      </c>
      <c r="I23">
        <v>1.971214617</v>
      </c>
    </row>
    <row r="24" spans="1:47" x14ac:dyDescent="0.45">
      <c r="A24" t="s">
        <v>17</v>
      </c>
      <c r="B24">
        <v>1.9704107230000001</v>
      </c>
      <c r="C24">
        <v>2.0448004800000001</v>
      </c>
      <c r="D24">
        <f t="shared" si="0"/>
        <v>7.4389757000000056E-2</v>
      </c>
      <c r="E24">
        <f t="shared" si="1"/>
        <v>7.4389757000000056E-2</v>
      </c>
      <c r="F24">
        <f t="shared" si="2"/>
        <v>5.5338359465190575E-3</v>
      </c>
      <c r="I24">
        <v>1.9704107230000001</v>
      </c>
    </row>
    <row r="25" spans="1:47" x14ac:dyDescent="0.45">
      <c r="A25" t="s">
        <v>18</v>
      </c>
      <c r="B25">
        <v>2.0153591080000002</v>
      </c>
      <c r="C25">
        <v>2.0444176039999999</v>
      </c>
      <c r="D25">
        <f t="shared" si="0"/>
        <v>2.9058495999999767E-2</v>
      </c>
      <c r="E25">
        <f t="shared" si="1"/>
        <v>2.9058495999999767E-2</v>
      </c>
      <c r="F25">
        <f t="shared" si="2"/>
        <v>8.4439618978200248E-4</v>
      </c>
      <c r="I25">
        <v>2.0153591080000002</v>
      </c>
    </row>
    <row r="26" spans="1:47" x14ac:dyDescent="0.45">
      <c r="A26" t="s">
        <v>19</v>
      </c>
      <c r="B26">
        <v>1.968885368</v>
      </c>
      <c r="C26">
        <v>2.0399986819999998</v>
      </c>
      <c r="D26">
        <f t="shared" si="0"/>
        <v>7.1113313999999761E-2</v>
      </c>
      <c r="E26">
        <f t="shared" si="1"/>
        <v>7.1113313999999761E-2</v>
      </c>
      <c r="F26">
        <f t="shared" si="2"/>
        <v>5.0571034280625623E-3</v>
      </c>
      <c r="I26">
        <v>1.968885368</v>
      </c>
    </row>
    <row r="27" spans="1:47" x14ac:dyDescent="0.45">
      <c r="A27" t="s">
        <v>20</v>
      </c>
      <c r="B27">
        <v>2.0042890020000002</v>
      </c>
      <c r="C27">
        <v>2.1274423649999998</v>
      </c>
      <c r="D27">
        <f t="shared" si="0"/>
        <v>0.12315336299999968</v>
      </c>
      <c r="E27">
        <f t="shared" si="1"/>
        <v>0.12315336299999968</v>
      </c>
      <c r="F27">
        <f t="shared" si="2"/>
        <v>1.5166750818209691E-2</v>
      </c>
      <c r="I27">
        <v>2.0042890020000002</v>
      </c>
    </row>
    <row r="28" spans="1:47" x14ac:dyDescent="0.45">
      <c r="A28" t="s">
        <v>21</v>
      </c>
      <c r="B28">
        <v>2.0007126519999998</v>
      </c>
      <c r="C28">
        <v>2.257902445</v>
      </c>
      <c r="D28">
        <f t="shared" si="0"/>
        <v>0.25718979300000022</v>
      </c>
      <c r="E28">
        <f t="shared" si="1"/>
        <v>0.25718979300000022</v>
      </c>
      <c r="F28">
        <f t="shared" si="2"/>
        <v>6.6146589623382962E-2</v>
      </c>
      <c r="I28">
        <v>2.0007126519999998</v>
      </c>
    </row>
    <row r="29" spans="1:47" x14ac:dyDescent="0.45">
      <c r="A29" t="s">
        <v>22</v>
      </c>
      <c r="B29">
        <v>2.018866907</v>
      </c>
      <c r="C29">
        <v>2.1359744470000002</v>
      </c>
      <c r="D29">
        <f t="shared" si="0"/>
        <v>0.11710754000000012</v>
      </c>
      <c r="E29">
        <f t="shared" si="1"/>
        <v>0.11710754000000012</v>
      </c>
      <c r="F29">
        <f t="shared" si="2"/>
        <v>1.3714175924851628E-2</v>
      </c>
      <c r="I29">
        <v>2.018866907</v>
      </c>
    </row>
    <row r="30" spans="1:47" x14ac:dyDescent="0.45">
      <c r="A30" t="s">
        <v>23</v>
      </c>
      <c r="B30">
        <v>2.0404307949999998</v>
      </c>
      <c r="C30">
        <v>2.1974077009999999</v>
      </c>
      <c r="D30">
        <f t="shared" si="0"/>
        <v>0.15697690600000014</v>
      </c>
      <c r="E30">
        <f t="shared" si="1"/>
        <v>0.15697690600000014</v>
      </c>
      <c r="F30">
        <f t="shared" si="2"/>
        <v>2.4641749017332879E-2</v>
      </c>
      <c r="I30">
        <v>2.0404307949999998</v>
      </c>
    </row>
    <row r="31" spans="1:47" x14ac:dyDescent="0.45">
      <c r="A31" t="s">
        <v>24</v>
      </c>
      <c r="B31">
        <v>2.0547529940000002</v>
      </c>
      <c r="C31">
        <v>2.0720367249999998</v>
      </c>
      <c r="D31">
        <f t="shared" si="0"/>
        <v>1.728373099999958E-2</v>
      </c>
      <c r="E31">
        <f t="shared" si="1"/>
        <v>1.728373099999958E-2</v>
      </c>
      <c r="F31">
        <f t="shared" si="2"/>
        <v>2.9872735728034652E-4</v>
      </c>
      <c r="I31">
        <v>2.0547529940000002</v>
      </c>
    </row>
    <row r="32" spans="1:47" x14ac:dyDescent="0.45">
      <c r="A32" t="s">
        <v>25</v>
      </c>
      <c r="B32">
        <v>1.995191768</v>
      </c>
      <c r="C32">
        <v>1.9652050999999999</v>
      </c>
      <c r="D32">
        <f t="shared" si="0"/>
        <v>-2.998666800000005E-2</v>
      </c>
      <c r="E32">
        <f t="shared" si="1"/>
        <v>2.998666800000005E-2</v>
      </c>
      <c r="F32">
        <f t="shared" si="2"/>
        <v>8.9920025774222693E-4</v>
      </c>
      <c r="I32">
        <v>1.995191768</v>
      </c>
    </row>
    <row r="33" spans="1:9" x14ac:dyDescent="0.45">
      <c r="A33" t="s">
        <v>26</v>
      </c>
      <c r="B33">
        <v>2.0053291550000001</v>
      </c>
      <c r="C33">
        <v>2.307076463</v>
      </c>
      <c r="D33">
        <f t="shared" si="0"/>
        <v>0.30174730799999994</v>
      </c>
      <c r="E33">
        <f t="shared" si="1"/>
        <v>0.30174730799999994</v>
      </c>
      <c r="F33">
        <f t="shared" si="2"/>
        <v>9.1051437885246819E-2</v>
      </c>
      <c r="I33">
        <v>2.0053291550000001</v>
      </c>
    </row>
    <row r="34" spans="1:9" x14ac:dyDescent="0.45">
      <c r="A34" t="s">
        <v>27</v>
      </c>
      <c r="B34">
        <v>1.9929808520000001</v>
      </c>
      <c r="C34">
        <v>2.0681129290000002</v>
      </c>
      <c r="D34">
        <f t="shared" si="0"/>
        <v>7.513207700000013E-2</v>
      </c>
      <c r="E34">
        <f t="shared" si="1"/>
        <v>7.513207700000013E-2</v>
      </c>
      <c r="F34">
        <f t="shared" si="2"/>
        <v>5.6448289943339487E-3</v>
      </c>
      <c r="I34">
        <v>1.9929808520000001</v>
      </c>
    </row>
    <row r="35" spans="1:9" x14ac:dyDescent="0.45">
      <c r="A35" t="s">
        <v>28</v>
      </c>
      <c r="B35">
        <v>2.057638845</v>
      </c>
      <c r="C35">
        <v>2.153998434</v>
      </c>
      <c r="D35">
        <f t="shared" si="0"/>
        <v>9.6359588999999968E-2</v>
      </c>
      <c r="E35">
        <f t="shared" si="1"/>
        <v>9.6359588999999968E-2</v>
      </c>
      <c r="F35">
        <f t="shared" si="2"/>
        <v>9.2851703922489145E-3</v>
      </c>
      <c r="I35">
        <v>2.057638845</v>
      </c>
    </row>
    <row r="36" spans="1:9" x14ac:dyDescent="0.45">
      <c r="A36" t="s">
        <v>29</v>
      </c>
      <c r="B36">
        <v>1.977453779</v>
      </c>
      <c r="C36">
        <v>1.9577133739999999</v>
      </c>
      <c r="D36">
        <f t="shared" si="0"/>
        <v>-1.9740405000000072E-2</v>
      </c>
      <c r="E36">
        <f t="shared" si="1"/>
        <v>1.9740405000000072E-2</v>
      </c>
      <c r="F36">
        <f t="shared" si="2"/>
        <v>3.8968358956402785E-4</v>
      </c>
      <c r="I36">
        <v>1.977453779</v>
      </c>
    </row>
    <row r="37" spans="1:9" x14ac:dyDescent="0.45">
      <c r="A37" t="s">
        <v>30</v>
      </c>
      <c r="B37">
        <v>1.9994467650000001</v>
      </c>
      <c r="C37">
        <v>2.0278438200000002</v>
      </c>
      <c r="D37">
        <f t="shared" si="0"/>
        <v>2.8397055000000115E-2</v>
      </c>
      <c r="E37">
        <f t="shared" si="1"/>
        <v>2.8397055000000115E-2</v>
      </c>
      <c r="F37">
        <f t="shared" si="2"/>
        <v>8.0639273267303158E-4</v>
      </c>
      <c r="I37">
        <v>1.9994467650000001</v>
      </c>
    </row>
    <row r="38" spans="1:9" x14ac:dyDescent="0.45">
      <c r="A38" t="s">
        <v>31</v>
      </c>
      <c r="B38">
        <v>1.933133971</v>
      </c>
      <c r="C38">
        <v>2.0236854289999999</v>
      </c>
      <c r="D38">
        <f t="shared" si="0"/>
        <v>9.0551457999999974E-2</v>
      </c>
      <c r="E38">
        <f t="shared" si="1"/>
        <v>9.0551457999999974E-2</v>
      </c>
      <c r="F38">
        <f t="shared" si="2"/>
        <v>8.1995665459257596E-3</v>
      </c>
      <c r="I38">
        <v>1.933133971</v>
      </c>
    </row>
    <row r="39" spans="1:9" x14ac:dyDescent="0.45">
      <c r="A39" t="s">
        <v>127</v>
      </c>
      <c r="B39">
        <v>1.9638395280000001</v>
      </c>
      <c r="C39">
        <v>2.0161526379999999</v>
      </c>
      <c r="D39">
        <f t="shared" si="0"/>
        <v>5.2313109999999829E-2</v>
      </c>
      <c r="E39">
        <f t="shared" si="1"/>
        <v>5.2313109999999829E-2</v>
      </c>
      <c r="F39">
        <f t="shared" si="2"/>
        <v>2.7366614778720822E-3</v>
      </c>
      <c r="I39">
        <v>1.9638395280000001</v>
      </c>
    </row>
    <row r="40" spans="1:9" x14ac:dyDescent="0.45">
      <c r="A40" t="s">
        <v>128</v>
      </c>
      <c r="B40">
        <v>1.9521965109999999</v>
      </c>
      <c r="C40">
        <v>2.0402641959999999</v>
      </c>
      <c r="D40">
        <f t="shared" si="0"/>
        <v>8.8067684999999951E-2</v>
      </c>
      <c r="E40">
        <f t="shared" si="1"/>
        <v>8.8067684999999951E-2</v>
      </c>
      <c r="F40">
        <f t="shared" si="2"/>
        <v>7.7559171412592163E-3</v>
      </c>
      <c r="I40">
        <v>1.9521965109999999</v>
      </c>
    </row>
    <row r="41" spans="1:9" x14ac:dyDescent="0.45">
      <c r="A41" t="s">
        <v>32</v>
      </c>
      <c r="B41">
        <v>1.9407274720000001</v>
      </c>
      <c r="C41">
        <v>2.0876281030000001</v>
      </c>
      <c r="D41">
        <f t="shared" si="0"/>
        <v>0.14690063100000006</v>
      </c>
      <c r="E41">
        <f t="shared" si="1"/>
        <v>0.14690063100000006</v>
      </c>
      <c r="F41">
        <f t="shared" si="2"/>
        <v>2.1579795388198177E-2</v>
      </c>
      <c r="I41">
        <v>1.9407274720000001</v>
      </c>
    </row>
    <row r="42" spans="1:9" x14ac:dyDescent="0.45">
      <c r="A42" t="s">
        <v>33</v>
      </c>
      <c r="B42">
        <v>1.9296031890000001</v>
      </c>
      <c r="C42">
        <v>2.0386102610000001</v>
      </c>
      <c r="D42">
        <f t="shared" si="0"/>
        <v>0.10900707200000004</v>
      </c>
      <c r="E42">
        <f t="shared" si="1"/>
        <v>0.10900707200000004</v>
      </c>
      <c r="F42">
        <f t="shared" si="2"/>
        <v>1.1882541746013192E-2</v>
      </c>
      <c r="I42">
        <v>1.9296031890000001</v>
      </c>
    </row>
    <row r="43" spans="1:9" x14ac:dyDescent="0.45">
      <c r="A43" t="s">
        <v>34</v>
      </c>
      <c r="B43">
        <v>1.9386612409999999</v>
      </c>
      <c r="C43">
        <v>2.0970326309999998</v>
      </c>
      <c r="D43">
        <f t="shared" si="0"/>
        <v>0.15837138999999989</v>
      </c>
      <c r="E43">
        <f t="shared" si="1"/>
        <v>0.15837138999999989</v>
      </c>
      <c r="F43">
        <f t="shared" si="2"/>
        <v>2.5081497170532065E-2</v>
      </c>
      <c r="I43">
        <v>1.9386612409999999</v>
      </c>
    </row>
    <row r="44" spans="1:9" x14ac:dyDescent="0.45">
      <c r="A44" t="s">
        <v>35</v>
      </c>
      <c r="B44">
        <v>1.950375711</v>
      </c>
      <c r="C44">
        <v>2.0802235100000002</v>
      </c>
      <c r="D44">
        <f t="shared" si="0"/>
        <v>0.12984779900000021</v>
      </c>
      <c r="E44">
        <f t="shared" si="1"/>
        <v>0.12984779900000021</v>
      </c>
      <c r="F44">
        <f t="shared" si="2"/>
        <v>1.6860450905144455E-2</v>
      </c>
      <c r="I44">
        <v>1.950375711</v>
      </c>
    </row>
    <row r="45" spans="1:9" x14ac:dyDescent="0.45">
      <c r="A45" t="s">
        <v>36</v>
      </c>
      <c r="B45">
        <v>1.9715264779999999</v>
      </c>
      <c r="C45">
        <v>2.1903511309999999</v>
      </c>
      <c r="D45">
        <f t="shared" si="0"/>
        <v>0.21882465299999998</v>
      </c>
      <c r="E45">
        <f t="shared" si="1"/>
        <v>0.21882465299999998</v>
      </c>
      <c r="F45">
        <f t="shared" si="2"/>
        <v>4.7884228760570399E-2</v>
      </c>
      <c r="I45">
        <v>1.9715264779999999</v>
      </c>
    </row>
    <row r="46" spans="1:9" x14ac:dyDescent="0.45">
      <c r="A46" t="s">
        <v>37</v>
      </c>
      <c r="B46">
        <v>1.9637670220000001</v>
      </c>
      <c r="C46">
        <v>2.043462731</v>
      </c>
      <c r="D46">
        <f t="shared" si="0"/>
        <v>7.9695708999999892E-2</v>
      </c>
      <c r="E46">
        <f t="shared" si="1"/>
        <v>7.9695708999999892E-2</v>
      </c>
      <c r="F46">
        <f t="shared" si="2"/>
        <v>6.3514060330126642E-3</v>
      </c>
      <c r="I46">
        <v>1.9637670220000001</v>
      </c>
    </row>
    <row r="47" spans="1:9" x14ac:dyDescent="0.45">
      <c r="A47" t="s">
        <v>38</v>
      </c>
      <c r="B47">
        <v>1.981423766</v>
      </c>
      <c r="C47">
        <v>2.0493405779999998</v>
      </c>
      <c r="D47">
        <f t="shared" si="0"/>
        <v>6.7916811999999771E-2</v>
      </c>
      <c r="E47">
        <f t="shared" si="1"/>
        <v>6.7916811999999771E-2</v>
      </c>
      <c r="F47">
        <f t="shared" si="2"/>
        <v>4.6126933522433128E-3</v>
      </c>
      <c r="I47">
        <v>1.981423766</v>
      </c>
    </row>
    <row r="48" spans="1:9" x14ac:dyDescent="0.45">
      <c r="A48" t="s">
        <v>39</v>
      </c>
      <c r="B48">
        <v>1.962405755</v>
      </c>
      <c r="C48">
        <v>2.042853542</v>
      </c>
      <c r="D48">
        <f t="shared" si="0"/>
        <v>8.0447786999999993E-2</v>
      </c>
      <c r="E48">
        <f t="shared" si="1"/>
        <v>8.0447786999999993E-2</v>
      </c>
      <c r="F48">
        <f t="shared" si="2"/>
        <v>6.4718464331973676E-3</v>
      </c>
      <c r="I48">
        <v>1.962405755</v>
      </c>
    </row>
    <row r="49" spans="1:9" x14ac:dyDescent="0.45">
      <c r="A49" t="s">
        <v>40</v>
      </c>
      <c r="B49">
        <v>1.9536287050000001</v>
      </c>
      <c r="C49">
        <v>2.0094013319999999</v>
      </c>
      <c r="D49">
        <f t="shared" si="0"/>
        <v>5.5772626999999853E-2</v>
      </c>
      <c r="E49">
        <f t="shared" si="1"/>
        <v>5.5772626999999853E-2</v>
      </c>
      <c r="F49">
        <f t="shared" si="2"/>
        <v>3.1105859224811127E-3</v>
      </c>
      <c r="I49">
        <v>1.9536287050000001</v>
      </c>
    </row>
    <row r="50" spans="1:9" x14ac:dyDescent="0.45">
      <c r="A50" t="s">
        <v>41</v>
      </c>
      <c r="B50">
        <v>1.969921689</v>
      </c>
      <c r="C50">
        <v>2.0146075899999998</v>
      </c>
      <c r="D50">
        <f t="shared" si="0"/>
        <v>4.4685900999999806E-2</v>
      </c>
      <c r="E50">
        <f t="shared" si="1"/>
        <v>4.4685900999999806E-2</v>
      </c>
      <c r="F50">
        <f t="shared" si="2"/>
        <v>1.9968297481817838E-3</v>
      </c>
      <c r="I50">
        <v>1.969921689</v>
      </c>
    </row>
    <row r="51" spans="1:9" x14ac:dyDescent="0.45">
      <c r="A51" t="s">
        <v>42</v>
      </c>
      <c r="B51">
        <v>1.956218378</v>
      </c>
      <c r="C51">
        <v>2.0324056179999999</v>
      </c>
      <c r="D51">
        <f t="shared" si="0"/>
        <v>7.6187239999999878E-2</v>
      </c>
      <c r="E51">
        <f t="shared" si="1"/>
        <v>7.6187239999999878E-2</v>
      </c>
      <c r="F51">
        <f t="shared" si="2"/>
        <v>5.8044955388175815E-3</v>
      </c>
      <c r="I51">
        <v>1.956218378</v>
      </c>
    </row>
    <row r="52" spans="1:9" x14ac:dyDescent="0.45">
      <c r="A52" t="s">
        <v>43</v>
      </c>
      <c r="B52">
        <v>1.9712411969999999</v>
      </c>
      <c r="C52">
        <v>2.0685249950000002</v>
      </c>
      <c r="D52">
        <f t="shared" si="0"/>
        <v>9.728379800000031E-2</v>
      </c>
      <c r="E52">
        <f t="shared" si="1"/>
        <v>9.728379800000031E-2</v>
      </c>
      <c r="F52">
        <f t="shared" si="2"/>
        <v>9.4641373533048637E-3</v>
      </c>
      <c r="I52">
        <v>1.9712411969999999</v>
      </c>
    </row>
    <row r="53" spans="1:9" x14ac:dyDescent="0.45">
      <c r="A53" t="s">
        <v>44</v>
      </c>
      <c r="B53">
        <v>1.966057765</v>
      </c>
      <c r="C53">
        <v>2.1002080090000002</v>
      </c>
      <c r="D53">
        <f t="shared" si="0"/>
        <v>0.1341502440000002</v>
      </c>
      <c r="E53">
        <f t="shared" si="1"/>
        <v>0.1341502440000002</v>
      </c>
      <c r="F53">
        <f t="shared" si="2"/>
        <v>1.7996287965259587E-2</v>
      </c>
      <c r="I53">
        <v>1.966057765</v>
      </c>
    </row>
    <row r="54" spans="1:9" x14ac:dyDescent="0.45">
      <c r="A54" t="s">
        <v>45</v>
      </c>
      <c r="B54">
        <v>1.9792432740000001</v>
      </c>
      <c r="C54">
        <v>2.0350370209999999</v>
      </c>
      <c r="D54">
        <f t="shared" si="0"/>
        <v>5.5793746999999838E-2</v>
      </c>
      <c r="E54">
        <f t="shared" si="1"/>
        <v>5.5793746999999838E-2</v>
      </c>
      <c r="F54">
        <f t="shared" si="2"/>
        <v>3.112942204299991E-3</v>
      </c>
      <c r="I54">
        <v>1.9792432740000001</v>
      </c>
    </row>
    <row r="55" spans="1:9" x14ac:dyDescent="0.45">
      <c r="A55" t="s">
        <v>46</v>
      </c>
      <c r="B55">
        <v>2.0327878899999998</v>
      </c>
      <c r="C55">
        <v>2.9771296299999999</v>
      </c>
      <c r="D55">
        <f t="shared" si="0"/>
        <v>0.94434174000000004</v>
      </c>
      <c r="E55">
        <f t="shared" si="1"/>
        <v>0.94434174000000004</v>
      </c>
      <c r="F55">
        <f t="shared" si="2"/>
        <v>0.89178132190622772</v>
      </c>
      <c r="I55">
        <v>2.0327878899999998</v>
      </c>
    </row>
    <row r="56" spans="1:9" x14ac:dyDescent="0.45">
      <c r="A56" t="s">
        <v>47</v>
      </c>
      <c r="B56">
        <v>1.9434830400000001</v>
      </c>
      <c r="C56">
        <v>2.0414700809999999</v>
      </c>
      <c r="D56">
        <f t="shared" si="0"/>
        <v>9.7987040999999886E-2</v>
      </c>
      <c r="E56">
        <f t="shared" si="1"/>
        <v>9.7987040999999886E-2</v>
      </c>
      <c r="F56">
        <f t="shared" si="2"/>
        <v>9.6014602039356592E-3</v>
      </c>
      <c r="I56">
        <v>1.9434830400000001</v>
      </c>
    </row>
    <row r="57" spans="1:9" x14ac:dyDescent="0.45">
      <c r="A57" t="s">
        <v>48</v>
      </c>
      <c r="B57">
        <v>1.9553237560000001</v>
      </c>
      <c r="C57">
        <v>2.069167733</v>
      </c>
      <c r="D57">
        <f t="shared" si="0"/>
        <v>0.11384397699999993</v>
      </c>
      <c r="E57">
        <f t="shared" si="1"/>
        <v>0.11384397699999993</v>
      </c>
      <c r="F57">
        <f t="shared" si="2"/>
        <v>1.2960451099176514E-2</v>
      </c>
      <c r="I57">
        <v>1.9553237560000001</v>
      </c>
    </row>
    <row r="58" spans="1:9" x14ac:dyDescent="0.45">
      <c r="A58" t="s">
        <v>49</v>
      </c>
      <c r="B58">
        <v>1.943838213</v>
      </c>
      <c r="C58">
        <v>2.0491554289999998</v>
      </c>
      <c r="D58">
        <f t="shared" si="0"/>
        <v>0.10531721599999977</v>
      </c>
      <c r="E58">
        <f t="shared" si="1"/>
        <v>0.10531721599999977</v>
      </c>
      <c r="F58">
        <f t="shared" si="2"/>
        <v>1.1091715985990607E-2</v>
      </c>
      <c r="I58">
        <v>1.943838213</v>
      </c>
    </row>
    <row r="59" spans="1:9" x14ac:dyDescent="0.45">
      <c r="A59" t="s">
        <v>50</v>
      </c>
      <c r="B59">
        <v>2.041204757</v>
      </c>
      <c r="C59">
        <v>4.067101268</v>
      </c>
      <c r="D59">
        <f t="shared" si="0"/>
        <v>2.025896511</v>
      </c>
      <c r="E59">
        <f t="shared" si="1"/>
        <v>2.025896511</v>
      </c>
      <c r="F59">
        <f t="shared" si="2"/>
        <v>4.1042566732819727</v>
      </c>
      <c r="I59">
        <v>2.041204757</v>
      </c>
    </row>
    <row r="60" spans="1:9" x14ac:dyDescent="0.45">
      <c r="A60" t="s">
        <v>51</v>
      </c>
      <c r="B60">
        <v>1.917569678</v>
      </c>
      <c r="C60">
        <v>2.0176376540000001</v>
      </c>
      <c r="D60">
        <f t="shared" si="0"/>
        <v>0.10006797600000006</v>
      </c>
      <c r="E60">
        <f t="shared" si="1"/>
        <v>0.10006797600000006</v>
      </c>
      <c r="F60">
        <f t="shared" si="2"/>
        <v>1.0013599820736588E-2</v>
      </c>
      <c r="I60">
        <v>1.917569678</v>
      </c>
    </row>
    <row r="61" spans="1:9" x14ac:dyDescent="0.45">
      <c r="A61" t="s">
        <v>52</v>
      </c>
      <c r="B61">
        <v>1.9116268599999999</v>
      </c>
      <c r="C61">
        <v>2.0073012060000002</v>
      </c>
      <c r="D61">
        <f t="shared" si="0"/>
        <v>9.5674346000000243E-2</v>
      </c>
      <c r="E61">
        <f t="shared" si="1"/>
        <v>9.5674346000000243E-2</v>
      </c>
      <c r="F61">
        <f t="shared" si="2"/>
        <v>9.1535804825277622E-3</v>
      </c>
      <c r="I61">
        <v>1.9116268599999999</v>
      </c>
    </row>
    <row r="62" spans="1:9" x14ac:dyDescent="0.45">
      <c r="A62" t="s">
        <v>53</v>
      </c>
      <c r="B62">
        <v>1.953169836</v>
      </c>
      <c r="C62">
        <v>2.0726872649999999</v>
      </c>
      <c r="D62">
        <f t="shared" si="0"/>
        <v>0.11951742899999984</v>
      </c>
      <c r="E62">
        <f t="shared" si="1"/>
        <v>0.11951742899999984</v>
      </c>
      <c r="F62">
        <f t="shared" si="2"/>
        <v>1.4284415834770003E-2</v>
      </c>
      <c r="I62">
        <v>1.953169836</v>
      </c>
    </row>
    <row r="63" spans="1:9" x14ac:dyDescent="0.45">
      <c r="A63" t="s">
        <v>129</v>
      </c>
      <c r="B63">
        <v>1.987506054</v>
      </c>
      <c r="C63">
        <v>2.1009937230000002</v>
      </c>
      <c r="D63">
        <f t="shared" si="0"/>
        <v>0.11348766900000018</v>
      </c>
      <c r="E63">
        <f t="shared" si="1"/>
        <v>0.11348766900000018</v>
      </c>
      <c r="F63">
        <f t="shared" si="2"/>
        <v>1.2879451015053603E-2</v>
      </c>
      <c r="I63">
        <v>1.987506054</v>
      </c>
    </row>
    <row r="64" spans="1:9" x14ac:dyDescent="0.45">
      <c r="A64" t="s">
        <v>130</v>
      </c>
      <c r="B64">
        <v>1.9697358140000001</v>
      </c>
      <c r="C64">
        <v>2.0339785579999998</v>
      </c>
      <c r="D64">
        <f t="shared" si="0"/>
        <v>6.4242743999999741E-2</v>
      </c>
      <c r="E64">
        <f t="shared" si="1"/>
        <v>6.4242743999999741E-2</v>
      </c>
      <c r="F64">
        <f t="shared" si="2"/>
        <v>4.127130156649503E-3</v>
      </c>
      <c r="I64">
        <v>1.9697358140000001</v>
      </c>
    </row>
    <row r="65" spans="1:9" x14ac:dyDescent="0.45">
      <c r="A65" t="s">
        <v>54</v>
      </c>
      <c r="B65">
        <v>1.9321265299999999</v>
      </c>
      <c r="C65">
        <v>2.010448308</v>
      </c>
      <c r="D65">
        <f t="shared" ref="D65:D128" si="3">(C65-B65)</f>
        <v>7.8321778000000064E-2</v>
      </c>
      <c r="E65">
        <f t="shared" ref="E65:E128" si="4">ABS(D65)</f>
        <v>7.8321778000000064E-2</v>
      </c>
      <c r="F65">
        <f t="shared" ref="F65:F128" si="5">E65^2</f>
        <v>6.1343009090812943E-3</v>
      </c>
      <c r="I65">
        <v>1.9321265299999999</v>
      </c>
    </row>
    <row r="66" spans="1:9" x14ac:dyDescent="0.45">
      <c r="A66" t="s">
        <v>55</v>
      </c>
      <c r="B66">
        <v>1.9532617990000001</v>
      </c>
      <c r="C66">
        <v>2.0331033440000001</v>
      </c>
      <c r="D66">
        <f t="shared" si="3"/>
        <v>7.9841545000000069E-2</v>
      </c>
      <c r="E66">
        <f t="shared" si="4"/>
        <v>7.9841545000000069E-2</v>
      </c>
      <c r="F66">
        <f t="shared" si="5"/>
        <v>6.3746723079870357E-3</v>
      </c>
      <c r="I66">
        <v>1.9532617990000001</v>
      </c>
    </row>
    <row r="67" spans="1:9" x14ac:dyDescent="0.45">
      <c r="A67" t="s">
        <v>56</v>
      </c>
      <c r="B67">
        <v>1.970350592</v>
      </c>
      <c r="C67">
        <v>2.0338814520000001</v>
      </c>
      <c r="D67">
        <f t="shared" si="3"/>
        <v>6.3530860000000189E-2</v>
      </c>
      <c r="E67">
        <f t="shared" si="4"/>
        <v>6.3530860000000189E-2</v>
      </c>
      <c r="F67">
        <f t="shared" si="5"/>
        <v>4.0361701723396239E-3</v>
      </c>
      <c r="I67">
        <v>1.970350592</v>
      </c>
    </row>
    <row r="68" spans="1:9" x14ac:dyDescent="0.45">
      <c r="A68" t="s">
        <v>57</v>
      </c>
      <c r="B68">
        <v>1.9611601910000001</v>
      </c>
      <c r="C68">
        <v>2.0380865319999999</v>
      </c>
      <c r="D68">
        <f t="shared" si="3"/>
        <v>7.6926340999999843E-2</v>
      </c>
      <c r="E68">
        <f t="shared" si="4"/>
        <v>7.6926340999999843E-2</v>
      </c>
      <c r="F68">
        <f t="shared" si="5"/>
        <v>5.917661939648257E-3</v>
      </c>
      <c r="I68">
        <v>1.9611601910000001</v>
      </c>
    </row>
    <row r="69" spans="1:9" x14ac:dyDescent="0.45">
      <c r="A69" t="s">
        <v>58</v>
      </c>
      <c r="B69">
        <v>1.952092046</v>
      </c>
      <c r="C69">
        <v>2.0409776260000001</v>
      </c>
      <c r="D69">
        <f t="shared" si="3"/>
        <v>8.8885580000000131E-2</v>
      </c>
      <c r="E69">
        <f t="shared" si="4"/>
        <v>8.8885580000000131E-2</v>
      </c>
      <c r="F69">
        <f t="shared" si="5"/>
        <v>7.9006463319364235E-3</v>
      </c>
      <c r="I69">
        <v>1.952092046</v>
      </c>
    </row>
    <row r="70" spans="1:9" x14ac:dyDescent="0.45">
      <c r="A70" t="s">
        <v>131</v>
      </c>
      <c r="B70">
        <v>1.942149744</v>
      </c>
      <c r="C70">
        <v>2.0087356459999999</v>
      </c>
      <c r="D70">
        <f t="shared" si="3"/>
        <v>6.6585901999999919E-2</v>
      </c>
      <c r="E70">
        <f t="shared" si="4"/>
        <v>6.6585901999999919E-2</v>
      </c>
      <c r="F70">
        <f t="shared" si="5"/>
        <v>4.4336823451535936E-3</v>
      </c>
      <c r="I70">
        <v>1.942149744</v>
      </c>
    </row>
    <row r="71" spans="1:9" x14ac:dyDescent="0.45">
      <c r="A71" t="s">
        <v>132</v>
      </c>
      <c r="B71">
        <v>1.950544633</v>
      </c>
      <c r="C71">
        <v>2.0449919900000002</v>
      </c>
      <c r="D71">
        <f t="shared" si="3"/>
        <v>9.4447357000000176E-2</v>
      </c>
      <c r="E71">
        <f t="shared" si="4"/>
        <v>9.4447357000000176E-2</v>
      </c>
      <c r="F71">
        <f t="shared" si="5"/>
        <v>8.9203032442854817E-3</v>
      </c>
      <c r="I71">
        <v>1.950544633</v>
      </c>
    </row>
    <row r="72" spans="1:9" x14ac:dyDescent="0.45">
      <c r="A72" t="s">
        <v>133</v>
      </c>
      <c r="B72">
        <v>2.2549705769999999</v>
      </c>
      <c r="C72">
        <v>2.3158722790000001</v>
      </c>
      <c r="D72">
        <f t="shared" si="3"/>
        <v>6.0901702000000224E-2</v>
      </c>
      <c r="E72">
        <f t="shared" si="4"/>
        <v>6.0901702000000224E-2</v>
      </c>
      <c r="F72">
        <f t="shared" si="5"/>
        <v>3.7090173064968312E-3</v>
      </c>
      <c r="I72">
        <v>2.2549705769999999</v>
      </c>
    </row>
    <row r="73" spans="1:9" x14ac:dyDescent="0.45">
      <c r="A73" t="s">
        <v>59</v>
      </c>
      <c r="B73">
        <v>2.2767104420000002</v>
      </c>
      <c r="C73">
        <v>2.3400365930000002</v>
      </c>
      <c r="D73">
        <f t="shared" si="3"/>
        <v>6.3326151000000053E-2</v>
      </c>
      <c r="E73">
        <f t="shared" si="4"/>
        <v>6.3326151000000053E-2</v>
      </c>
      <c r="F73">
        <f t="shared" si="5"/>
        <v>4.0102014004748075E-3</v>
      </c>
      <c r="I73">
        <v>2.2767104420000002</v>
      </c>
    </row>
    <row r="74" spans="1:9" x14ac:dyDescent="0.45">
      <c r="A74" t="s">
        <v>60</v>
      </c>
      <c r="B74">
        <v>1.915195196</v>
      </c>
      <c r="C74">
        <v>2.0445901879999999</v>
      </c>
      <c r="D74">
        <f t="shared" si="3"/>
        <v>0.12939499199999993</v>
      </c>
      <c r="E74">
        <f t="shared" si="4"/>
        <v>0.12939499199999993</v>
      </c>
      <c r="F74">
        <f t="shared" si="5"/>
        <v>1.6743063954680046E-2</v>
      </c>
      <c r="I74">
        <v>1.915195196</v>
      </c>
    </row>
    <row r="75" spans="1:9" x14ac:dyDescent="0.45">
      <c r="A75" t="s">
        <v>61</v>
      </c>
      <c r="B75">
        <v>1.931820774</v>
      </c>
      <c r="C75">
        <v>2.0469225459999998</v>
      </c>
      <c r="D75">
        <f t="shared" si="3"/>
        <v>0.11510177199999982</v>
      </c>
      <c r="E75">
        <f t="shared" si="4"/>
        <v>0.11510177199999982</v>
      </c>
      <c r="F75">
        <f t="shared" si="5"/>
        <v>1.3248417917539944E-2</v>
      </c>
      <c r="I75">
        <v>1.931820774</v>
      </c>
    </row>
    <row r="76" spans="1:9" x14ac:dyDescent="0.45">
      <c r="A76" t="s">
        <v>62</v>
      </c>
      <c r="B76">
        <v>1.9296086020000001</v>
      </c>
      <c r="C76">
        <v>2.0493103160000001</v>
      </c>
      <c r="D76">
        <f t="shared" si="3"/>
        <v>0.11970171400000007</v>
      </c>
      <c r="E76">
        <f t="shared" si="4"/>
        <v>0.11970171400000007</v>
      </c>
      <c r="F76">
        <f t="shared" si="5"/>
        <v>1.4328500334537813E-2</v>
      </c>
      <c r="I76">
        <v>1.9296086020000001</v>
      </c>
    </row>
    <row r="77" spans="1:9" x14ac:dyDescent="0.45">
      <c r="A77" t="s">
        <v>63</v>
      </c>
      <c r="B77">
        <v>1.920793422</v>
      </c>
      <c r="C77">
        <v>1.9914226589999999</v>
      </c>
      <c r="D77">
        <f t="shared" si="3"/>
        <v>7.06292369999999E-2</v>
      </c>
      <c r="E77">
        <f t="shared" si="4"/>
        <v>7.06292369999999E-2</v>
      </c>
      <c r="F77">
        <f t="shared" si="5"/>
        <v>4.9884891192021547E-3</v>
      </c>
      <c r="I77">
        <v>1.920793422</v>
      </c>
    </row>
    <row r="78" spans="1:9" x14ac:dyDescent="0.45">
      <c r="A78" t="s">
        <v>64</v>
      </c>
      <c r="B78">
        <v>1.9407771030000001</v>
      </c>
      <c r="C78">
        <v>2.0378499479999999</v>
      </c>
      <c r="D78">
        <f t="shared" si="3"/>
        <v>9.7072844999999797E-2</v>
      </c>
      <c r="E78">
        <f t="shared" si="4"/>
        <v>9.7072844999999797E-2</v>
      </c>
      <c r="F78">
        <f t="shared" si="5"/>
        <v>9.4231372363939858E-3</v>
      </c>
      <c r="I78">
        <v>1.9407771030000001</v>
      </c>
    </row>
    <row r="79" spans="1:9" x14ac:dyDescent="0.45">
      <c r="A79" t="s">
        <v>65</v>
      </c>
      <c r="B79">
        <v>1.9577251920000001</v>
      </c>
      <c r="C79">
        <v>2.023779803</v>
      </c>
      <c r="D79">
        <f t="shared" si="3"/>
        <v>6.6054610999999985E-2</v>
      </c>
      <c r="E79">
        <f t="shared" si="4"/>
        <v>6.6054610999999985E-2</v>
      </c>
      <c r="F79">
        <f t="shared" si="5"/>
        <v>4.3632116343613192E-3</v>
      </c>
      <c r="I79">
        <v>1.9577251920000001</v>
      </c>
    </row>
    <row r="80" spans="1:9" x14ac:dyDescent="0.45">
      <c r="A80" t="s">
        <v>66</v>
      </c>
      <c r="B80">
        <v>1.941555342</v>
      </c>
      <c r="C80">
        <v>2.0576446860000002</v>
      </c>
      <c r="D80">
        <f t="shared" si="3"/>
        <v>0.11608934400000015</v>
      </c>
      <c r="E80">
        <f t="shared" si="4"/>
        <v>0.11608934400000015</v>
      </c>
      <c r="F80">
        <f t="shared" si="5"/>
        <v>1.347673579035037E-2</v>
      </c>
      <c r="I80">
        <v>1.941555342</v>
      </c>
    </row>
    <row r="81" spans="1:9" x14ac:dyDescent="0.45">
      <c r="A81" t="s">
        <v>67</v>
      </c>
      <c r="B81">
        <v>1.9277516189999999</v>
      </c>
      <c r="C81">
        <v>2.014138247</v>
      </c>
      <c r="D81">
        <f t="shared" si="3"/>
        <v>8.6386628000000076E-2</v>
      </c>
      <c r="E81">
        <f t="shared" si="4"/>
        <v>8.6386628000000076E-2</v>
      </c>
      <c r="F81">
        <f t="shared" si="5"/>
        <v>7.462649497210397E-3</v>
      </c>
      <c r="I81">
        <v>1.9277516189999999</v>
      </c>
    </row>
    <row r="82" spans="1:9" x14ac:dyDescent="0.45">
      <c r="A82" t="s">
        <v>134</v>
      </c>
      <c r="B82">
        <v>2.341984193</v>
      </c>
      <c r="C82">
        <v>2.7271861469999998</v>
      </c>
      <c r="D82">
        <f t="shared" si="3"/>
        <v>0.38520195399999979</v>
      </c>
      <c r="E82">
        <f t="shared" si="4"/>
        <v>0.38520195399999979</v>
      </c>
      <c r="F82">
        <f t="shared" si="5"/>
        <v>0.14838054536541795</v>
      </c>
      <c r="I82">
        <v>2.341984193</v>
      </c>
    </row>
    <row r="83" spans="1:9" x14ac:dyDescent="0.45">
      <c r="A83" t="s">
        <v>135</v>
      </c>
      <c r="B83">
        <v>2.2706006090000002</v>
      </c>
      <c r="C83">
        <v>2.2805957299999999</v>
      </c>
      <c r="D83">
        <f t="shared" si="3"/>
        <v>9.9951209999997737E-3</v>
      </c>
      <c r="E83">
        <f t="shared" si="4"/>
        <v>9.9951209999997737E-3</v>
      </c>
      <c r="F83">
        <f t="shared" si="5"/>
        <v>9.990244380463648E-5</v>
      </c>
      <c r="I83">
        <v>2.2706006090000002</v>
      </c>
    </row>
    <row r="84" spans="1:9" x14ac:dyDescent="0.45">
      <c r="A84" t="s">
        <v>136</v>
      </c>
      <c r="B84">
        <v>1.952567977</v>
      </c>
      <c r="C84">
        <v>2.0457726209999998</v>
      </c>
      <c r="D84">
        <f t="shared" si="3"/>
        <v>9.3204643999999837E-2</v>
      </c>
      <c r="E84">
        <f t="shared" si="4"/>
        <v>9.3204643999999837E-2</v>
      </c>
      <c r="F84">
        <f t="shared" si="5"/>
        <v>8.6871056631667061E-3</v>
      </c>
      <c r="I84">
        <v>1.952567977</v>
      </c>
    </row>
    <row r="85" spans="1:9" x14ac:dyDescent="0.45">
      <c r="A85" t="s">
        <v>137</v>
      </c>
      <c r="B85">
        <v>1.969217542</v>
      </c>
      <c r="C85">
        <v>2.0442679749999999</v>
      </c>
      <c r="D85">
        <f t="shared" si="3"/>
        <v>7.5050432999999916E-2</v>
      </c>
      <c r="E85">
        <f t="shared" si="4"/>
        <v>7.5050432999999916E-2</v>
      </c>
      <c r="F85">
        <f t="shared" si="5"/>
        <v>5.6325674934874764E-3</v>
      </c>
      <c r="I85">
        <v>1.969217542</v>
      </c>
    </row>
    <row r="86" spans="1:9" x14ac:dyDescent="0.45">
      <c r="A86" t="s">
        <v>138</v>
      </c>
      <c r="B86">
        <v>1.99162328</v>
      </c>
      <c r="C86">
        <v>2.1288612250000001</v>
      </c>
      <c r="D86">
        <f t="shared" si="3"/>
        <v>0.13723794500000008</v>
      </c>
      <c r="E86">
        <f t="shared" si="4"/>
        <v>0.13723794500000008</v>
      </c>
      <c r="F86">
        <f t="shared" si="5"/>
        <v>1.883425354782305E-2</v>
      </c>
      <c r="I86">
        <v>1.99162328</v>
      </c>
    </row>
    <row r="87" spans="1:9" x14ac:dyDescent="0.45">
      <c r="A87" t="s">
        <v>68</v>
      </c>
      <c r="B87">
        <v>2.0997519329999998</v>
      </c>
      <c r="C87">
        <v>2.101242118</v>
      </c>
      <c r="D87">
        <f t="shared" si="3"/>
        <v>1.4901850000001993E-3</v>
      </c>
      <c r="E87">
        <f t="shared" si="4"/>
        <v>1.4901850000001993E-3</v>
      </c>
      <c r="F87">
        <f t="shared" si="5"/>
        <v>2.2206513342255937E-6</v>
      </c>
      <c r="I87">
        <v>2.0997519329999998</v>
      </c>
    </row>
    <row r="88" spans="1:9" x14ac:dyDescent="0.45">
      <c r="A88" t="s">
        <v>69</v>
      </c>
      <c r="B88">
        <v>1.9640291480000001</v>
      </c>
      <c r="C88">
        <v>2.035614582</v>
      </c>
      <c r="D88">
        <f t="shared" si="3"/>
        <v>7.1585433999999948E-2</v>
      </c>
      <c r="E88">
        <f t="shared" si="4"/>
        <v>7.1585433999999948E-2</v>
      </c>
      <c r="F88">
        <f t="shared" si="5"/>
        <v>5.1244743609683485E-3</v>
      </c>
      <c r="I88">
        <v>1.9640291480000001</v>
      </c>
    </row>
    <row r="89" spans="1:9" x14ac:dyDescent="0.45">
      <c r="A89" t="s">
        <v>70</v>
      </c>
      <c r="B89">
        <v>2.0142199750000001</v>
      </c>
      <c r="C89">
        <v>2.0486372589999999</v>
      </c>
      <c r="D89">
        <f t="shared" si="3"/>
        <v>3.4417283999999881E-2</v>
      </c>
      <c r="E89">
        <f t="shared" si="4"/>
        <v>3.4417283999999881E-2</v>
      </c>
      <c r="F89">
        <f t="shared" si="5"/>
        <v>1.1845494379366479E-3</v>
      </c>
      <c r="I89">
        <v>2.0142199750000001</v>
      </c>
    </row>
    <row r="90" spans="1:9" x14ac:dyDescent="0.45">
      <c r="A90" t="s">
        <v>71</v>
      </c>
      <c r="B90">
        <v>1.9838145599999999</v>
      </c>
      <c r="C90">
        <v>2.0458268149999999</v>
      </c>
      <c r="D90">
        <f t="shared" si="3"/>
        <v>6.2012254999999961E-2</v>
      </c>
      <c r="E90">
        <f t="shared" si="4"/>
        <v>6.2012254999999961E-2</v>
      </c>
      <c r="F90">
        <f t="shared" si="5"/>
        <v>3.8455197701850203E-3</v>
      </c>
      <c r="I90">
        <v>1.9838145599999999</v>
      </c>
    </row>
    <row r="91" spans="1:9" x14ac:dyDescent="0.45">
      <c r="A91" t="s">
        <v>72</v>
      </c>
      <c r="B91">
        <v>1.9696121280000001</v>
      </c>
      <c r="C91">
        <v>2.0657096909999999</v>
      </c>
      <c r="D91">
        <f t="shared" si="3"/>
        <v>9.609756299999983E-2</v>
      </c>
      <c r="E91">
        <f t="shared" si="4"/>
        <v>9.609756299999983E-2</v>
      </c>
      <c r="F91">
        <f t="shared" si="5"/>
        <v>9.2347416145389365E-3</v>
      </c>
      <c r="I91">
        <v>1.9696121280000001</v>
      </c>
    </row>
    <row r="92" spans="1:9" x14ac:dyDescent="0.45">
      <c r="A92" t="s">
        <v>73</v>
      </c>
      <c r="B92">
        <v>1.9920887869999999</v>
      </c>
      <c r="C92">
        <v>2.087486191</v>
      </c>
      <c r="D92">
        <f t="shared" si="3"/>
        <v>9.5397404000000074E-2</v>
      </c>
      <c r="E92">
        <f t="shared" si="4"/>
        <v>9.5397404000000074E-2</v>
      </c>
      <c r="F92">
        <f t="shared" si="5"/>
        <v>9.1006646899392304E-3</v>
      </c>
      <c r="I92">
        <v>1.9920887869999999</v>
      </c>
    </row>
    <row r="93" spans="1:9" x14ac:dyDescent="0.45">
      <c r="A93" t="s">
        <v>74</v>
      </c>
      <c r="B93">
        <v>2.0011323070000002</v>
      </c>
      <c r="C93">
        <v>2.129610639</v>
      </c>
      <c r="D93">
        <f t="shared" si="3"/>
        <v>0.12847833199999981</v>
      </c>
      <c r="E93">
        <f t="shared" si="4"/>
        <v>0.12847833199999981</v>
      </c>
      <c r="F93">
        <f t="shared" si="5"/>
        <v>1.6506681793502176E-2</v>
      </c>
      <c r="I93">
        <v>2.0011323070000002</v>
      </c>
    </row>
    <row r="94" spans="1:9" x14ac:dyDescent="0.45">
      <c r="A94" t="s">
        <v>75</v>
      </c>
      <c r="B94">
        <v>1.9820735970000001</v>
      </c>
      <c r="C94">
        <v>2.072113715</v>
      </c>
      <c r="D94">
        <f t="shared" si="3"/>
        <v>9.0040117999999891E-2</v>
      </c>
      <c r="E94">
        <f t="shared" si="4"/>
        <v>9.0040117999999891E-2</v>
      </c>
      <c r="F94">
        <f t="shared" si="5"/>
        <v>8.1072228494539038E-3</v>
      </c>
      <c r="I94">
        <v>1.9820735970000001</v>
      </c>
    </row>
    <row r="95" spans="1:9" x14ac:dyDescent="0.45">
      <c r="A95" t="s">
        <v>76</v>
      </c>
      <c r="B95">
        <v>1.9923511410000001</v>
      </c>
      <c r="C95">
        <v>2.0546312310000001</v>
      </c>
      <c r="D95">
        <f t="shared" si="3"/>
        <v>6.228009000000001E-2</v>
      </c>
      <c r="E95">
        <f t="shared" si="4"/>
        <v>6.228009000000001E-2</v>
      </c>
      <c r="F95">
        <f t="shared" si="5"/>
        <v>3.8788096104081012E-3</v>
      </c>
      <c r="I95">
        <v>1.9923511410000001</v>
      </c>
    </row>
    <row r="96" spans="1:9" x14ac:dyDescent="0.45">
      <c r="A96" t="s">
        <v>77</v>
      </c>
      <c r="B96">
        <v>2.0019725849999999</v>
      </c>
      <c r="C96">
        <v>2.0966556089999999</v>
      </c>
      <c r="D96">
        <f t="shared" si="3"/>
        <v>9.468302400000006E-2</v>
      </c>
      <c r="E96">
        <f t="shared" si="4"/>
        <v>9.468302400000006E-2</v>
      </c>
      <c r="F96">
        <f t="shared" si="5"/>
        <v>8.9648750337845869E-3</v>
      </c>
      <c r="I96">
        <v>2.0019725849999999</v>
      </c>
    </row>
    <row r="97" spans="1:9" x14ac:dyDescent="0.45">
      <c r="A97" t="s">
        <v>78</v>
      </c>
      <c r="B97">
        <v>2.0632624260000001</v>
      </c>
      <c r="C97">
        <v>2.1137585460000001</v>
      </c>
      <c r="D97">
        <f t="shared" si="3"/>
        <v>5.0496120000000033E-2</v>
      </c>
      <c r="E97">
        <f t="shared" si="4"/>
        <v>5.0496120000000033E-2</v>
      </c>
      <c r="F97">
        <f t="shared" si="5"/>
        <v>2.5498581350544033E-3</v>
      </c>
      <c r="I97">
        <v>2.0632624260000001</v>
      </c>
    </row>
    <row r="98" spans="1:9" x14ac:dyDescent="0.45">
      <c r="A98" t="s">
        <v>79</v>
      </c>
      <c r="B98">
        <v>2.0999845239999999</v>
      </c>
      <c r="C98">
        <v>2.1631454369999998</v>
      </c>
      <c r="D98">
        <f t="shared" si="3"/>
        <v>6.316091299999993E-2</v>
      </c>
      <c r="E98">
        <f t="shared" si="4"/>
        <v>6.316091299999993E-2</v>
      </c>
      <c r="F98">
        <f t="shared" si="5"/>
        <v>3.9893009309935603E-3</v>
      </c>
      <c r="I98">
        <v>2.0999845239999999</v>
      </c>
    </row>
    <row r="99" spans="1:9" x14ac:dyDescent="0.45">
      <c r="A99" t="s">
        <v>80</v>
      </c>
      <c r="B99">
        <v>1.9883569029999999</v>
      </c>
      <c r="C99">
        <v>2.1756196330000002</v>
      </c>
      <c r="D99">
        <f t="shared" si="3"/>
        <v>0.18726273000000027</v>
      </c>
      <c r="E99">
        <f t="shared" si="4"/>
        <v>0.18726273000000027</v>
      </c>
      <c r="F99">
        <f t="shared" si="5"/>
        <v>3.5067330047053001E-2</v>
      </c>
      <c r="I99">
        <v>1.9883569029999999</v>
      </c>
    </row>
    <row r="100" spans="1:9" x14ac:dyDescent="0.45">
      <c r="A100" t="s">
        <v>81</v>
      </c>
      <c r="B100">
        <v>2.0810009749999998</v>
      </c>
      <c r="C100">
        <v>2.1812142030000001</v>
      </c>
      <c r="D100">
        <f t="shared" si="3"/>
        <v>0.10021322800000032</v>
      </c>
      <c r="E100">
        <f t="shared" si="4"/>
        <v>0.10021322800000032</v>
      </c>
      <c r="F100">
        <f t="shared" si="5"/>
        <v>1.0042691066180049E-2</v>
      </c>
      <c r="I100">
        <v>2.0810009749999998</v>
      </c>
    </row>
    <row r="101" spans="1:9" x14ac:dyDescent="0.45">
      <c r="A101" t="s">
        <v>82</v>
      </c>
      <c r="B101">
        <v>2.0865374449999998</v>
      </c>
      <c r="C101">
        <v>3.1241614100000001</v>
      </c>
      <c r="D101">
        <f t="shared" si="3"/>
        <v>1.0376239650000003</v>
      </c>
      <c r="E101">
        <f t="shared" si="4"/>
        <v>1.0376239650000003</v>
      </c>
      <c r="F101">
        <f t="shared" si="5"/>
        <v>1.076663492742322</v>
      </c>
      <c r="I101">
        <v>2.0865374449999998</v>
      </c>
    </row>
    <row r="102" spans="1:9" x14ac:dyDescent="0.45">
      <c r="A102" t="s">
        <v>83</v>
      </c>
      <c r="B102">
        <v>2.1246801899999999</v>
      </c>
      <c r="C102">
        <v>3.9752881250000001</v>
      </c>
      <c r="D102">
        <f t="shared" si="3"/>
        <v>1.8506079350000002</v>
      </c>
      <c r="E102">
        <f t="shared" si="4"/>
        <v>1.8506079350000002</v>
      </c>
      <c r="F102">
        <f t="shared" si="5"/>
        <v>3.4247497290849651</v>
      </c>
      <c r="I102">
        <v>2.1246801899999999</v>
      </c>
    </row>
    <row r="103" spans="1:9" x14ac:dyDescent="0.45">
      <c r="A103" t="s">
        <v>84</v>
      </c>
      <c r="B103">
        <v>1.9581018649999999</v>
      </c>
      <c r="C103">
        <v>2.0715674100000001</v>
      </c>
      <c r="D103">
        <f t="shared" si="3"/>
        <v>0.11346554500000017</v>
      </c>
      <c r="E103">
        <f t="shared" si="4"/>
        <v>0.11346554500000017</v>
      </c>
      <c r="F103">
        <f t="shared" si="5"/>
        <v>1.2874429902147063E-2</v>
      </c>
      <c r="I103">
        <v>1.9581018649999999</v>
      </c>
    </row>
    <row r="104" spans="1:9" x14ac:dyDescent="0.45">
      <c r="A104" t="s">
        <v>139</v>
      </c>
      <c r="B104">
        <v>1.9665734079999999</v>
      </c>
      <c r="C104">
        <v>2.016014159</v>
      </c>
      <c r="D104">
        <f t="shared" si="3"/>
        <v>4.9440751000000116E-2</v>
      </c>
      <c r="E104">
        <f t="shared" si="4"/>
        <v>4.9440751000000116E-2</v>
      </c>
      <c r="F104">
        <f t="shared" si="5"/>
        <v>2.4443878594440126E-3</v>
      </c>
      <c r="I104">
        <v>1.9665734079999999</v>
      </c>
    </row>
    <row r="105" spans="1:9" x14ac:dyDescent="0.45">
      <c r="A105" t="s">
        <v>140</v>
      </c>
      <c r="B105">
        <v>1.932290048</v>
      </c>
      <c r="C105">
        <v>2.0100487299999998</v>
      </c>
      <c r="D105">
        <f t="shared" si="3"/>
        <v>7.7758681999999801E-2</v>
      </c>
      <c r="E105">
        <f t="shared" si="4"/>
        <v>7.7758681999999801E-2</v>
      </c>
      <c r="F105">
        <f t="shared" si="5"/>
        <v>6.0464126263770927E-3</v>
      </c>
      <c r="I105">
        <v>1.932290048</v>
      </c>
    </row>
    <row r="106" spans="1:9" x14ac:dyDescent="0.45">
      <c r="A106" t="s">
        <v>85</v>
      </c>
      <c r="B106">
        <v>1.9327950389999999</v>
      </c>
      <c r="C106">
        <v>2.0486804240000001</v>
      </c>
      <c r="D106">
        <f t="shared" si="3"/>
        <v>0.11588538500000012</v>
      </c>
      <c r="E106">
        <f t="shared" si="4"/>
        <v>0.11588538500000012</v>
      </c>
      <c r="F106">
        <f t="shared" si="5"/>
        <v>1.3429422456598252E-2</v>
      </c>
      <c r="I106">
        <v>1.9327950389999999</v>
      </c>
    </row>
    <row r="107" spans="1:9" x14ac:dyDescent="0.45">
      <c r="A107" t="s">
        <v>86</v>
      </c>
      <c r="B107">
        <v>1.9566282989999999</v>
      </c>
      <c r="C107">
        <v>2.06285249</v>
      </c>
      <c r="D107">
        <f t="shared" si="3"/>
        <v>0.10622419100000013</v>
      </c>
      <c r="E107">
        <f t="shared" si="4"/>
        <v>0.10622419100000013</v>
      </c>
      <c r="F107">
        <f t="shared" si="5"/>
        <v>1.1283578753604509E-2</v>
      </c>
      <c r="I107">
        <v>1.9566282989999999</v>
      </c>
    </row>
    <row r="108" spans="1:9" x14ac:dyDescent="0.45">
      <c r="A108" t="s">
        <v>87</v>
      </c>
      <c r="B108">
        <v>1.9570673869999999</v>
      </c>
      <c r="C108">
        <v>1.9935888399999999</v>
      </c>
      <c r="D108">
        <f t="shared" si="3"/>
        <v>3.6521452999999982E-2</v>
      </c>
      <c r="E108">
        <f t="shared" si="4"/>
        <v>3.6521452999999982E-2</v>
      </c>
      <c r="F108">
        <f t="shared" si="5"/>
        <v>1.3338165292312077E-3</v>
      </c>
      <c r="I108">
        <v>1.9570673869999999</v>
      </c>
    </row>
    <row r="109" spans="1:9" x14ac:dyDescent="0.45">
      <c r="A109" t="s">
        <v>88</v>
      </c>
      <c r="B109">
        <v>1.9231812260000001</v>
      </c>
      <c r="C109">
        <v>2.0265458729999999</v>
      </c>
      <c r="D109">
        <f t="shared" si="3"/>
        <v>0.10336464699999981</v>
      </c>
      <c r="E109">
        <f t="shared" si="4"/>
        <v>0.10336464699999981</v>
      </c>
      <c r="F109">
        <f t="shared" si="5"/>
        <v>1.068425024943457E-2</v>
      </c>
      <c r="I109">
        <v>1.9231812260000001</v>
      </c>
    </row>
    <row r="110" spans="1:9" x14ac:dyDescent="0.45">
      <c r="A110" t="s">
        <v>89</v>
      </c>
      <c r="B110">
        <v>1.951743615</v>
      </c>
      <c r="C110">
        <v>2.1176473470000001</v>
      </c>
      <c r="D110">
        <f t="shared" si="3"/>
        <v>0.16590373200000008</v>
      </c>
      <c r="E110">
        <f t="shared" si="4"/>
        <v>0.16590373200000008</v>
      </c>
      <c r="F110">
        <f t="shared" si="5"/>
        <v>2.7524048291527849E-2</v>
      </c>
      <c r="I110">
        <v>1.951743615</v>
      </c>
    </row>
    <row r="111" spans="1:9" x14ac:dyDescent="0.45">
      <c r="A111" t="s">
        <v>90</v>
      </c>
      <c r="B111">
        <v>1.969183184</v>
      </c>
      <c r="C111">
        <v>1.9980813399999999</v>
      </c>
      <c r="D111">
        <f t="shared" si="3"/>
        <v>2.8898155999999897E-2</v>
      </c>
      <c r="E111">
        <f t="shared" si="4"/>
        <v>2.8898155999999897E-2</v>
      </c>
      <c r="F111">
        <f t="shared" si="5"/>
        <v>8.3510342020033006E-4</v>
      </c>
      <c r="I111">
        <v>1.969183184</v>
      </c>
    </row>
    <row r="112" spans="1:9" x14ac:dyDescent="0.45">
      <c r="A112" t="s">
        <v>91</v>
      </c>
      <c r="B112">
        <v>1.986879923</v>
      </c>
      <c r="C112">
        <v>2.1988237549999998</v>
      </c>
      <c r="D112">
        <f t="shared" si="3"/>
        <v>0.21194383199999978</v>
      </c>
      <c r="E112">
        <f t="shared" si="4"/>
        <v>0.21194383199999978</v>
      </c>
      <c r="F112">
        <f t="shared" si="5"/>
        <v>4.4920187922844128E-2</v>
      </c>
      <c r="I112">
        <v>1.986879923</v>
      </c>
    </row>
    <row r="113" spans="1:9" x14ac:dyDescent="0.45">
      <c r="A113" t="s">
        <v>92</v>
      </c>
      <c r="B113">
        <v>1.959634187</v>
      </c>
      <c r="C113">
        <v>2.0506055750000001</v>
      </c>
      <c r="D113">
        <f t="shared" si="3"/>
        <v>9.0971388000000042E-2</v>
      </c>
      <c r="E113">
        <f t="shared" si="4"/>
        <v>9.0971388000000042E-2</v>
      </c>
      <c r="F113">
        <f t="shared" si="5"/>
        <v>8.2757934346465514E-3</v>
      </c>
      <c r="I113">
        <v>1.959634187</v>
      </c>
    </row>
    <row r="114" spans="1:9" x14ac:dyDescent="0.45">
      <c r="A114" t="s">
        <v>93</v>
      </c>
      <c r="B114">
        <v>1.9764453749999999</v>
      </c>
      <c r="C114">
        <v>2.0107365700000002</v>
      </c>
      <c r="D114">
        <f t="shared" si="3"/>
        <v>3.4291195000000219E-2</v>
      </c>
      <c r="E114">
        <f t="shared" si="4"/>
        <v>3.4291195000000219E-2</v>
      </c>
      <c r="F114">
        <f t="shared" si="5"/>
        <v>1.17588605452804E-3</v>
      </c>
      <c r="I114">
        <v>1.9764453749999999</v>
      </c>
    </row>
    <row r="115" spans="1:9" x14ac:dyDescent="0.45">
      <c r="A115" t="s">
        <v>94</v>
      </c>
      <c r="B115">
        <v>1.9783288560000001</v>
      </c>
      <c r="C115">
        <v>2.0397621610000001</v>
      </c>
      <c r="D115">
        <f t="shared" si="3"/>
        <v>6.1433304999999994E-2</v>
      </c>
      <c r="E115">
        <f t="shared" si="4"/>
        <v>6.1433304999999994E-2</v>
      </c>
      <c r="F115">
        <f t="shared" si="5"/>
        <v>3.7740509632230241E-3</v>
      </c>
      <c r="I115">
        <v>1.9783288560000001</v>
      </c>
    </row>
    <row r="116" spans="1:9" x14ac:dyDescent="0.45">
      <c r="A116" t="s">
        <v>95</v>
      </c>
      <c r="B116">
        <v>1.950879292</v>
      </c>
      <c r="C116">
        <v>2.031096893</v>
      </c>
      <c r="D116">
        <f t="shared" si="3"/>
        <v>8.0217600999999972E-2</v>
      </c>
      <c r="E116">
        <f t="shared" si="4"/>
        <v>8.0217600999999972E-2</v>
      </c>
      <c r="F116">
        <f t="shared" si="5"/>
        <v>6.4348635101951967E-3</v>
      </c>
      <c r="I116">
        <v>1.950879292</v>
      </c>
    </row>
    <row r="117" spans="1:9" x14ac:dyDescent="0.45">
      <c r="A117" t="s">
        <v>96</v>
      </c>
      <c r="B117">
        <v>1.945719306</v>
      </c>
      <c r="C117">
        <v>2.0173221890000002</v>
      </c>
      <c r="D117">
        <f t="shared" si="3"/>
        <v>7.1602883000000173E-2</v>
      </c>
      <c r="E117">
        <f t="shared" si="4"/>
        <v>7.1602883000000173E-2</v>
      </c>
      <c r="F117">
        <f t="shared" si="5"/>
        <v>5.1269728539117135E-3</v>
      </c>
      <c r="I117">
        <v>1.945719306</v>
      </c>
    </row>
    <row r="118" spans="1:9" x14ac:dyDescent="0.45">
      <c r="A118" t="s">
        <v>97</v>
      </c>
      <c r="B118">
        <v>1.966642287</v>
      </c>
      <c r="C118">
        <v>2.0555966149999998</v>
      </c>
      <c r="D118">
        <f t="shared" si="3"/>
        <v>8.8954327999999805E-2</v>
      </c>
      <c r="E118">
        <f t="shared" si="4"/>
        <v>8.8954327999999805E-2</v>
      </c>
      <c r="F118">
        <f t="shared" si="5"/>
        <v>7.9128724699315499E-3</v>
      </c>
      <c r="I118">
        <v>1.966642287</v>
      </c>
    </row>
    <row r="119" spans="1:9" x14ac:dyDescent="0.45">
      <c r="A119" t="s">
        <v>98</v>
      </c>
      <c r="B119">
        <v>1.9711990909999999</v>
      </c>
      <c r="C119">
        <v>2.0233149030000002</v>
      </c>
      <c r="D119">
        <f t="shared" si="3"/>
        <v>5.2115812000000261E-2</v>
      </c>
      <c r="E119">
        <f t="shared" si="4"/>
        <v>5.2115812000000261E-2</v>
      </c>
      <c r="F119">
        <f t="shared" si="5"/>
        <v>2.7160578604193712E-3</v>
      </c>
      <c r="I119">
        <v>1.9711990909999999</v>
      </c>
    </row>
    <row r="120" spans="1:9" x14ac:dyDescent="0.45">
      <c r="A120" t="s">
        <v>99</v>
      </c>
      <c r="B120">
        <v>1.9709076160000001</v>
      </c>
      <c r="C120">
        <v>2.0947361450000002</v>
      </c>
      <c r="D120">
        <f t="shared" si="3"/>
        <v>0.12382852900000008</v>
      </c>
      <c r="E120">
        <f t="shared" si="4"/>
        <v>0.12382852900000008</v>
      </c>
      <c r="F120">
        <f t="shared" si="5"/>
        <v>1.5333504594303859E-2</v>
      </c>
      <c r="I120">
        <v>1.9709076160000001</v>
      </c>
    </row>
    <row r="121" spans="1:9" x14ac:dyDescent="0.45">
      <c r="A121" t="s">
        <v>100</v>
      </c>
      <c r="B121">
        <v>2.0122665369999999</v>
      </c>
      <c r="C121">
        <v>1.9974171940000001</v>
      </c>
      <c r="D121">
        <f t="shared" si="3"/>
        <v>-1.4849342999999848E-2</v>
      </c>
      <c r="E121">
        <f t="shared" si="4"/>
        <v>1.4849342999999848E-2</v>
      </c>
      <c r="F121">
        <f t="shared" si="5"/>
        <v>2.2050298753164448E-4</v>
      </c>
      <c r="I121">
        <v>2.0122665369999999</v>
      </c>
    </row>
    <row r="122" spans="1:9" x14ac:dyDescent="0.45">
      <c r="A122" t="s">
        <v>101</v>
      </c>
      <c r="B122">
        <v>1.933147333</v>
      </c>
      <c r="C122">
        <v>1.9464957060000001</v>
      </c>
      <c r="D122">
        <f t="shared" si="3"/>
        <v>1.3348373000000135E-2</v>
      </c>
      <c r="E122">
        <f t="shared" si="4"/>
        <v>1.3348373000000135E-2</v>
      </c>
      <c r="F122">
        <f t="shared" si="5"/>
        <v>1.7817906174713262E-4</v>
      </c>
      <c r="I122">
        <v>1.933147333</v>
      </c>
    </row>
    <row r="123" spans="1:9" x14ac:dyDescent="0.45">
      <c r="A123" t="s">
        <v>102</v>
      </c>
      <c r="B123">
        <v>1.9872535870000001</v>
      </c>
      <c r="C123">
        <v>2.063825612</v>
      </c>
      <c r="D123">
        <f t="shared" si="3"/>
        <v>7.6572024999999933E-2</v>
      </c>
      <c r="E123">
        <f t="shared" si="4"/>
        <v>7.6572024999999933E-2</v>
      </c>
      <c r="F123">
        <f t="shared" si="5"/>
        <v>5.8632750126006144E-3</v>
      </c>
      <c r="I123">
        <v>1.9872535870000001</v>
      </c>
    </row>
    <row r="124" spans="1:9" x14ac:dyDescent="0.45">
      <c r="A124" t="s">
        <v>103</v>
      </c>
      <c r="B124">
        <v>1.929186496</v>
      </c>
      <c r="C124">
        <v>2.0261296240000002</v>
      </c>
      <c r="D124">
        <f t="shared" si="3"/>
        <v>9.6943128000000156E-2</v>
      </c>
      <c r="E124">
        <f t="shared" si="4"/>
        <v>9.6943128000000156E-2</v>
      </c>
      <c r="F124">
        <f t="shared" si="5"/>
        <v>9.3979700664244149E-3</v>
      </c>
      <c r="I124">
        <v>1.929186496</v>
      </c>
    </row>
    <row r="125" spans="1:9" x14ac:dyDescent="0.45">
      <c r="A125" t="s">
        <v>104</v>
      </c>
      <c r="B125">
        <v>1.9376265779999999</v>
      </c>
      <c r="C125">
        <v>2.0401984670000002</v>
      </c>
      <c r="D125">
        <f t="shared" si="3"/>
        <v>0.10257188900000025</v>
      </c>
      <c r="E125">
        <f t="shared" si="4"/>
        <v>0.10257188900000025</v>
      </c>
      <c r="F125">
        <f t="shared" si="5"/>
        <v>1.0520992413028372E-2</v>
      </c>
      <c r="I125">
        <v>1.9376265779999999</v>
      </c>
    </row>
    <row r="126" spans="1:9" x14ac:dyDescent="0.45">
      <c r="A126" t="s">
        <v>105</v>
      </c>
      <c r="B126">
        <v>1.9536994139999999</v>
      </c>
      <c r="C126">
        <v>2.0830745620000002</v>
      </c>
      <c r="D126">
        <f t="shared" si="3"/>
        <v>0.12937514800000027</v>
      </c>
      <c r="E126">
        <f t="shared" si="4"/>
        <v>0.12937514800000027</v>
      </c>
      <c r="F126">
        <f t="shared" si="5"/>
        <v>1.6737928920021974E-2</v>
      </c>
      <c r="I126">
        <v>1.9536994139999999</v>
      </c>
    </row>
    <row r="127" spans="1:9" x14ac:dyDescent="0.45">
      <c r="A127" t="s">
        <v>106</v>
      </c>
      <c r="B127">
        <v>1.926711853</v>
      </c>
      <c r="C127">
        <v>2.0450319659999998</v>
      </c>
      <c r="D127">
        <f t="shared" si="3"/>
        <v>0.11832011299999978</v>
      </c>
      <c r="E127">
        <f t="shared" si="4"/>
        <v>0.11832011299999978</v>
      </c>
      <c r="F127">
        <f t="shared" si="5"/>
        <v>1.3999649140332717E-2</v>
      </c>
      <c r="I127">
        <v>1.926711853</v>
      </c>
    </row>
    <row r="128" spans="1:9" x14ac:dyDescent="0.45">
      <c r="A128" t="s">
        <v>141</v>
      </c>
      <c r="B128">
        <v>1.983840791</v>
      </c>
      <c r="C128">
        <v>2.1145037590000002</v>
      </c>
      <c r="D128">
        <f t="shared" si="3"/>
        <v>0.13066296800000021</v>
      </c>
      <c r="E128">
        <f t="shared" si="4"/>
        <v>0.13066296800000021</v>
      </c>
      <c r="F128">
        <f t="shared" si="5"/>
        <v>1.7072811206569078E-2</v>
      </c>
      <c r="I128">
        <v>1.983840791</v>
      </c>
    </row>
    <row r="129" spans="1:9" x14ac:dyDescent="0.45">
      <c r="A129" t="s">
        <v>142</v>
      </c>
      <c r="B129">
        <v>1.930361607</v>
      </c>
      <c r="C129">
        <v>2.029438549</v>
      </c>
      <c r="D129">
        <f t="shared" ref="D129:D135" si="6">(C129-B129)</f>
        <v>9.9076941999999946E-2</v>
      </c>
      <c r="E129">
        <f t="shared" ref="E129:E135" si="7">ABS(D129)</f>
        <v>9.9076941999999946E-2</v>
      </c>
      <c r="F129">
        <f t="shared" ref="F129:F135" si="8">E129^2</f>
        <v>9.816240436071353E-3</v>
      </c>
      <c r="I129">
        <v>1.930361607</v>
      </c>
    </row>
    <row r="130" spans="1:9" x14ac:dyDescent="0.45">
      <c r="A130" t="s">
        <v>107</v>
      </c>
      <c r="B130">
        <v>1.9213442060000001</v>
      </c>
      <c r="C130">
        <v>2.010014773</v>
      </c>
      <c r="D130">
        <f t="shared" si="6"/>
        <v>8.8670566999999867E-2</v>
      </c>
      <c r="E130">
        <f t="shared" si="7"/>
        <v>8.8670566999999867E-2</v>
      </c>
      <c r="F130">
        <f t="shared" si="8"/>
        <v>7.862469452101466E-3</v>
      </c>
      <c r="I130">
        <v>1.9213442060000001</v>
      </c>
    </row>
    <row r="131" spans="1:9" x14ac:dyDescent="0.45">
      <c r="A131" t="s">
        <v>108</v>
      </c>
      <c r="B131">
        <v>1.9421854700000001</v>
      </c>
      <c r="C131">
        <v>2.055717027</v>
      </c>
      <c r="D131">
        <f t="shared" si="6"/>
        <v>0.11353155699999995</v>
      </c>
      <c r="E131">
        <f t="shared" si="7"/>
        <v>0.11353155699999995</v>
      </c>
      <c r="F131">
        <f t="shared" si="8"/>
        <v>1.2889414434844237E-2</v>
      </c>
      <c r="I131">
        <v>1.9421854700000001</v>
      </c>
    </row>
    <row r="132" spans="1:9" x14ac:dyDescent="0.45">
      <c r="A132" t="s">
        <v>109</v>
      </c>
      <c r="B132">
        <v>1.9534503480000001</v>
      </c>
      <c r="C132">
        <v>2.0701259909999998</v>
      </c>
      <c r="D132">
        <f t="shared" si="6"/>
        <v>0.11667564299999977</v>
      </c>
      <c r="E132">
        <f t="shared" si="7"/>
        <v>0.11667564299999977</v>
      </c>
      <c r="F132">
        <f t="shared" si="8"/>
        <v>1.3613205669463396E-2</v>
      </c>
      <c r="I132">
        <v>1.9534503480000001</v>
      </c>
    </row>
    <row r="133" spans="1:9" x14ac:dyDescent="0.45">
      <c r="A133" t="s">
        <v>110</v>
      </c>
      <c r="B133">
        <v>1.9335298540000001</v>
      </c>
      <c r="C133">
        <v>2.043247305</v>
      </c>
      <c r="D133">
        <f t="shared" si="6"/>
        <v>0.10971745099999985</v>
      </c>
      <c r="E133">
        <f t="shared" si="7"/>
        <v>0.10971745099999985</v>
      </c>
      <c r="F133">
        <f t="shared" si="8"/>
        <v>1.203791905393737E-2</v>
      </c>
      <c r="I133">
        <v>1.9335298540000001</v>
      </c>
    </row>
    <row r="134" spans="1:9" x14ac:dyDescent="0.45">
      <c r="A134" t="s">
        <v>111</v>
      </c>
      <c r="B134">
        <v>1.950635334</v>
      </c>
      <c r="C134">
        <v>2.0540770300000002</v>
      </c>
      <c r="D134">
        <f t="shared" si="6"/>
        <v>0.10344169600000019</v>
      </c>
      <c r="E134">
        <f t="shared" si="7"/>
        <v>0.10344169600000019</v>
      </c>
      <c r="F134">
        <f t="shared" si="8"/>
        <v>1.0700184471356455E-2</v>
      </c>
      <c r="I134">
        <v>1.950635334</v>
      </c>
    </row>
    <row r="135" spans="1:9" x14ac:dyDescent="0.45">
      <c r="A135" t="s">
        <v>112</v>
      </c>
      <c r="B135">
        <v>1.9548385029999999</v>
      </c>
      <c r="C135">
        <v>2.0420216729999998</v>
      </c>
      <c r="D135">
        <f t="shared" si="6"/>
        <v>8.7183169999999865E-2</v>
      </c>
      <c r="E135">
        <f t="shared" si="7"/>
        <v>8.7183169999999865E-2</v>
      </c>
      <c r="F135">
        <f t="shared" si="8"/>
        <v>7.6009051312488762E-3</v>
      </c>
      <c r="I135">
        <v>1.9548385029999999</v>
      </c>
    </row>
    <row r="136" spans="1:9" x14ac:dyDescent="0.45">
      <c r="D136">
        <f>AVERAGE(D2:D135)</f>
        <v>0.13776221100746278</v>
      </c>
      <c r="E136">
        <f>AVERAGE(E2:E135)</f>
        <v>0.13872603811194034</v>
      </c>
      <c r="F136">
        <f>SQRT(AVERAGE(F2:F135))</f>
        <v>0.2912486542619514</v>
      </c>
    </row>
    <row r="137" spans="1:9" x14ac:dyDescent="0.45">
      <c r="B137">
        <f>MIN(B2:B135)</f>
        <v>1.8636008850000001</v>
      </c>
      <c r="C137">
        <f>MIN(C2:C135)</f>
        <v>1.9464957060000001</v>
      </c>
    </row>
    <row r="138" spans="1:9" x14ac:dyDescent="0.45">
      <c r="B138">
        <f>MAX(B2:B135)</f>
        <v>2.341984193</v>
      </c>
      <c r="C138">
        <f>MAX(C2:C135)</f>
        <v>4.067101268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C45A-9A20-468E-8B46-D344121D7F63}">
  <dimension ref="A1:AU138"/>
  <sheetViews>
    <sheetView workbookViewId="0">
      <selection activeCell="C1" sqref="C1"/>
    </sheetView>
  </sheetViews>
  <sheetFormatPr defaultRowHeight="14.25" x14ac:dyDescent="0.45"/>
  <cols>
    <col min="15" max="15" width="11.46484375" customWidth="1"/>
    <col min="16" max="16" width="11.1328125" customWidth="1"/>
  </cols>
  <sheetData>
    <row r="1" spans="1:47" s="2" customFormat="1" x14ac:dyDescent="0.45">
      <c r="A1" t="s">
        <v>6</v>
      </c>
      <c r="B1" t="s">
        <v>152</v>
      </c>
      <c r="C1" t="s">
        <v>153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47" x14ac:dyDescent="0.45">
      <c r="A2" t="s">
        <v>113</v>
      </c>
      <c r="B2">
        <v>1.9321955900000001</v>
      </c>
      <c r="C2">
        <v>2.0197928630000002</v>
      </c>
      <c r="D2">
        <f>(C2-B2)</f>
        <v>8.7597273000000087E-2</v>
      </c>
      <c r="E2">
        <f>ABS(D2)</f>
        <v>8.7597273000000087E-2</v>
      </c>
      <c r="F2">
        <f>E2^2</f>
        <v>7.6732822370365441E-3</v>
      </c>
      <c r="G2">
        <f>CORREL(B2:B135,C2:C135)</f>
        <v>0.55192871528532761</v>
      </c>
      <c r="H2">
        <f>G2^2</f>
        <v>0.30462530675651223</v>
      </c>
      <c r="I2">
        <v>1.9321955900000001</v>
      </c>
    </row>
    <row r="3" spans="1:47" x14ac:dyDescent="0.45">
      <c r="A3" t="s">
        <v>114</v>
      </c>
      <c r="B3">
        <v>1.9373906999999999</v>
      </c>
      <c r="C3">
        <v>2.0086881280000002</v>
      </c>
      <c r="D3">
        <f t="shared" ref="D3:D65" si="0">(C3-B3)</f>
        <v>7.1297428000000274E-2</v>
      </c>
      <c r="E3">
        <f t="shared" ref="E3:E65" si="1">ABS(D3)</f>
        <v>7.1297428000000274E-2</v>
      </c>
      <c r="F3">
        <f t="shared" ref="F3:F65" si="2">E3^2</f>
        <v>5.0833232394152227E-3</v>
      </c>
      <c r="I3">
        <v>1.9373906999999999</v>
      </c>
    </row>
    <row r="4" spans="1:47" x14ac:dyDescent="0.45">
      <c r="A4" t="s">
        <v>115</v>
      </c>
      <c r="B4">
        <v>1.9717024599999999</v>
      </c>
      <c r="C4">
        <v>2.04654881</v>
      </c>
      <c r="D4">
        <f t="shared" si="0"/>
        <v>7.4846350000000061E-2</v>
      </c>
      <c r="E4">
        <f t="shared" si="1"/>
        <v>7.4846350000000061E-2</v>
      </c>
      <c r="F4">
        <f t="shared" si="2"/>
        <v>5.6019761083225088E-3</v>
      </c>
      <c r="I4">
        <v>1.9717024599999999</v>
      </c>
    </row>
    <row r="5" spans="1:47" x14ac:dyDescent="0.45">
      <c r="A5" t="s">
        <v>116</v>
      </c>
      <c r="B5">
        <v>2.0540723839999999</v>
      </c>
      <c r="C5">
        <v>2.1729570759999999</v>
      </c>
      <c r="D5">
        <f t="shared" si="0"/>
        <v>0.11888469199999996</v>
      </c>
      <c r="E5">
        <f t="shared" si="1"/>
        <v>0.11888469199999996</v>
      </c>
      <c r="F5">
        <f t="shared" si="2"/>
        <v>1.4133569991934854E-2</v>
      </c>
      <c r="I5">
        <v>2.0540723839999999</v>
      </c>
    </row>
    <row r="6" spans="1:47" x14ac:dyDescent="0.45">
      <c r="A6" t="s">
        <v>117</v>
      </c>
      <c r="B6">
        <v>2.2522182850000001</v>
      </c>
      <c r="C6">
        <v>2.3149337980000002</v>
      </c>
      <c r="D6">
        <f t="shared" si="0"/>
        <v>6.2715513000000112E-2</v>
      </c>
      <c r="E6">
        <f t="shared" si="1"/>
        <v>6.2715513000000112E-2</v>
      </c>
      <c r="F6">
        <f t="shared" si="2"/>
        <v>3.9332355708531826E-3</v>
      </c>
      <c r="I6">
        <v>2.2522182850000001</v>
      </c>
    </row>
    <row r="7" spans="1:47" x14ac:dyDescent="0.45">
      <c r="A7" t="s">
        <v>118</v>
      </c>
      <c r="B7">
        <v>2.0580832349999998</v>
      </c>
      <c r="C7">
        <v>2.1667618630000001</v>
      </c>
      <c r="D7">
        <f t="shared" si="0"/>
        <v>0.10867862800000028</v>
      </c>
      <c r="E7">
        <f t="shared" si="1"/>
        <v>0.10867862800000028</v>
      </c>
      <c r="F7">
        <f t="shared" si="2"/>
        <v>1.1811044183962444E-2</v>
      </c>
      <c r="I7">
        <v>2.0580832349999998</v>
      </c>
    </row>
    <row r="8" spans="1:47" x14ac:dyDescent="0.45">
      <c r="A8" t="s">
        <v>7</v>
      </c>
      <c r="B8">
        <v>1.9137020629999999</v>
      </c>
      <c r="C8">
        <v>2.0432511180000001</v>
      </c>
      <c r="D8">
        <f t="shared" si="0"/>
        <v>0.12954905500000025</v>
      </c>
      <c r="E8">
        <f t="shared" si="1"/>
        <v>0.12954905500000025</v>
      </c>
      <c r="F8">
        <f t="shared" si="2"/>
        <v>1.678295765139309E-2</v>
      </c>
      <c r="I8">
        <v>1.9137020629999999</v>
      </c>
    </row>
    <row r="9" spans="1:47" x14ac:dyDescent="0.45">
      <c r="A9" t="s">
        <v>8</v>
      </c>
      <c r="B9">
        <v>1.942436568</v>
      </c>
      <c r="C9">
        <v>2.0281439469999998</v>
      </c>
      <c r="D9">
        <f t="shared" si="0"/>
        <v>8.5707378999999806E-2</v>
      </c>
      <c r="E9">
        <f t="shared" si="1"/>
        <v>8.5707378999999806E-2</v>
      </c>
      <c r="F9">
        <f t="shared" si="2"/>
        <v>7.345754815049608E-3</v>
      </c>
      <c r="I9">
        <v>1.942436568</v>
      </c>
    </row>
    <row r="10" spans="1:47" x14ac:dyDescent="0.45">
      <c r="A10" t="s">
        <v>9</v>
      </c>
      <c r="B10">
        <v>1.9385524080000001</v>
      </c>
      <c r="C10">
        <v>2.0593064609999998</v>
      </c>
      <c r="D10">
        <f t="shared" si="0"/>
        <v>0.12075405299999975</v>
      </c>
      <c r="E10">
        <f t="shared" si="1"/>
        <v>0.12075405299999975</v>
      </c>
      <c r="F10">
        <f t="shared" si="2"/>
        <v>1.4581541315926748E-2</v>
      </c>
      <c r="I10">
        <v>1.9385524080000001</v>
      </c>
    </row>
    <row r="11" spans="1:47" x14ac:dyDescent="0.45">
      <c r="A11" t="s">
        <v>10</v>
      </c>
      <c r="B11">
        <v>1.962784254</v>
      </c>
      <c r="C11">
        <v>2.038325854</v>
      </c>
      <c r="D11">
        <f t="shared" si="0"/>
        <v>7.5541599999999987E-2</v>
      </c>
      <c r="E11">
        <f t="shared" si="1"/>
        <v>7.5541599999999987E-2</v>
      </c>
      <c r="F11">
        <f t="shared" si="2"/>
        <v>5.7065333305599984E-3</v>
      </c>
      <c r="I11">
        <v>1.962784254</v>
      </c>
    </row>
    <row r="12" spans="1:47" x14ac:dyDescent="0.45">
      <c r="A12" t="s">
        <v>11</v>
      </c>
      <c r="B12">
        <v>1.9441373749999999</v>
      </c>
      <c r="C12">
        <v>2.030767129</v>
      </c>
      <c r="D12">
        <f t="shared" si="0"/>
        <v>8.6629754000000059E-2</v>
      </c>
      <c r="E12">
        <f t="shared" si="1"/>
        <v>8.6629754000000059E-2</v>
      </c>
      <c r="F12">
        <f t="shared" si="2"/>
        <v>7.5047142781005261E-3</v>
      </c>
      <c r="I12">
        <v>1.9441373749999999</v>
      </c>
    </row>
    <row r="13" spans="1:47" x14ac:dyDescent="0.45">
      <c r="A13" t="s">
        <v>12</v>
      </c>
      <c r="B13">
        <v>2.0996474680000001</v>
      </c>
      <c r="C13">
        <v>2.0238801209999999</v>
      </c>
      <c r="D13">
        <f t="shared" si="0"/>
        <v>-7.5767347000000207E-2</v>
      </c>
      <c r="E13">
        <f t="shared" si="1"/>
        <v>7.5767347000000207E-2</v>
      </c>
      <c r="F13">
        <f t="shared" si="2"/>
        <v>5.7406908714184406E-3</v>
      </c>
      <c r="I13">
        <v>2.0996474680000001</v>
      </c>
    </row>
    <row r="14" spans="1:47" x14ac:dyDescent="0.45">
      <c r="A14" t="s">
        <v>13</v>
      </c>
      <c r="B14">
        <v>1.933298575</v>
      </c>
      <c r="C14">
        <v>2.030345219</v>
      </c>
      <c r="D14">
        <f t="shared" si="0"/>
        <v>9.704664399999996E-2</v>
      </c>
      <c r="E14">
        <f t="shared" si="1"/>
        <v>9.704664399999996E-2</v>
      </c>
      <c r="F14">
        <f t="shared" si="2"/>
        <v>9.4180511116627279E-3</v>
      </c>
      <c r="I14">
        <v>1.933298575</v>
      </c>
    </row>
    <row r="15" spans="1:47" x14ac:dyDescent="0.45">
      <c r="A15" t="s">
        <v>119</v>
      </c>
      <c r="B15">
        <v>1.945123387</v>
      </c>
      <c r="C15">
        <v>2.0304507620000001</v>
      </c>
      <c r="D15">
        <f t="shared" si="0"/>
        <v>8.5327375000000094E-2</v>
      </c>
      <c r="E15">
        <f t="shared" si="1"/>
        <v>8.5327375000000094E-2</v>
      </c>
      <c r="F15">
        <f t="shared" si="2"/>
        <v>7.2807609243906411E-3</v>
      </c>
      <c r="I15">
        <v>1.945123387</v>
      </c>
      <c r="AU15" s="1"/>
    </row>
    <row r="16" spans="1:47" x14ac:dyDescent="0.45">
      <c r="A16" t="s">
        <v>14</v>
      </c>
      <c r="B16">
        <v>1.95132124</v>
      </c>
      <c r="C16">
        <v>2.0518871829999998</v>
      </c>
      <c r="D16">
        <f t="shared" si="0"/>
        <v>0.10056594299999988</v>
      </c>
      <c r="E16">
        <f t="shared" si="1"/>
        <v>0.10056594299999988</v>
      </c>
      <c r="F16">
        <f t="shared" si="2"/>
        <v>1.0113508891479224E-2</v>
      </c>
      <c r="I16">
        <v>1.95132124</v>
      </c>
      <c r="AU16" s="1"/>
    </row>
    <row r="17" spans="1:47" x14ac:dyDescent="0.45">
      <c r="A17" t="s">
        <v>120</v>
      </c>
      <c r="B17">
        <v>2.045063587</v>
      </c>
      <c r="C17">
        <v>2.2050355559999999</v>
      </c>
      <c r="D17">
        <f t="shared" si="0"/>
        <v>0.15997196899999988</v>
      </c>
      <c r="E17">
        <f t="shared" si="1"/>
        <v>0.15997196899999988</v>
      </c>
      <c r="F17">
        <f t="shared" si="2"/>
        <v>2.5591030865736924E-2</v>
      </c>
      <c r="I17">
        <v>2.045063587</v>
      </c>
      <c r="AU17" s="1"/>
    </row>
    <row r="18" spans="1:47" x14ac:dyDescent="0.45">
      <c r="A18" t="s">
        <v>121</v>
      </c>
      <c r="B18">
        <v>1.9505054470000001</v>
      </c>
      <c r="C18">
        <v>2.008318257</v>
      </c>
      <c r="D18">
        <f t="shared" si="0"/>
        <v>5.7812809999999937E-2</v>
      </c>
      <c r="E18">
        <f t="shared" si="1"/>
        <v>5.7812809999999937E-2</v>
      </c>
      <c r="F18">
        <f t="shared" si="2"/>
        <v>3.3423210000960925E-3</v>
      </c>
      <c r="I18">
        <v>1.9505054470000001</v>
      </c>
      <c r="AU18" s="1"/>
    </row>
    <row r="19" spans="1:47" x14ac:dyDescent="0.45">
      <c r="A19" t="s">
        <v>123</v>
      </c>
      <c r="B19">
        <v>1.951148522</v>
      </c>
      <c r="C19">
        <v>2.045970547</v>
      </c>
      <c r="D19">
        <f t="shared" si="0"/>
        <v>9.4822025000000032E-2</v>
      </c>
      <c r="E19">
        <f t="shared" si="1"/>
        <v>9.4822025000000032E-2</v>
      </c>
      <c r="F19">
        <f t="shared" si="2"/>
        <v>8.9912164251006316E-3</v>
      </c>
      <c r="I19">
        <v>1.951148522</v>
      </c>
      <c r="AU19" s="1"/>
    </row>
    <row r="20" spans="1:47" x14ac:dyDescent="0.45">
      <c r="A20" t="s">
        <v>124</v>
      </c>
      <c r="B20">
        <v>1.948654369</v>
      </c>
      <c r="C20">
        <v>2.02763816</v>
      </c>
      <c r="D20">
        <f t="shared" si="0"/>
        <v>7.898379099999997E-2</v>
      </c>
      <c r="E20">
        <f t="shared" si="1"/>
        <v>7.898379099999997E-2</v>
      </c>
      <c r="F20">
        <f t="shared" si="2"/>
        <v>6.238439240731676E-3</v>
      </c>
      <c r="I20">
        <v>1.948654369</v>
      </c>
    </row>
    <row r="21" spans="1:47" x14ac:dyDescent="0.45">
      <c r="A21" t="s">
        <v>125</v>
      </c>
      <c r="B21">
        <v>1.9781308639999999</v>
      </c>
      <c r="C21">
        <v>2.0585969500000001</v>
      </c>
      <c r="D21">
        <f t="shared" si="0"/>
        <v>8.0466086000000159E-2</v>
      </c>
      <c r="E21">
        <f t="shared" si="1"/>
        <v>8.0466086000000159E-2</v>
      </c>
      <c r="F21">
        <f t="shared" si="2"/>
        <v>6.4747909961594217E-3</v>
      </c>
      <c r="I21">
        <v>1.9781308639999999</v>
      </c>
    </row>
    <row r="22" spans="1:47" x14ac:dyDescent="0.45">
      <c r="A22" t="s">
        <v>15</v>
      </c>
      <c r="B22">
        <v>1.9421810749999999</v>
      </c>
      <c r="C22">
        <v>2.031276686</v>
      </c>
      <c r="D22">
        <f t="shared" si="0"/>
        <v>8.9095611000000074E-2</v>
      </c>
      <c r="E22">
        <f t="shared" si="1"/>
        <v>8.9095611000000074E-2</v>
      </c>
      <c r="F22">
        <f t="shared" si="2"/>
        <v>7.938027899463334E-3</v>
      </c>
      <c r="I22">
        <v>1.9421810749999999</v>
      </c>
    </row>
    <row r="23" spans="1:47" x14ac:dyDescent="0.45">
      <c r="A23" t="s">
        <v>16</v>
      </c>
      <c r="B23">
        <v>1.969706604</v>
      </c>
      <c r="C23">
        <v>2.0303259090000001</v>
      </c>
      <c r="D23">
        <f t="shared" si="0"/>
        <v>6.0619305000000123E-2</v>
      </c>
      <c r="E23">
        <f t="shared" si="1"/>
        <v>6.0619305000000123E-2</v>
      </c>
      <c r="F23">
        <f t="shared" si="2"/>
        <v>3.6747001386830398E-3</v>
      </c>
      <c r="I23">
        <v>1.969706604</v>
      </c>
    </row>
    <row r="24" spans="1:47" x14ac:dyDescent="0.45">
      <c r="A24" t="s">
        <v>17</v>
      </c>
      <c r="B24">
        <v>1.9754621809999999</v>
      </c>
      <c r="C24">
        <v>2.0801727849999998</v>
      </c>
      <c r="D24">
        <f t="shared" si="0"/>
        <v>0.10471060399999987</v>
      </c>
      <c r="E24">
        <f t="shared" si="1"/>
        <v>0.10471060399999987</v>
      </c>
      <c r="F24">
        <f t="shared" si="2"/>
        <v>1.0964310590044789E-2</v>
      </c>
      <c r="I24">
        <v>1.9754621809999999</v>
      </c>
    </row>
    <row r="25" spans="1:47" x14ac:dyDescent="0.45">
      <c r="A25" t="s">
        <v>18</v>
      </c>
      <c r="B25">
        <v>1.866359071</v>
      </c>
      <c r="C25">
        <v>2.1074554889999999</v>
      </c>
      <c r="D25">
        <f t="shared" si="0"/>
        <v>0.24109641799999992</v>
      </c>
      <c r="E25">
        <f t="shared" si="1"/>
        <v>0.24109641799999992</v>
      </c>
      <c r="F25">
        <f t="shared" si="2"/>
        <v>5.812748277243069E-2</v>
      </c>
      <c r="I25">
        <v>1.866359071</v>
      </c>
    </row>
    <row r="26" spans="1:47" x14ac:dyDescent="0.45">
      <c r="A26" t="s">
        <v>19</v>
      </c>
      <c r="B26">
        <v>1.976645618</v>
      </c>
      <c r="C26">
        <v>2.116572036</v>
      </c>
      <c r="D26">
        <f t="shared" si="0"/>
        <v>0.13992641799999994</v>
      </c>
      <c r="E26">
        <f t="shared" si="1"/>
        <v>0.13992641799999994</v>
      </c>
      <c r="F26">
        <f t="shared" si="2"/>
        <v>1.9579402454310706E-2</v>
      </c>
      <c r="I26">
        <v>1.976645618</v>
      </c>
    </row>
    <row r="27" spans="1:47" x14ac:dyDescent="0.45">
      <c r="A27" t="s">
        <v>20</v>
      </c>
      <c r="B27">
        <v>1.984690069</v>
      </c>
      <c r="C27">
        <v>2.0663158070000001</v>
      </c>
      <c r="D27">
        <f t="shared" si="0"/>
        <v>8.1625738000000059E-2</v>
      </c>
      <c r="E27">
        <f t="shared" si="1"/>
        <v>8.1625738000000059E-2</v>
      </c>
      <c r="F27">
        <f t="shared" si="2"/>
        <v>6.6627611040446537E-3</v>
      </c>
      <c r="I27">
        <v>1.984690069</v>
      </c>
    </row>
    <row r="28" spans="1:47" x14ac:dyDescent="0.45">
      <c r="A28" t="s">
        <v>21</v>
      </c>
      <c r="B28">
        <v>1.99782116</v>
      </c>
      <c r="C28">
        <v>2.0049895659999999</v>
      </c>
      <c r="D28">
        <f t="shared" si="0"/>
        <v>7.168405999999905E-3</v>
      </c>
      <c r="E28">
        <f t="shared" si="1"/>
        <v>7.168405999999905E-3</v>
      </c>
      <c r="F28">
        <f t="shared" si="2"/>
        <v>5.1386044580834635E-5</v>
      </c>
      <c r="I28">
        <v>1.99782116</v>
      </c>
    </row>
    <row r="29" spans="1:47" x14ac:dyDescent="0.45">
      <c r="A29" t="s">
        <v>22</v>
      </c>
      <c r="B29">
        <v>1.9793027620000001</v>
      </c>
      <c r="C29">
        <v>2.0586740510000001</v>
      </c>
      <c r="D29">
        <f t="shared" si="0"/>
        <v>7.9371289000000012E-2</v>
      </c>
      <c r="E29">
        <f t="shared" si="1"/>
        <v>7.9371289000000012E-2</v>
      </c>
      <c r="F29">
        <f t="shared" si="2"/>
        <v>6.2998015175215229E-3</v>
      </c>
      <c r="I29">
        <v>1.9793027620000001</v>
      </c>
    </row>
    <row r="30" spans="1:47" x14ac:dyDescent="0.45">
      <c r="A30" t="s">
        <v>23</v>
      </c>
      <c r="B30">
        <v>1.886125048</v>
      </c>
      <c r="C30">
        <v>2.0567904229999998</v>
      </c>
      <c r="D30">
        <f t="shared" si="0"/>
        <v>0.17066537499999979</v>
      </c>
      <c r="E30">
        <f t="shared" si="1"/>
        <v>0.17066537499999979</v>
      </c>
      <c r="F30">
        <f t="shared" si="2"/>
        <v>2.9126670223890552E-2</v>
      </c>
      <c r="I30">
        <v>1.886125048</v>
      </c>
    </row>
    <row r="31" spans="1:47" x14ac:dyDescent="0.45">
      <c r="A31" t="s">
        <v>24</v>
      </c>
      <c r="B31">
        <v>2.0110637699999998</v>
      </c>
      <c r="C31">
        <v>2.1517200769999998</v>
      </c>
      <c r="D31">
        <f t="shared" si="0"/>
        <v>0.14065630699999998</v>
      </c>
      <c r="E31">
        <f t="shared" si="1"/>
        <v>0.14065630699999998</v>
      </c>
      <c r="F31">
        <f t="shared" si="2"/>
        <v>1.9784196698878244E-2</v>
      </c>
      <c r="I31">
        <v>2.0110637699999998</v>
      </c>
    </row>
    <row r="32" spans="1:47" x14ac:dyDescent="0.45">
      <c r="A32" t="s">
        <v>25</v>
      </c>
      <c r="B32">
        <v>2.1030942640000001</v>
      </c>
      <c r="C32">
        <v>2.3263719300000001</v>
      </c>
      <c r="D32">
        <f t="shared" si="0"/>
        <v>0.22327766599999999</v>
      </c>
      <c r="E32">
        <f t="shared" si="1"/>
        <v>0.22327766599999999</v>
      </c>
      <c r="F32">
        <f t="shared" si="2"/>
        <v>4.9852916134407552E-2</v>
      </c>
      <c r="I32">
        <v>2.1030942640000001</v>
      </c>
    </row>
    <row r="33" spans="1:9" x14ac:dyDescent="0.45">
      <c r="A33" t="s">
        <v>26</v>
      </c>
      <c r="B33">
        <v>1.9947067839999999</v>
      </c>
      <c r="C33">
        <v>2.1249875899999999</v>
      </c>
      <c r="D33">
        <f t="shared" si="0"/>
        <v>0.13028080600000003</v>
      </c>
      <c r="E33">
        <f t="shared" si="1"/>
        <v>0.13028080600000003</v>
      </c>
      <c r="F33">
        <f t="shared" si="2"/>
        <v>1.6973088412009642E-2</v>
      </c>
      <c r="I33">
        <v>1.9947067839999999</v>
      </c>
    </row>
    <row r="34" spans="1:9" x14ac:dyDescent="0.45">
      <c r="A34" t="s">
        <v>27</v>
      </c>
      <c r="B34">
        <v>1.9872416589999999</v>
      </c>
      <c r="C34">
        <v>2.0284904109999999</v>
      </c>
      <c r="D34">
        <f t="shared" si="0"/>
        <v>4.1248752E-2</v>
      </c>
      <c r="E34">
        <f t="shared" si="1"/>
        <v>4.1248752E-2</v>
      </c>
      <c r="F34">
        <f t="shared" si="2"/>
        <v>1.7014595415575039E-3</v>
      </c>
      <c r="I34">
        <v>1.9872416589999999</v>
      </c>
    </row>
    <row r="35" spans="1:9" x14ac:dyDescent="0.45">
      <c r="A35" t="s">
        <v>28</v>
      </c>
      <c r="B35">
        <v>2.0606589319999999</v>
      </c>
      <c r="C35">
        <v>2.0589205480000001</v>
      </c>
      <c r="D35">
        <f t="shared" si="0"/>
        <v>-1.7383839999998152E-3</v>
      </c>
      <c r="E35">
        <f t="shared" si="1"/>
        <v>1.7383839999998152E-3</v>
      </c>
      <c r="F35">
        <f t="shared" si="2"/>
        <v>3.0219789314553577E-6</v>
      </c>
      <c r="I35">
        <v>2.0606589319999999</v>
      </c>
    </row>
    <row r="36" spans="1:9" x14ac:dyDescent="0.45">
      <c r="A36" t="s">
        <v>126</v>
      </c>
      <c r="B36">
        <v>2.2476159729999998</v>
      </c>
      <c r="C36">
        <v>5.3006383479999997</v>
      </c>
      <c r="D36">
        <f t="shared" si="0"/>
        <v>3.0530223749999998</v>
      </c>
      <c r="E36">
        <f t="shared" si="1"/>
        <v>3.0530223749999998</v>
      </c>
      <c r="F36">
        <f t="shared" si="2"/>
        <v>9.3209456222506404</v>
      </c>
      <c r="I36">
        <v>2.2476159729999998</v>
      </c>
    </row>
    <row r="37" spans="1:9" x14ac:dyDescent="0.45">
      <c r="A37" t="s">
        <v>29</v>
      </c>
      <c r="B37">
        <v>1.9677128960000001</v>
      </c>
      <c r="C37">
        <v>2.0409920420000001</v>
      </c>
      <c r="D37">
        <f t="shared" si="0"/>
        <v>7.3279145999999962E-2</v>
      </c>
      <c r="E37">
        <f t="shared" si="1"/>
        <v>7.3279145999999962E-2</v>
      </c>
      <c r="F37">
        <f t="shared" si="2"/>
        <v>5.36983323848931E-3</v>
      </c>
      <c r="I37">
        <v>1.9677128960000001</v>
      </c>
    </row>
    <row r="38" spans="1:9" x14ac:dyDescent="0.45">
      <c r="A38" t="s">
        <v>30</v>
      </c>
      <c r="B38">
        <v>2.0080147140000002</v>
      </c>
      <c r="C38">
        <v>2.096003321</v>
      </c>
      <c r="D38">
        <f t="shared" si="0"/>
        <v>8.7988606999999774E-2</v>
      </c>
      <c r="E38">
        <f t="shared" si="1"/>
        <v>8.7988606999999774E-2</v>
      </c>
      <c r="F38">
        <f t="shared" si="2"/>
        <v>7.7419949618004096E-3</v>
      </c>
      <c r="I38">
        <v>2.0080147140000002</v>
      </c>
    </row>
    <row r="39" spans="1:9" x14ac:dyDescent="0.45">
      <c r="A39" t="s">
        <v>31</v>
      </c>
      <c r="B39">
        <v>1.962022052</v>
      </c>
      <c r="C39">
        <v>2.055734669</v>
      </c>
      <c r="D39">
        <f t="shared" si="0"/>
        <v>9.3712616999999998E-2</v>
      </c>
      <c r="E39">
        <f t="shared" si="1"/>
        <v>9.3712616999999998E-2</v>
      </c>
      <c r="F39">
        <f t="shared" si="2"/>
        <v>8.7820545849886886E-3</v>
      </c>
      <c r="I39">
        <v>1.962022052</v>
      </c>
    </row>
    <row r="40" spans="1:9" x14ac:dyDescent="0.45">
      <c r="A40" t="s">
        <v>127</v>
      </c>
      <c r="B40">
        <v>1.96273787</v>
      </c>
      <c r="C40">
        <v>2.0554825229999998</v>
      </c>
      <c r="D40">
        <f t="shared" si="0"/>
        <v>9.2744652999999788E-2</v>
      </c>
      <c r="E40">
        <f t="shared" si="1"/>
        <v>9.2744652999999788E-2</v>
      </c>
      <c r="F40">
        <f t="shared" si="2"/>
        <v>8.6015706600903689E-3</v>
      </c>
      <c r="I40">
        <v>1.96273787</v>
      </c>
    </row>
    <row r="41" spans="1:9" x14ac:dyDescent="0.45">
      <c r="A41" t="s">
        <v>128</v>
      </c>
      <c r="B41">
        <v>1.927280898</v>
      </c>
      <c r="C41">
        <v>2.0061175960000002</v>
      </c>
      <c r="D41">
        <f t="shared" si="0"/>
        <v>7.8836698000000149E-2</v>
      </c>
      <c r="E41">
        <f t="shared" si="1"/>
        <v>7.8836698000000149E-2</v>
      </c>
      <c r="F41">
        <f t="shared" si="2"/>
        <v>6.2152249515432271E-3</v>
      </c>
      <c r="I41">
        <v>1.927280898</v>
      </c>
    </row>
    <row r="42" spans="1:9" x14ac:dyDescent="0.45">
      <c r="A42" t="s">
        <v>32</v>
      </c>
      <c r="B42">
        <v>1.941899622</v>
      </c>
      <c r="C42">
        <v>2.0127500199999999</v>
      </c>
      <c r="D42">
        <f t="shared" si="0"/>
        <v>7.0850397999999926E-2</v>
      </c>
      <c r="E42">
        <f t="shared" si="1"/>
        <v>7.0850397999999926E-2</v>
      </c>
      <c r="F42">
        <f t="shared" si="2"/>
        <v>5.0197788967583932E-3</v>
      </c>
      <c r="I42">
        <v>1.941899622</v>
      </c>
    </row>
    <row r="43" spans="1:9" x14ac:dyDescent="0.45">
      <c r="A43" t="s">
        <v>33</v>
      </c>
      <c r="B43">
        <v>1.9433357449999999</v>
      </c>
      <c r="C43">
        <v>2.0081745550000001</v>
      </c>
      <c r="D43">
        <f t="shared" si="0"/>
        <v>6.4838810000000136E-2</v>
      </c>
      <c r="E43">
        <f t="shared" si="1"/>
        <v>6.4838810000000136E-2</v>
      </c>
      <c r="F43">
        <f t="shared" si="2"/>
        <v>4.2040712822161179E-3</v>
      </c>
      <c r="I43">
        <v>1.9433357449999999</v>
      </c>
    </row>
    <row r="44" spans="1:9" x14ac:dyDescent="0.45">
      <c r="A44" t="s">
        <v>34</v>
      </c>
      <c r="B44">
        <v>1.948566126</v>
      </c>
      <c r="C44">
        <v>2.0473850219999998</v>
      </c>
      <c r="D44">
        <f t="shared" si="0"/>
        <v>9.8818895999999823E-2</v>
      </c>
      <c r="E44">
        <f t="shared" si="1"/>
        <v>9.8818895999999823E-2</v>
      </c>
      <c r="F44">
        <f t="shared" si="2"/>
        <v>9.7651742066587818E-3</v>
      </c>
      <c r="I44">
        <v>1.948566126</v>
      </c>
    </row>
    <row r="45" spans="1:9" x14ac:dyDescent="0.45">
      <c r="A45" t="s">
        <v>35</v>
      </c>
      <c r="B45">
        <v>1.961022236</v>
      </c>
      <c r="C45">
        <v>2.0446657660000001</v>
      </c>
      <c r="D45">
        <f t="shared" si="0"/>
        <v>8.3643530000000021E-2</v>
      </c>
      <c r="E45">
        <f t="shared" si="1"/>
        <v>8.3643530000000021E-2</v>
      </c>
      <c r="F45">
        <f t="shared" si="2"/>
        <v>6.9962401108609037E-3</v>
      </c>
      <c r="I45">
        <v>1.961022236</v>
      </c>
    </row>
    <row r="46" spans="1:9" x14ac:dyDescent="0.45">
      <c r="A46" t="s">
        <v>36</v>
      </c>
      <c r="B46">
        <v>1.967101464</v>
      </c>
      <c r="C46">
        <v>1.959942995</v>
      </c>
      <c r="D46">
        <f t="shared" si="0"/>
        <v>-7.1584689999999451E-3</v>
      </c>
      <c r="E46">
        <f t="shared" si="1"/>
        <v>7.1584689999999451E-3</v>
      </c>
      <c r="F46">
        <f t="shared" si="2"/>
        <v>5.1243678423960216E-5</v>
      </c>
      <c r="I46">
        <v>1.967101464</v>
      </c>
    </row>
    <row r="47" spans="1:9" x14ac:dyDescent="0.45">
      <c r="A47" t="s">
        <v>37</v>
      </c>
      <c r="B47">
        <v>2.0081185979999998</v>
      </c>
      <c r="C47">
        <v>2.0369674130000002</v>
      </c>
      <c r="D47">
        <f t="shared" si="0"/>
        <v>2.8848815000000361E-2</v>
      </c>
      <c r="E47">
        <f t="shared" si="1"/>
        <v>2.8848815000000361E-2</v>
      </c>
      <c r="F47">
        <f t="shared" si="2"/>
        <v>8.3225412690424584E-4</v>
      </c>
      <c r="I47">
        <v>2.0081185979999998</v>
      </c>
    </row>
    <row r="48" spans="1:9" x14ac:dyDescent="0.45">
      <c r="A48" t="s">
        <v>38</v>
      </c>
      <c r="B48">
        <v>1.9509091080000001</v>
      </c>
      <c r="C48">
        <v>2.0311195049999999</v>
      </c>
      <c r="D48">
        <f t="shared" si="0"/>
        <v>8.0210396999999878E-2</v>
      </c>
      <c r="E48">
        <f t="shared" si="1"/>
        <v>8.0210396999999878E-2</v>
      </c>
      <c r="F48">
        <f t="shared" si="2"/>
        <v>6.4337077868975891E-3</v>
      </c>
      <c r="I48">
        <v>1.9509091080000001</v>
      </c>
    </row>
    <row r="49" spans="1:9" x14ac:dyDescent="0.45">
      <c r="A49" t="s">
        <v>39</v>
      </c>
      <c r="B49">
        <v>1.964533613</v>
      </c>
      <c r="C49">
        <v>2.024980303</v>
      </c>
      <c r="D49">
        <f t="shared" si="0"/>
        <v>6.0446690000000025E-2</v>
      </c>
      <c r="E49">
        <f t="shared" si="1"/>
        <v>6.0446690000000025E-2</v>
      </c>
      <c r="F49">
        <f t="shared" si="2"/>
        <v>3.6538023319561031E-3</v>
      </c>
      <c r="I49">
        <v>1.964533613</v>
      </c>
    </row>
    <row r="50" spans="1:9" x14ac:dyDescent="0.45">
      <c r="A50" t="s">
        <v>40</v>
      </c>
      <c r="B50">
        <v>1.9888866089999999</v>
      </c>
      <c r="C50">
        <v>2.0750850189999999</v>
      </c>
      <c r="D50">
        <f t="shared" si="0"/>
        <v>8.6198409999999948E-2</v>
      </c>
      <c r="E50">
        <f t="shared" si="1"/>
        <v>8.6198409999999948E-2</v>
      </c>
      <c r="F50">
        <f t="shared" si="2"/>
        <v>7.4301658865280912E-3</v>
      </c>
      <c r="I50">
        <v>1.9888866089999999</v>
      </c>
    </row>
    <row r="51" spans="1:9" x14ac:dyDescent="0.45">
      <c r="A51" t="s">
        <v>41</v>
      </c>
      <c r="B51">
        <v>1.9940346040000001</v>
      </c>
      <c r="C51">
        <v>2.0602519520000002</v>
      </c>
      <c r="D51">
        <f t="shared" si="0"/>
        <v>6.621734800000012E-2</v>
      </c>
      <c r="E51">
        <f t="shared" si="1"/>
        <v>6.621734800000012E-2</v>
      </c>
      <c r="F51">
        <f t="shared" si="2"/>
        <v>4.3847371761531195E-3</v>
      </c>
      <c r="I51">
        <v>1.9940346040000001</v>
      </c>
    </row>
    <row r="52" spans="1:9" x14ac:dyDescent="0.45">
      <c r="A52" t="s">
        <v>42</v>
      </c>
      <c r="B52">
        <v>1.9671897780000001</v>
      </c>
      <c r="C52">
        <v>2.0424487990000002</v>
      </c>
      <c r="D52">
        <f t="shared" si="0"/>
        <v>7.5259021000000148E-2</v>
      </c>
      <c r="E52">
        <f t="shared" si="1"/>
        <v>7.5259021000000148E-2</v>
      </c>
      <c r="F52">
        <f t="shared" si="2"/>
        <v>5.6639202418784637E-3</v>
      </c>
      <c r="I52">
        <v>1.9671897780000001</v>
      </c>
    </row>
    <row r="53" spans="1:9" x14ac:dyDescent="0.45">
      <c r="A53" t="s">
        <v>43</v>
      </c>
      <c r="B53">
        <v>1.9565429990000001</v>
      </c>
      <c r="C53">
        <v>2.0175828939999998</v>
      </c>
      <c r="D53">
        <f t="shared" si="0"/>
        <v>6.1039894999999733E-2</v>
      </c>
      <c r="E53">
        <f t="shared" si="1"/>
        <v>6.1039894999999733E-2</v>
      </c>
      <c r="F53">
        <f t="shared" si="2"/>
        <v>3.7258687816109923E-3</v>
      </c>
      <c r="I53">
        <v>1.9565429990000001</v>
      </c>
    </row>
    <row r="54" spans="1:9" x14ac:dyDescent="0.45">
      <c r="A54" t="s">
        <v>44</v>
      </c>
      <c r="B54">
        <v>1.9730358800000001</v>
      </c>
      <c r="C54">
        <v>2.0626018949999998</v>
      </c>
      <c r="D54">
        <f t="shared" si="0"/>
        <v>8.9566014999999721E-2</v>
      </c>
      <c r="E54">
        <f t="shared" si="1"/>
        <v>8.9566014999999721E-2</v>
      </c>
      <c r="F54">
        <f t="shared" si="2"/>
        <v>8.0220710429801754E-3</v>
      </c>
      <c r="I54">
        <v>1.9730358800000001</v>
      </c>
    </row>
    <row r="55" spans="1:9" x14ac:dyDescent="0.45">
      <c r="A55" t="s">
        <v>45</v>
      </c>
      <c r="B55">
        <v>1.968763491</v>
      </c>
      <c r="C55">
        <v>2.161619843</v>
      </c>
      <c r="D55">
        <f t="shared" si="0"/>
        <v>0.19285635199999995</v>
      </c>
      <c r="E55">
        <f t="shared" si="1"/>
        <v>0.19285635199999995</v>
      </c>
      <c r="F55">
        <f t="shared" si="2"/>
        <v>3.7193572506747888E-2</v>
      </c>
      <c r="I55">
        <v>1.968763491</v>
      </c>
    </row>
    <row r="56" spans="1:9" x14ac:dyDescent="0.45">
      <c r="A56" t="s">
        <v>46</v>
      </c>
      <c r="B56">
        <v>2.024926249</v>
      </c>
      <c r="C56">
        <v>1.994129885</v>
      </c>
      <c r="D56">
        <f t="shared" si="0"/>
        <v>-3.0796363999999965E-2</v>
      </c>
      <c r="E56">
        <f t="shared" si="1"/>
        <v>3.0796363999999965E-2</v>
      </c>
      <c r="F56">
        <f t="shared" si="2"/>
        <v>9.4841603562049385E-4</v>
      </c>
      <c r="I56">
        <v>2.024926249</v>
      </c>
    </row>
    <row r="57" spans="1:9" x14ac:dyDescent="0.45">
      <c r="A57" t="s">
        <v>47</v>
      </c>
      <c r="B57">
        <v>1.9371663210000001</v>
      </c>
      <c r="C57">
        <v>2.0195477519999998</v>
      </c>
      <c r="D57">
        <f t="shared" si="0"/>
        <v>8.2381430999999727E-2</v>
      </c>
      <c r="E57">
        <f t="shared" si="1"/>
        <v>8.2381430999999727E-2</v>
      </c>
      <c r="F57">
        <f t="shared" si="2"/>
        <v>6.7867001736077164E-3</v>
      </c>
      <c r="I57">
        <v>1.9371663210000001</v>
      </c>
    </row>
    <row r="58" spans="1:9" x14ac:dyDescent="0.45">
      <c r="A58" t="s">
        <v>48</v>
      </c>
      <c r="B58">
        <v>1.958263731</v>
      </c>
      <c r="C58">
        <v>2.0335608230000002</v>
      </c>
      <c r="D58">
        <f t="shared" si="0"/>
        <v>7.5297092000000232E-2</v>
      </c>
      <c r="E58">
        <f t="shared" si="1"/>
        <v>7.5297092000000232E-2</v>
      </c>
      <c r="F58">
        <f t="shared" si="2"/>
        <v>5.6696520636564992E-3</v>
      </c>
      <c r="I58">
        <v>1.958263731</v>
      </c>
    </row>
    <row r="59" spans="1:9" x14ac:dyDescent="0.45">
      <c r="A59" t="s">
        <v>49</v>
      </c>
      <c r="B59">
        <v>1.9874297299999999</v>
      </c>
      <c r="C59">
        <v>2.0858178289999998</v>
      </c>
      <c r="D59">
        <f t="shared" si="0"/>
        <v>9.8388098999999896E-2</v>
      </c>
      <c r="E59">
        <f t="shared" si="1"/>
        <v>9.8388098999999896E-2</v>
      </c>
      <c r="F59">
        <f t="shared" si="2"/>
        <v>9.68021802483378E-3</v>
      </c>
      <c r="I59">
        <v>1.9874297299999999</v>
      </c>
    </row>
    <row r="60" spans="1:9" x14ac:dyDescent="0.45">
      <c r="A60" t="s">
        <v>50</v>
      </c>
      <c r="B60">
        <v>1.9191454859999999</v>
      </c>
      <c r="C60">
        <v>1.970475084</v>
      </c>
      <c r="D60">
        <f t="shared" si="0"/>
        <v>5.1329598000000143E-2</v>
      </c>
      <c r="E60">
        <f t="shared" si="1"/>
        <v>5.1329598000000143E-2</v>
      </c>
      <c r="F60">
        <f t="shared" si="2"/>
        <v>2.6347276308416189E-3</v>
      </c>
      <c r="I60">
        <v>1.9191454859999999</v>
      </c>
    </row>
    <row r="61" spans="1:9" x14ac:dyDescent="0.45">
      <c r="A61" t="s">
        <v>51</v>
      </c>
      <c r="B61">
        <v>1.999452191</v>
      </c>
      <c r="C61">
        <v>2.0931875080000002</v>
      </c>
      <c r="D61">
        <f t="shared" si="0"/>
        <v>9.3735317000000151E-2</v>
      </c>
      <c r="E61">
        <f t="shared" si="1"/>
        <v>9.3735317000000151E-2</v>
      </c>
      <c r="F61">
        <f t="shared" si="2"/>
        <v>8.7863096530905165E-3</v>
      </c>
      <c r="I61">
        <v>1.999452191</v>
      </c>
    </row>
    <row r="62" spans="1:9" x14ac:dyDescent="0.45">
      <c r="A62" t="s">
        <v>52</v>
      </c>
      <c r="B62">
        <v>1.9789017330000001</v>
      </c>
      <c r="C62">
        <v>2.0902674569999999</v>
      </c>
      <c r="D62">
        <f t="shared" si="0"/>
        <v>0.11136572399999989</v>
      </c>
      <c r="E62">
        <f t="shared" si="1"/>
        <v>0.11136572399999989</v>
      </c>
      <c r="F62">
        <f t="shared" si="2"/>
        <v>1.240232448204415E-2</v>
      </c>
      <c r="I62">
        <v>1.9789017330000001</v>
      </c>
    </row>
    <row r="63" spans="1:9" x14ac:dyDescent="0.45">
      <c r="A63" t="s">
        <v>53</v>
      </c>
      <c r="B63">
        <v>1.9258085030000001</v>
      </c>
      <c r="C63">
        <v>2.0007085280000001</v>
      </c>
      <c r="D63">
        <f t="shared" si="0"/>
        <v>7.4900025000000037E-2</v>
      </c>
      <c r="E63">
        <f t="shared" si="1"/>
        <v>7.4900025000000037E-2</v>
      </c>
      <c r="F63">
        <f t="shared" si="2"/>
        <v>5.6100137450006303E-3</v>
      </c>
      <c r="I63">
        <v>1.9258085030000001</v>
      </c>
    </row>
    <row r="64" spans="1:9" x14ac:dyDescent="0.45">
      <c r="A64" t="s">
        <v>129</v>
      </c>
      <c r="B64">
        <v>1.9899688040000001</v>
      </c>
      <c r="C64">
        <v>2.0917128420000002</v>
      </c>
      <c r="D64">
        <f t="shared" si="0"/>
        <v>0.10174403800000009</v>
      </c>
      <c r="E64">
        <f t="shared" si="1"/>
        <v>0.10174403800000009</v>
      </c>
      <c r="F64">
        <f t="shared" si="2"/>
        <v>1.0351849268545463E-2</v>
      </c>
      <c r="I64">
        <v>1.9899688040000001</v>
      </c>
    </row>
    <row r="65" spans="1:9" x14ac:dyDescent="0.45">
      <c r="A65" t="s">
        <v>130</v>
      </c>
      <c r="B65">
        <v>1.9320831389999999</v>
      </c>
      <c r="C65">
        <v>2.019219471</v>
      </c>
      <c r="D65">
        <f t="shared" si="0"/>
        <v>8.7136332000000039E-2</v>
      </c>
      <c r="E65">
        <f t="shared" si="1"/>
        <v>8.7136332000000039E-2</v>
      </c>
      <c r="F65">
        <f t="shared" si="2"/>
        <v>7.5927403544142303E-3</v>
      </c>
      <c r="I65">
        <v>1.9320831389999999</v>
      </c>
    </row>
    <row r="66" spans="1:9" x14ac:dyDescent="0.45">
      <c r="A66" t="s">
        <v>54</v>
      </c>
      <c r="B66">
        <v>1.94274634</v>
      </c>
      <c r="C66">
        <v>2.0717982159999999</v>
      </c>
      <c r="D66">
        <f t="shared" ref="D66:D128" si="3">(C66-B66)</f>
        <v>0.1290518759999999</v>
      </c>
      <c r="E66">
        <f t="shared" ref="E66:E128" si="4">ABS(D66)</f>
        <v>0.1290518759999999</v>
      </c>
      <c r="F66">
        <f t="shared" ref="F66:F128" si="5">E66^2</f>
        <v>1.6654386699119349E-2</v>
      </c>
      <c r="I66">
        <v>1.94274634</v>
      </c>
    </row>
    <row r="67" spans="1:9" x14ac:dyDescent="0.45">
      <c r="A67" t="s">
        <v>55</v>
      </c>
      <c r="B67">
        <v>1.950673152</v>
      </c>
      <c r="C67">
        <v>2.0355638479999998</v>
      </c>
      <c r="D67">
        <f t="shared" si="3"/>
        <v>8.4890695999999766E-2</v>
      </c>
      <c r="E67">
        <f t="shared" si="4"/>
        <v>8.4890695999999766E-2</v>
      </c>
      <c r="F67">
        <f t="shared" si="5"/>
        <v>7.2064302673643761E-3</v>
      </c>
      <c r="I67">
        <v>1.950673152</v>
      </c>
    </row>
    <row r="68" spans="1:9" x14ac:dyDescent="0.45">
      <c r="A68" t="s">
        <v>56</v>
      </c>
      <c r="B68">
        <v>1.9609282809999999</v>
      </c>
      <c r="C68">
        <v>2.0635762130000002</v>
      </c>
      <c r="D68">
        <f t="shared" si="3"/>
        <v>0.10264793200000022</v>
      </c>
      <c r="E68">
        <f t="shared" si="4"/>
        <v>0.10264793200000022</v>
      </c>
      <c r="F68">
        <f t="shared" si="5"/>
        <v>1.053659794387667E-2</v>
      </c>
      <c r="I68">
        <v>1.9609282809999999</v>
      </c>
    </row>
    <row r="69" spans="1:9" x14ac:dyDescent="0.45">
      <c r="A69" t="s">
        <v>57</v>
      </c>
      <c r="B69">
        <v>1.968044941</v>
      </c>
      <c r="C69">
        <v>2.065340977</v>
      </c>
      <c r="D69">
        <f t="shared" si="3"/>
        <v>9.7296035999999919E-2</v>
      </c>
      <c r="E69">
        <f t="shared" si="4"/>
        <v>9.7296035999999919E-2</v>
      </c>
      <c r="F69">
        <f t="shared" si="5"/>
        <v>9.4665186213132805E-3</v>
      </c>
      <c r="I69">
        <v>1.968044941</v>
      </c>
    </row>
    <row r="70" spans="1:9" x14ac:dyDescent="0.45">
      <c r="A70" t="s">
        <v>58</v>
      </c>
      <c r="B70">
        <v>1.9583602929999999</v>
      </c>
      <c r="C70">
        <v>2.0612123910000002</v>
      </c>
      <c r="D70">
        <f t="shared" si="3"/>
        <v>0.10285209800000028</v>
      </c>
      <c r="E70">
        <f t="shared" si="4"/>
        <v>0.10285209800000028</v>
      </c>
      <c r="F70">
        <f t="shared" si="5"/>
        <v>1.0578554063001662E-2</v>
      </c>
      <c r="I70">
        <v>1.9583602929999999</v>
      </c>
    </row>
    <row r="71" spans="1:9" x14ac:dyDescent="0.45">
      <c r="A71" t="s">
        <v>131</v>
      </c>
      <c r="B71">
        <v>1.9350431459999999</v>
      </c>
      <c r="C71">
        <v>2.032847319</v>
      </c>
      <c r="D71">
        <f t="shared" si="3"/>
        <v>9.7804173000000105E-2</v>
      </c>
      <c r="E71">
        <f t="shared" si="4"/>
        <v>9.7804173000000105E-2</v>
      </c>
      <c r="F71">
        <f t="shared" si="5"/>
        <v>9.5656562562139499E-3</v>
      </c>
      <c r="I71">
        <v>1.9350431459999999</v>
      </c>
    </row>
    <row r="72" spans="1:9" x14ac:dyDescent="0.45">
      <c r="A72" t="s">
        <v>132</v>
      </c>
      <c r="B72">
        <v>1.9585791210000001</v>
      </c>
      <c r="C72">
        <v>2.0161796430000001</v>
      </c>
      <c r="D72">
        <f t="shared" si="3"/>
        <v>5.7600521999999987E-2</v>
      </c>
      <c r="E72">
        <f t="shared" si="4"/>
        <v>5.7600521999999987E-2</v>
      </c>
      <c r="F72">
        <f t="shared" si="5"/>
        <v>3.3178201346724823E-3</v>
      </c>
      <c r="I72">
        <v>1.9585791210000001</v>
      </c>
    </row>
    <row r="73" spans="1:9" x14ac:dyDescent="0.45">
      <c r="A73" t="s">
        <v>133</v>
      </c>
      <c r="B73">
        <v>2.256395591</v>
      </c>
      <c r="C73">
        <v>2.3147868370000002</v>
      </c>
      <c r="D73">
        <f t="shared" si="3"/>
        <v>5.839124600000023E-2</v>
      </c>
      <c r="E73">
        <f t="shared" si="4"/>
        <v>5.839124600000023E-2</v>
      </c>
      <c r="F73">
        <f t="shared" si="5"/>
        <v>3.4095376094325429E-3</v>
      </c>
      <c r="I73">
        <v>2.256395591</v>
      </c>
    </row>
    <row r="74" spans="1:9" x14ac:dyDescent="0.45">
      <c r="A74" t="s">
        <v>59</v>
      </c>
      <c r="B74">
        <v>2.24151787</v>
      </c>
      <c r="C74">
        <v>2.3320033590000002</v>
      </c>
      <c r="D74">
        <f t="shared" si="3"/>
        <v>9.0485489000000197E-2</v>
      </c>
      <c r="E74">
        <f t="shared" si="4"/>
        <v>9.0485489000000197E-2</v>
      </c>
      <c r="F74">
        <f t="shared" si="5"/>
        <v>8.1876237195691558E-3</v>
      </c>
      <c r="I74">
        <v>2.24151787</v>
      </c>
    </row>
    <row r="75" spans="1:9" x14ac:dyDescent="0.45">
      <c r="A75" t="s">
        <v>60</v>
      </c>
      <c r="B75">
        <v>1.9267546289999999</v>
      </c>
      <c r="C75">
        <v>2.0071924120000002</v>
      </c>
      <c r="D75">
        <f t="shared" si="3"/>
        <v>8.0437783000000262E-2</v>
      </c>
      <c r="E75">
        <f t="shared" si="4"/>
        <v>8.0437783000000262E-2</v>
      </c>
      <c r="F75">
        <f t="shared" si="5"/>
        <v>6.470236933955131E-3</v>
      </c>
      <c r="I75">
        <v>1.9267546289999999</v>
      </c>
    </row>
    <row r="76" spans="1:9" x14ac:dyDescent="0.45">
      <c r="A76" t="s">
        <v>61</v>
      </c>
      <c r="B76">
        <v>1.935756134</v>
      </c>
      <c r="C76">
        <v>2.0311662739999998</v>
      </c>
      <c r="D76">
        <f t="shared" si="3"/>
        <v>9.541013999999981E-2</v>
      </c>
      <c r="E76">
        <f t="shared" si="4"/>
        <v>9.541013999999981E-2</v>
      </c>
      <c r="F76">
        <f t="shared" si="5"/>
        <v>9.1030948148195633E-3</v>
      </c>
      <c r="I76">
        <v>1.935756134</v>
      </c>
    </row>
    <row r="77" spans="1:9" x14ac:dyDescent="0.45">
      <c r="A77" t="s">
        <v>62</v>
      </c>
      <c r="B77">
        <v>1.946182396</v>
      </c>
      <c r="C77">
        <v>2.007446651</v>
      </c>
      <c r="D77">
        <f t="shared" si="3"/>
        <v>6.126425499999999E-2</v>
      </c>
      <c r="E77">
        <f t="shared" si="4"/>
        <v>6.126425499999999E-2</v>
      </c>
      <c r="F77">
        <f t="shared" si="5"/>
        <v>3.7533089407050238E-3</v>
      </c>
      <c r="I77">
        <v>1.946182396</v>
      </c>
    </row>
    <row r="78" spans="1:9" x14ac:dyDescent="0.45">
      <c r="A78" t="s">
        <v>63</v>
      </c>
      <c r="B78">
        <v>1.944237818</v>
      </c>
      <c r="C78">
        <v>2.031772514</v>
      </c>
      <c r="D78">
        <f t="shared" si="3"/>
        <v>8.7534696000000078E-2</v>
      </c>
      <c r="E78">
        <f t="shared" si="4"/>
        <v>8.7534696000000078E-2</v>
      </c>
      <c r="F78">
        <f t="shared" si="5"/>
        <v>7.6623230038124299E-3</v>
      </c>
      <c r="I78">
        <v>1.944237818</v>
      </c>
    </row>
    <row r="79" spans="1:9" x14ac:dyDescent="0.45">
      <c r="A79" t="s">
        <v>64</v>
      </c>
      <c r="B79">
        <v>1.947820506</v>
      </c>
      <c r="C79">
        <v>2.0390152879999999</v>
      </c>
      <c r="D79">
        <f t="shared" si="3"/>
        <v>9.1194781999999863E-2</v>
      </c>
      <c r="E79">
        <f t="shared" si="4"/>
        <v>9.1194781999999863E-2</v>
      </c>
      <c r="F79">
        <f t="shared" si="5"/>
        <v>8.3164882640274999E-3</v>
      </c>
      <c r="I79">
        <v>1.947820506</v>
      </c>
    </row>
    <row r="80" spans="1:9" x14ac:dyDescent="0.45">
      <c r="A80" t="s">
        <v>65</v>
      </c>
      <c r="B80">
        <v>1.9746259900000001</v>
      </c>
      <c r="C80">
        <v>2.0569993819999999</v>
      </c>
      <c r="D80">
        <f t="shared" si="3"/>
        <v>8.2373391999999823E-2</v>
      </c>
      <c r="E80">
        <f t="shared" si="4"/>
        <v>8.2373391999999823E-2</v>
      </c>
      <c r="F80">
        <f t="shared" si="5"/>
        <v>6.7853757095856348E-3</v>
      </c>
      <c r="I80">
        <v>1.9746259900000001</v>
      </c>
    </row>
    <row r="81" spans="1:9" x14ac:dyDescent="0.45">
      <c r="A81" t="s">
        <v>66</v>
      </c>
      <c r="B81">
        <v>1.9884827949999999</v>
      </c>
      <c r="C81">
        <v>2.0610643290000001</v>
      </c>
      <c r="D81">
        <f t="shared" si="3"/>
        <v>7.2581534000000225E-2</v>
      </c>
      <c r="E81">
        <f t="shared" si="4"/>
        <v>7.2581534000000225E-2</v>
      </c>
      <c r="F81">
        <f t="shared" si="5"/>
        <v>5.2680790777931887E-3</v>
      </c>
      <c r="I81">
        <v>1.9884827949999999</v>
      </c>
    </row>
    <row r="82" spans="1:9" x14ac:dyDescent="0.45">
      <c r="A82" t="s">
        <v>67</v>
      </c>
      <c r="B82">
        <v>1.952028377</v>
      </c>
      <c r="C82">
        <v>2.0517927829999998</v>
      </c>
      <c r="D82">
        <f t="shared" si="3"/>
        <v>9.9764405999999806E-2</v>
      </c>
      <c r="E82">
        <f t="shared" si="4"/>
        <v>9.9764405999999806E-2</v>
      </c>
      <c r="F82">
        <f t="shared" si="5"/>
        <v>9.9529367045327975E-3</v>
      </c>
      <c r="I82">
        <v>1.952028377</v>
      </c>
    </row>
    <row r="83" spans="1:9" x14ac:dyDescent="0.45">
      <c r="A83" t="s">
        <v>134</v>
      </c>
      <c r="B83">
        <v>2.0927938410000002</v>
      </c>
      <c r="C83">
        <v>2.1509446560000001</v>
      </c>
      <c r="D83">
        <f t="shared" si="3"/>
        <v>5.8150814999999856E-2</v>
      </c>
      <c r="E83">
        <f t="shared" si="4"/>
        <v>5.8150814999999856E-2</v>
      </c>
      <c r="F83">
        <f t="shared" si="5"/>
        <v>3.3815172851642083E-3</v>
      </c>
      <c r="I83">
        <v>2.0927938410000002</v>
      </c>
    </row>
    <row r="84" spans="1:9" x14ac:dyDescent="0.45">
      <c r="A84" t="s">
        <v>136</v>
      </c>
      <c r="B84">
        <v>1.939630253</v>
      </c>
      <c r="C84">
        <v>2.051567672</v>
      </c>
      <c r="D84">
        <f t="shared" si="3"/>
        <v>0.11193741899999998</v>
      </c>
      <c r="E84">
        <f t="shared" si="4"/>
        <v>0.11193741899999998</v>
      </c>
      <c r="F84">
        <f t="shared" si="5"/>
        <v>1.2529985772381557E-2</v>
      </c>
      <c r="I84">
        <v>1.939630253</v>
      </c>
    </row>
    <row r="85" spans="1:9" x14ac:dyDescent="0.45">
      <c r="A85" t="s">
        <v>137</v>
      </c>
      <c r="B85">
        <v>1.931736388</v>
      </c>
      <c r="C85">
        <v>2.0050311089999999</v>
      </c>
      <c r="D85">
        <f t="shared" si="3"/>
        <v>7.3294720999999896E-2</v>
      </c>
      <c r="E85">
        <f t="shared" si="4"/>
        <v>7.3294720999999896E-2</v>
      </c>
      <c r="F85">
        <f t="shared" si="5"/>
        <v>5.3721161264678255E-3</v>
      </c>
      <c r="I85">
        <v>1.931736388</v>
      </c>
    </row>
    <row r="86" spans="1:9" x14ac:dyDescent="0.45">
      <c r="A86" t="s">
        <v>138</v>
      </c>
      <c r="B86">
        <v>1.941831632</v>
      </c>
      <c r="C86">
        <v>2.0063853950000001</v>
      </c>
      <c r="D86">
        <f t="shared" si="3"/>
        <v>6.4553763000000153E-2</v>
      </c>
      <c r="E86">
        <f t="shared" si="4"/>
        <v>6.4553763000000153E-2</v>
      </c>
      <c r="F86">
        <f t="shared" si="5"/>
        <v>4.1671883174601888E-3</v>
      </c>
      <c r="I86">
        <v>1.941831632</v>
      </c>
    </row>
    <row r="87" spans="1:9" x14ac:dyDescent="0.45">
      <c r="A87" t="s">
        <v>68</v>
      </c>
      <c r="B87">
        <v>1.8320330760000001</v>
      </c>
      <c r="C87">
        <v>2.024974018</v>
      </c>
      <c r="D87">
        <f t="shared" si="3"/>
        <v>0.19294094199999989</v>
      </c>
      <c r="E87">
        <f t="shared" si="4"/>
        <v>0.19294094199999989</v>
      </c>
      <c r="F87">
        <f t="shared" si="5"/>
        <v>3.7226207099847322E-2</v>
      </c>
      <c r="I87">
        <v>1.8320330760000001</v>
      </c>
    </row>
    <row r="88" spans="1:9" x14ac:dyDescent="0.45">
      <c r="A88" t="s">
        <v>69</v>
      </c>
      <c r="B88">
        <v>1.969389155</v>
      </c>
      <c r="C88">
        <v>2.065510604</v>
      </c>
      <c r="D88">
        <f t="shared" si="3"/>
        <v>9.612144899999997E-2</v>
      </c>
      <c r="E88">
        <f t="shared" si="4"/>
        <v>9.612144899999997E-2</v>
      </c>
      <c r="F88">
        <f t="shared" si="5"/>
        <v>9.2393329578595949E-3</v>
      </c>
      <c r="I88">
        <v>1.969389155</v>
      </c>
    </row>
    <row r="89" spans="1:9" x14ac:dyDescent="0.45">
      <c r="A89" t="s">
        <v>70</v>
      </c>
      <c r="B89">
        <v>1.8548790150000001</v>
      </c>
      <c r="C89">
        <v>2.0842051860000002</v>
      </c>
      <c r="D89">
        <f t="shared" si="3"/>
        <v>0.22932617100000008</v>
      </c>
      <c r="E89">
        <f t="shared" si="4"/>
        <v>0.22932617100000008</v>
      </c>
      <c r="F89">
        <f t="shared" si="5"/>
        <v>5.2590492705521276E-2</v>
      </c>
      <c r="I89">
        <v>1.8548790150000001</v>
      </c>
    </row>
    <row r="90" spans="1:9" x14ac:dyDescent="0.45">
      <c r="A90" t="s">
        <v>71</v>
      </c>
      <c r="B90">
        <v>1.9830799640000001</v>
      </c>
      <c r="C90">
        <v>2.1042941970000002</v>
      </c>
      <c r="D90">
        <f t="shared" si="3"/>
        <v>0.12121423300000012</v>
      </c>
      <c r="E90">
        <f t="shared" si="4"/>
        <v>0.12121423300000012</v>
      </c>
      <c r="F90">
        <f t="shared" si="5"/>
        <v>1.4692890281778318E-2</v>
      </c>
      <c r="I90">
        <v>1.9830799640000001</v>
      </c>
    </row>
    <row r="91" spans="1:9" x14ac:dyDescent="0.45">
      <c r="A91" t="s">
        <v>72</v>
      </c>
      <c r="B91">
        <v>1.97551674</v>
      </c>
      <c r="C91">
        <v>2.0807045390000001</v>
      </c>
      <c r="D91">
        <f t="shared" si="3"/>
        <v>0.10518779900000008</v>
      </c>
      <c r="E91">
        <f t="shared" si="4"/>
        <v>0.10518779900000008</v>
      </c>
      <c r="F91">
        <f t="shared" si="5"/>
        <v>1.1064473058464417E-2</v>
      </c>
      <c r="I91">
        <v>1.97551674</v>
      </c>
    </row>
    <row r="92" spans="1:9" x14ac:dyDescent="0.45">
      <c r="A92" t="s">
        <v>73</v>
      </c>
      <c r="B92">
        <v>1.996667717</v>
      </c>
      <c r="C92">
        <v>2.108581875</v>
      </c>
      <c r="D92">
        <f t="shared" si="3"/>
        <v>0.11191415800000004</v>
      </c>
      <c r="E92">
        <f t="shared" si="4"/>
        <v>0.11191415800000004</v>
      </c>
      <c r="F92">
        <f t="shared" si="5"/>
        <v>1.2524778760848973E-2</v>
      </c>
      <c r="I92">
        <v>1.996667717</v>
      </c>
    </row>
    <row r="93" spans="1:9" x14ac:dyDescent="0.45">
      <c r="A93" t="s">
        <v>74</v>
      </c>
      <c r="B93">
        <v>1.994152623</v>
      </c>
      <c r="C93">
        <v>2.0652799339999999</v>
      </c>
      <c r="D93">
        <f t="shared" si="3"/>
        <v>7.1127310999999915E-2</v>
      </c>
      <c r="E93">
        <f t="shared" si="4"/>
        <v>7.1127310999999915E-2</v>
      </c>
      <c r="F93">
        <f t="shared" si="5"/>
        <v>5.059094370090709E-3</v>
      </c>
      <c r="I93">
        <v>1.994152623</v>
      </c>
    </row>
    <row r="94" spans="1:9" x14ac:dyDescent="0.45">
      <c r="A94" t="s">
        <v>75</v>
      </c>
      <c r="B94">
        <v>2.0144990229999999</v>
      </c>
      <c r="C94">
        <v>2.1194583730000001</v>
      </c>
      <c r="D94">
        <f t="shared" si="3"/>
        <v>0.10495935000000012</v>
      </c>
      <c r="E94">
        <f t="shared" si="4"/>
        <v>0.10495935000000012</v>
      </c>
      <c r="F94">
        <f t="shared" si="5"/>
        <v>1.1016465152422526E-2</v>
      </c>
      <c r="I94">
        <v>2.0144990229999999</v>
      </c>
    </row>
    <row r="95" spans="1:9" x14ac:dyDescent="0.45">
      <c r="A95" t="s">
        <v>76</v>
      </c>
      <c r="B95">
        <v>2.0277865980000001</v>
      </c>
      <c r="C95">
        <v>2.151713574</v>
      </c>
      <c r="D95">
        <f t="shared" si="3"/>
        <v>0.12392697599999991</v>
      </c>
      <c r="E95">
        <f t="shared" si="4"/>
        <v>0.12392697599999991</v>
      </c>
      <c r="F95">
        <f t="shared" si="5"/>
        <v>1.5357895380504553E-2</v>
      </c>
      <c r="I95">
        <v>2.0277865980000001</v>
      </c>
    </row>
    <row r="96" spans="1:9" x14ac:dyDescent="0.45">
      <c r="A96" t="s">
        <v>77</v>
      </c>
      <c r="B96">
        <v>1.98772364</v>
      </c>
      <c r="C96">
        <v>2.108776743</v>
      </c>
      <c r="D96">
        <f t="shared" si="3"/>
        <v>0.12105310299999994</v>
      </c>
      <c r="E96">
        <f t="shared" si="4"/>
        <v>0.12105310299999994</v>
      </c>
      <c r="F96">
        <f t="shared" si="5"/>
        <v>1.4653853745928595E-2</v>
      </c>
      <c r="I96">
        <v>1.98772364</v>
      </c>
    </row>
    <row r="97" spans="1:9" x14ac:dyDescent="0.45">
      <c r="A97" t="s">
        <v>78</v>
      </c>
      <c r="B97">
        <v>2.044943741</v>
      </c>
      <c r="C97">
        <v>2.1459637059999999</v>
      </c>
      <c r="D97">
        <f t="shared" si="3"/>
        <v>0.10101996499999988</v>
      </c>
      <c r="E97">
        <f t="shared" si="4"/>
        <v>0.10101996499999988</v>
      </c>
      <c r="F97">
        <f t="shared" si="5"/>
        <v>1.0205033328601201E-2</v>
      </c>
      <c r="I97">
        <v>2.044943741</v>
      </c>
    </row>
    <row r="98" spans="1:9" x14ac:dyDescent="0.45">
      <c r="A98" t="s">
        <v>79</v>
      </c>
      <c r="B98">
        <v>2.0246538460000001</v>
      </c>
      <c r="C98">
        <v>2.0305386219999999</v>
      </c>
      <c r="D98">
        <f t="shared" si="3"/>
        <v>5.8847759999998139E-3</v>
      </c>
      <c r="E98">
        <f t="shared" si="4"/>
        <v>5.8847759999998139E-3</v>
      </c>
      <c r="F98">
        <f t="shared" si="5"/>
        <v>3.4630588570173812E-5</v>
      </c>
      <c r="I98">
        <v>2.0246538460000001</v>
      </c>
    </row>
    <row r="99" spans="1:9" x14ac:dyDescent="0.45">
      <c r="A99" t="s">
        <v>80</v>
      </c>
      <c r="B99">
        <v>2.082727475</v>
      </c>
      <c r="C99">
        <v>1.9370524229999999</v>
      </c>
      <c r="D99">
        <f t="shared" si="3"/>
        <v>-0.14567505200000008</v>
      </c>
      <c r="E99">
        <f t="shared" si="4"/>
        <v>0.14567505200000008</v>
      </c>
      <c r="F99">
        <f t="shared" si="5"/>
        <v>2.1221220775202727E-2</v>
      </c>
      <c r="I99">
        <v>2.082727475</v>
      </c>
    </row>
    <row r="100" spans="1:9" x14ac:dyDescent="0.45">
      <c r="A100" t="s">
        <v>81</v>
      </c>
      <c r="B100">
        <v>2.6417735420000001</v>
      </c>
      <c r="C100">
        <v>3.1642171010000002</v>
      </c>
      <c r="D100">
        <f t="shared" si="3"/>
        <v>0.52244355900000006</v>
      </c>
      <c r="E100">
        <f t="shared" si="4"/>
        <v>0.52244355900000006</v>
      </c>
      <c r="F100">
        <f t="shared" si="5"/>
        <v>0.27294727234058652</v>
      </c>
      <c r="I100">
        <v>2.6417735420000001</v>
      </c>
    </row>
    <row r="101" spans="1:9" x14ac:dyDescent="0.45">
      <c r="A101" t="s">
        <v>82</v>
      </c>
      <c r="B101">
        <v>2.0517278559999998</v>
      </c>
      <c r="C101">
        <v>1.997085974</v>
      </c>
      <c r="D101">
        <f t="shared" si="3"/>
        <v>-5.4641881999999864E-2</v>
      </c>
      <c r="E101">
        <f t="shared" si="4"/>
        <v>5.4641881999999864E-2</v>
      </c>
      <c r="F101">
        <f t="shared" si="5"/>
        <v>2.9857352685019093E-3</v>
      </c>
      <c r="I101">
        <v>2.0517278559999998</v>
      </c>
    </row>
    <row r="102" spans="1:9" x14ac:dyDescent="0.45">
      <c r="A102" t="s">
        <v>83</v>
      </c>
      <c r="B102">
        <v>1.987097492</v>
      </c>
      <c r="C102">
        <v>1.891748797</v>
      </c>
      <c r="D102">
        <f t="shared" si="3"/>
        <v>-9.5348694999999983E-2</v>
      </c>
      <c r="E102">
        <f t="shared" si="4"/>
        <v>9.5348694999999983E-2</v>
      </c>
      <c r="F102">
        <f t="shared" si="5"/>
        <v>9.0913736382030215E-3</v>
      </c>
      <c r="I102">
        <v>1.987097492</v>
      </c>
    </row>
    <row r="103" spans="1:9" x14ac:dyDescent="0.45">
      <c r="A103" t="s">
        <v>84</v>
      </c>
      <c r="B103">
        <v>1.9677903830000001</v>
      </c>
      <c r="C103">
        <v>2.0426297510000002</v>
      </c>
      <c r="D103">
        <f t="shared" si="3"/>
        <v>7.4839368000000128E-2</v>
      </c>
      <c r="E103">
        <f t="shared" si="4"/>
        <v>7.4839368000000128E-2</v>
      </c>
      <c r="F103">
        <f t="shared" si="5"/>
        <v>5.6009310026394433E-3</v>
      </c>
      <c r="I103">
        <v>1.9677903830000001</v>
      </c>
    </row>
    <row r="104" spans="1:9" x14ac:dyDescent="0.45">
      <c r="A104" t="s">
        <v>139</v>
      </c>
      <c r="B104">
        <v>1.9655807780000001</v>
      </c>
      <c r="C104">
        <v>2.0556658840000002</v>
      </c>
      <c r="D104">
        <f t="shared" si="3"/>
        <v>9.0085106000000081E-2</v>
      </c>
      <c r="E104">
        <f t="shared" si="4"/>
        <v>9.0085106000000081E-2</v>
      </c>
      <c r="F104">
        <f t="shared" si="5"/>
        <v>8.1153263230312501E-3</v>
      </c>
      <c r="I104">
        <v>1.9655807780000001</v>
      </c>
    </row>
    <row r="105" spans="1:9" x14ac:dyDescent="0.45">
      <c r="A105" t="s">
        <v>140</v>
      </c>
      <c r="B105">
        <v>1.941240565</v>
      </c>
      <c r="C105">
        <v>2.0429948360000001</v>
      </c>
      <c r="D105">
        <f t="shared" si="3"/>
        <v>0.10175427100000012</v>
      </c>
      <c r="E105">
        <f t="shared" si="4"/>
        <v>0.10175427100000012</v>
      </c>
      <c r="F105">
        <f t="shared" si="5"/>
        <v>1.0353931666741464E-2</v>
      </c>
      <c r="I105">
        <v>1.941240565</v>
      </c>
    </row>
    <row r="106" spans="1:9" x14ac:dyDescent="0.45">
      <c r="A106" t="s">
        <v>85</v>
      </c>
      <c r="B106">
        <v>1.992911264</v>
      </c>
      <c r="C106">
        <v>2.104313017</v>
      </c>
      <c r="D106">
        <f t="shared" si="3"/>
        <v>0.11140175299999999</v>
      </c>
      <c r="E106">
        <f t="shared" si="4"/>
        <v>0.11140175299999999</v>
      </c>
      <c r="F106">
        <f t="shared" si="5"/>
        <v>1.2410350571473007E-2</v>
      </c>
      <c r="I106">
        <v>1.992911264</v>
      </c>
    </row>
    <row r="107" spans="1:9" x14ac:dyDescent="0.45">
      <c r="A107" t="s">
        <v>86</v>
      </c>
      <c r="B107">
        <v>1.95924623</v>
      </c>
      <c r="C107">
        <v>2.0210322930000002</v>
      </c>
      <c r="D107">
        <f t="shared" si="3"/>
        <v>6.1786063000000224E-2</v>
      </c>
      <c r="E107">
        <f t="shared" si="4"/>
        <v>6.1786063000000224E-2</v>
      </c>
      <c r="F107">
        <f t="shared" si="5"/>
        <v>3.8175175810399968E-3</v>
      </c>
      <c r="I107">
        <v>1.95924623</v>
      </c>
    </row>
    <row r="108" spans="1:9" x14ac:dyDescent="0.45">
      <c r="A108" t="s">
        <v>87</v>
      </c>
      <c r="B108">
        <v>1.978972003</v>
      </c>
      <c r="C108">
        <v>2.0475400970000002</v>
      </c>
      <c r="D108">
        <f t="shared" si="3"/>
        <v>6.856809400000019E-2</v>
      </c>
      <c r="E108">
        <f t="shared" si="4"/>
        <v>6.856809400000019E-2</v>
      </c>
      <c r="F108">
        <f t="shared" si="5"/>
        <v>4.7015835147928625E-3</v>
      </c>
      <c r="I108">
        <v>1.978972003</v>
      </c>
    </row>
    <row r="109" spans="1:9" x14ac:dyDescent="0.45">
      <c r="A109" t="s">
        <v>88</v>
      </c>
      <c r="B109">
        <v>1.9520992770000001</v>
      </c>
      <c r="C109">
        <v>2.0395472880000001</v>
      </c>
      <c r="D109">
        <f t="shared" si="3"/>
        <v>8.7448010999999992E-2</v>
      </c>
      <c r="E109">
        <f t="shared" si="4"/>
        <v>8.7448010999999992E-2</v>
      </c>
      <c r="F109">
        <f t="shared" si="5"/>
        <v>7.6471546278561193E-3</v>
      </c>
      <c r="I109">
        <v>1.9520992770000001</v>
      </c>
    </row>
    <row r="110" spans="1:9" x14ac:dyDescent="0.45">
      <c r="A110" t="s">
        <v>89</v>
      </c>
      <c r="B110">
        <v>1.906731489</v>
      </c>
      <c r="C110">
        <v>1.977533856</v>
      </c>
      <c r="D110">
        <f t="shared" si="3"/>
        <v>7.0802366999999977E-2</v>
      </c>
      <c r="E110">
        <f t="shared" si="4"/>
        <v>7.0802366999999977E-2</v>
      </c>
      <c r="F110">
        <f t="shared" si="5"/>
        <v>5.0129751728026856E-3</v>
      </c>
      <c r="I110">
        <v>1.906731489</v>
      </c>
    </row>
    <row r="111" spans="1:9" x14ac:dyDescent="0.45">
      <c r="A111" t="s">
        <v>90</v>
      </c>
      <c r="B111">
        <v>1.9458803060000001</v>
      </c>
      <c r="C111">
        <v>2.0802321319999999</v>
      </c>
      <c r="D111">
        <f t="shared" si="3"/>
        <v>0.13435182599999984</v>
      </c>
      <c r="E111">
        <f t="shared" si="4"/>
        <v>0.13435182599999984</v>
      </c>
      <c r="F111">
        <f t="shared" si="5"/>
        <v>1.8050413149534233E-2</v>
      </c>
      <c r="I111">
        <v>1.9458803060000001</v>
      </c>
    </row>
    <row r="112" spans="1:9" x14ac:dyDescent="0.45">
      <c r="A112" t="s">
        <v>91</v>
      </c>
      <c r="B112">
        <v>1.9944630640000001</v>
      </c>
      <c r="C112">
        <v>1.978537413</v>
      </c>
      <c r="D112">
        <f t="shared" si="3"/>
        <v>-1.5925651000000096E-2</v>
      </c>
      <c r="E112">
        <f t="shared" si="4"/>
        <v>1.5925651000000096E-2</v>
      </c>
      <c r="F112">
        <f t="shared" si="5"/>
        <v>2.5362635977380408E-4</v>
      </c>
      <c r="I112">
        <v>1.9944630640000001</v>
      </c>
    </row>
    <row r="113" spans="1:9" x14ac:dyDescent="0.45">
      <c r="A113" t="s">
        <v>92</v>
      </c>
      <c r="B113">
        <v>1.9768904009999999</v>
      </c>
      <c r="C113">
        <v>2.0080901529999999</v>
      </c>
      <c r="D113">
        <f t="shared" si="3"/>
        <v>3.1199752000000025E-2</v>
      </c>
      <c r="E113">
        <f t="shared" si="4"/>
        <v>3.1199752000000025E-2</v>
      </c>
      <c r="F113">
        <f t="shared" si="5"/>
        <v>9.7342452486150557E-4</v>
      </c>
      <c r="I113">
        <v>1.9768904009999999</v>
      </c>
    </row>
    <row r="114" spans="1:9" x14ac:dyDescent="0.45">
      <c r="A114" t="s">
        <v>93</v>
      </c>
      <c r="B114">
        <v>1.9426313159999999</v>
      </c>
      <c r="C114">
        <v>2.032187226</v>
      </c>
      <c r="D114">
        <f t="shared" si="3"/>
        <v>8.9555910000000072E-2</v>
      </c>
      <c r="E114">
        <f t="shared" si="4"/>
        <v>8.9555910000000072E-2</v>
      </c>
      <c r="F114">
        <f t="shared" si="5"/>
        <v>8.020261015928112E-3</v>
      </c>
      <c r="I114">
        <v>1.9426313159999999</v>
      </c>
    </row>
    <row r="115" spans="1:9" x14ac:dyDescent="0.45">
      <c r="A115" t="s">
        <v>94</v>
      </c>
      <c r="B115">
        <v>1.964123783</v>
      </c>
      <c r="C115">
        <v>2.0229907059999999</v>
      </c>
      <c r="D115">
        <f t="shared" si="3"/>
        <v>5.8866922999999849E-2</v>
      </c>
      <c r="E115">
        <f t="shared" si="4"/>
        <v>5.8866922999999849E-2</v>
      </c>
      <c r="F115">
        <f t="shared" si="5"/>
        <v>3.4653146234879112E-3</v>
      </c>
      <c r="I115">
        <v>1.964123783</v>
      </c>
    </row>
    <row r="116" spans="1:9" x14ac:dyDescent="0.45">
      <c r="A116" t="s">
        <v>95</v>
      </c>
      <c r="B116">
        <v>1.9870110620000001</v>
      </c>
      <c r="C116">
        <v>2.0392063029999998</v>
      </c>
      <c r="D116">
        <f t="shared" si="3"/>
        <v>5.2195240999999726E-2</v>
      </c>
      <c r="E116">
        <f t="shared" si="4"/>
        <v>5.2195240999999726E-2</v>
      </c>
      <c r="F116">
        <f t="shared" si="5"/>
        <v>2.7243431830480526E-3</v>
      </c>
      <c r="I116">
        <v>1.9870110620000001</v>
      </c>
    </row>
    <row r="117" spans="1:9" x14ac:dyDescent="0.45">
      <c r="A117" t="s">
        <v>96</v>
      </c>
      <c r="B117">
        <v>2.006666241</v>
      </c>
      <c r="C117">
        <v>2.0665052350000002</v>
      </c>
      <c r="D117">
        <f t="shared" si="3"/>
        <v>5.9838994000000145E-2</v>
      </c>
      <c r="E117">
        <f t="shared" si="4"/>
        <v>5.9838994000000145E-2</v>
      </c>
      <c r="F117">
        <f t="shared" si="5"/>
        <v>3.5807052029320535E-3</v>
      </c>
      <c r="I117">
        <v>2.006666241</v>
      </c>
    </row>
    <row r="118" spans="1:9" x14ac:dyDescent="0.45">
      <c r="A118" t="s">
        <v>97</v>
      </c>
      <c r="B118">
        <v>2.0667647159999998</v>
      </c>
      <c r="C118">
        <v>2.0328102819999998</v>
      </c>
      <c r="D118">
        <f t="shared" si="3"/>
        <v>-3.3954433999999978E-2</v>
      </c>
      <c r="E118">
        <f t="shared" si="4"/>
        <v>3.3954433999999978E-2</v>
      </c>
      <c r="F118">
        <f t="shared" si="5"/>
        <v>1.1529035882603545E-3</v>
      </c>
      <c r="I118">
        <v>2.0667647159999998</v>
      </c>
    </row>
    <row r="119" spans="1:9" x14ac:dyDescent="0.45">
      <c r="A119" t="s">
        <v>98</v>
      </c>
      <c r="B119">
        <v>1.96458066</v>
      </c>
      <c r="C119">
        <v>2.14797686</v>
      </c>
      <c r="D119">
        <f t="shared" si="3"/>
        <v>0.18339620000000001</v>
      </c>
      <c r="E119">
        <f t="shared" si="4"/>
        <v>0.18339620000000001</v>
      </c>
      <c r="F119">
        <f t="shared" si="5"/>
        <v>3.3634166174440004E-2</v>
      </c>
      <c r="I119">
        <v>1.96458066</v>
      </c>
    </row>
    <row r="120" spans="1:9" x14ac:dyDescent="0.45">
      <c r="A120" t="s">
        <v>99</v>
      </c>
      <c r="B120">
        <v>1.9750213000000001</v>
      </c>
      <c r="C120">
        <v>2.0839084529999998</v>
      </c>
      <c r="D120">
        <f t="shared" si="3"/>
        <v>0.10888715299999974</v>
      </c>
      <c r="E120">
        <f t="shared" si="4"/>
        <v>0.10888715299999974</v>
      </c>
      <c r="F120">
        <f t="shared" si="5"/>
        <v>1.1856412088445352E-2</v>
      </c>
      <c r="I120">
        <v>1.9750213000000001</v>
      </c>
    </row>
    <row r="121" spans="1:9" x14ac:dyDescent="0.45">
      <c r="A121" t="s">
        <v>100</v>
      </c>
      <c r="B121">
        <v>2.0314778279999999</v>
      </c>
      <c r="C121">
        <v>2.2130369220000001</v>
      </c>
      <c r="D121">
        <f t="shared" si="3"/>
        <v>0.18155909400000025</v>
      </c>
      <c r="E121">
        <f t="shared" si="4"/>
        <v>0.18155909400000025</v>
      </c>
      <c r="F121">
        <f t="shared" si="5"/>
        <v>3.2963704614100926E-2</v>
      </c>
      <c r="I121">
        <v>2.0314778279999999</v>
      </c>
    </row>
    <row r="122" spans="1:9" x14ac:dyDescent="0.45">
      <c r="A122" t="s">
        <v>101</v>
      </c>
      <c r="B122">
        <v>1.8842443280000001</v>
      </c>
      <c r="C122">
        <v>2.1849414989999998</v>
      </c>
      <c r="D122">
        <f t="shared" si="3"/>
        <v>0.30069717099999971</v>
      </c>
      <c r="E122">
        <f t="shared" si="4"/>
        <v>0.30069717099999971</v>
      </c>
      <c r="F122">
        <f t="shared" si="5"/>
        <v>9.0418788647403062E-2</v>
      </c>
      <c r="I122">
        <v>1.8842443280000001</v>
      </c>
    </row>
    <row r="123" spans="1:9" x14ac:dyDescent="0.45">
      <c r="A123" t="s">
        <v>102</v>
      </c>
      <c r="B123">
        <v>1.9035706450000001</v>
      </c>
      <c r="C123">
        <v>2.0410243779999999</v>
      </c>
      <c r="D123">
        <f t="shared" si="3"/>
        <v>0.13745373299999986</v>
      </c>
      <c r="E123">
        <f t="shared" si="4"/>
        <v>0.13745373299999986</v>
      </c>
      <c r="F123">
        <f t="shared" si="5"/>
        <v>1.8893528715635249E-2</v>
      </c>
      <c r="I123">
        <v>1.9035706450000001</v>
      </c>
    </row>
    <row r="124" spans="1:9" x14ac:dyDescent="0.45">
      <c r="A124" t="s">
        <v>103</v>
      </c>
      <c r="B124">
        <v>2.0239429790000001</v>
      </c>
      <c r="C124">
        <v>2.2363542980000002</v>
      </c>
      <c r="D124">
        <f t="shared" si="3"/>
        <v>0.2124113190000001</v>
      </c>
      <c r="E124">
        <f t="shared" si="4"/>
        <v>0.2124113190000001</v>
      </c>
      <c r="F124">
        <f t="shared" si="5"/>
        <v>4.5118568439319801E-2</v>
      </c>
      <c r="I124">
        <v>2.0239429790000001</v>
      </c>
    </row>
    <row r="125" spans="1:9" x14ac:dyDescent="0.45">
      <c r="A125" t="s">
        <v>104</v>
      </c>
      <c r="B125">
        <v>1.954256596</v>
      </c>
      <c r="C125">
        <v>2.048257666</v>
      </c>
      <c r="D125">
        <f t="shared" si="3"/>
        <v>9.400107000000002E-2</v>
      </c>
      <c r="E125">
        <f t="shared" si="4"/>
        <v>9.400107000000002E-2</v>
      </c>
      <c r="F125">
        <f t="shared" si="5"/>
        <v>8.8362011611449031E-3</v>
      </c>
      <c r="I125">
        <v>1.954256596</v>
      </c>
    </row>
    <row r="126" spans="1:9" x14ac:dyDescent="0.45">
      <c r="A126" t="s">
        <v>105</v>
      </c>
      <c r="B126">
        <v>1.9557912690000001</v>
      </c>
      <c r="C126">
        <v>2.034183772</v>
      </c>
      <c r="D126">
        <f t="shared" si="3"/>
        <v>7.8392502999999891E-2</v>
      </c>
      <c r="E126">
        <f t="shared" si="4"/>
        <v>7.8392502999999891E-2</v>
      </c>
      <c r="F126">
        <f t="shared" si="5"/>
        <v>6.1453845266049916E-3</v>
      </c>
      <c r="I126">
        <v>1.9557912690000001</v>
      </c>
    </row>
    <row r="127" spans="1:9" x14ac:dyDescent="0.45">
      <c r="A127" t="s">
        <v>106</v>
      </c>
      <c r="B127">
        <v>1.9865901379999999</v>
      </c>
      <c r="C127">
        <v>2.0895536469999998</v>
      </c>
      <c r="D127">
        <f t="shared" si="3"/>
        <v>0.10296350899999984</v>
      </c>
      <c r="E127">
        <f t="shared" si="4"/>
        <v>0.10296350899999984</v>
      </c>
      <c r="F127">
        <f t="shared" si="5"/>
        <v>1.0601484185593049E-2</v>
      </c>
      <c r="I127">
        <v>1.9865901379999999</v>
      </c>
    </row>
    <row r="128" spans="1:9" x14ac:dyDescent="0.45">
      <c r="A128" t="s">
        <v>141</v>
      </c>
      <c r="B128">
        <v>1.9806630489999999</v>
      </c>
      <c r="C128">
        <v>2.0973324409999998</v>
      </c>
      <c r="D128">
        <f t="shared" si="3"/>
        <v>0.11666939199999993</v>
      </c>
      <c r="E128">
        <f t="shared" si="4"/>
        <v>0.11666939199999993</v>
      </c>
      <c r="F128">
        <f t="shared" si="5"/>
        <v>1.3611747029649648E-2</v>
      </c>
      <c r="I128">
        <v>1.9806630489999999</v>
      </c>
    </row>
    <row r="129" spans="1:9" x14ac:dyDescent="0.45">
      <c r="A129" t="s">
        <v>142</v>
      </c>
      <c r="B129">
        <v>1.9539431890000001</v>
      </c>
      <c r="C129">
        <v>2.0068262840000002</v>
      </c>
      <c r="D129">
        <f t="shared" ref="D129:D135" si="6">(C129-B129)</f>
        <v>5.2883095000000102E-2</v>
      </c>
      <c r="E129">
        <f t="shared" ref="E129:E135" si="7">ABS(D129)</f>
        <v>5.2883095000000102E-2</v>
      </c>
      <c r="F129">
        <f t="shared" ref="F129:F135" si="8">E129^2</f>
        <v>2.7966217367790358E-3</v>
      </c>
      <c r="I129">
        <v>1.9539431890000001</v>
      </c>
    </row>
    <row r="130" spans="1:9" x14ac:dyDescent="0.45">
      <c r="A130" t="s">
        <v>107</v>
      </c>
      <c r="B130">
        <v>1.962805328</v>
      </c>
      <c r="C130">
        <v>2.0588725750000001</v>
      </c>
      <c r="D130">
        <f t="shared" si="6"/>
        <v>9.6067247000000133E-2</v>
      </c>
      <c r="E130">
        <f t="shared" si="7"/>
        <v>9.6067247000000133E-2</v>
      </c>
      <c r="F130">
        <f t="shared" si="8"/>
        <v>9.2289159461590338E-3</v>
      </c>
      <c r="I130">
        <v>1.962805328</v>
      </c>
    </row>
    <row r="131" spans="1:9" x14ac:dyDescent="0.45">
      <c r="A131" t="s">
        <v>108</v>
      </c>
      <c r="B131">
        <v>1.9776009480000001</v>
      </c>
      <c r="C131">
        <v>2.0257491019999998</v>
      </c>
      <c r="D131">
        <f t="shared" si="6"/>
        <v>4.8148153999999721E-2</v>
      </c>
      <c r="E131">
        <f t="shared" si="7"/>
        <v>4.8148153999999721E-2</v>
      </c>
      <c r="F131">
        <f t="shared" si="8"/>
        <v>2.318244733607689E-3</v>
      </c>
      <c r="I131">
        <v>1.9776009480000001</v>
      </c>
    </row>
    <row r="132" spans="1:9" x14ac:dyDescent="0.45">
      <c r="A132" t="s">
        <v>109</v>
      </c>
      <c r="B132">
        <v>1.926485827</v>
      </c>
      <c r="C132">
        <v>2.0128677169999998</v>
      </c>
      <c r="D132">
        <f t="shared" si="6"/>
        <v>8.6381889999999739E-2</v>
      </c>
      <c r="E132">
        <f t="shared" si="7"/>
        <v>8.6381889999999739E-2</v>
      </c>
      <c r="F132">
        <f t="shared" si="8"/>
        <v>7.4618309199720552E-3</v>
      </c>
      <c r="I132">
        <v>1.926485827</v>
      </c>
    </row>
    <row r="133" spans="1:9" x14ac:dyDescent="0.45">
      <c r="A133" t="s">
        <v>110</v>
      </c>
      <c r="B133">
        <v>1.9736571780000001</v>
      </c>
      <c r="C133">
        <v>2.0665362319999998</v>
      </c>
      <c r="D133">
        <f t="shared" si="6"/>
        <v>9.2879053999999739E-2</v>
      </c>
      <c r="E133">
        <f t="shared" si="7"/>
        <v>9.2879053999999739E-2</v>
      </c>
      <c r="F133">
        <f t="shared" si="8"/>
        <v>8.6265186719348668E-3</v>
      </c>
      <c r="I133">
        <v>1.9736571780000001</v>
      </c>
    </row>
    <row r="134" spans="1:9" x14ac:dyDescent="0.45">
      <c r="A134" t="s">
        <v>111</v>
      </c>
      <c r="B134">
        <v>1.9525257869999999</v>
      </c>
      <c r="C134">
        <v>2.0218994119999998</v>
      </c>
      <c r="D134">
        <f t="shared" si="6"/>
        <v>6.9373624999999883E-2</v>
      </c>
      <c r="E134">
        <f t="shared" si="7"/>
        <v>6.9373624999999883E-2</v>
      </c>
      <c r="F134">
        <f t="shared" si="8"/>
        <v>4.8126998456406089E-3</v>
      </c>
      <c r="I134">
        <v>1.9525257869999999</v>
      </c>
    </row>
    <row r="135" spans="1:9" x14ac:dyDescent="0.45">
      <c r="A135" t="s">
        <v>112</v>
      </c>
      <c r="B135">
        <v>1.9523121029999999</v>
      </c>
      <c r="C135">
        <v>2.0404390440000002</v>
      </c>
      <c r="D135">
        <f t="shared" si="6"/>
        <v>8.8126941000000292E-2</v>
      </c>
      <c r="E135">
        <f t="shared" si="7"/>
        <v>8.8126941000000292E-2</v>
      </c>
      <c r="F135">
        <f t="shared" si="8"/>
        <v>7.7663577300175323E-3</v>
      </c>
      <c r="I135">
        <v>1.9523121029999999</v>
      </c>
    </row>
    <row r="136" spans="1:9" x14ac:dyDescent="0.45">
      <c r="D136">
        <f>AVERAGE(D2:D135)</f>
        <v>0.1118672649925373</v>
      </c>
      <c r="E136">
        <f>AVERAGE(E2:E135)</f>
        <v>0.1187479557089552</v>
      </c>
      <c r="F136">
        <f>SQRT(AVERAGE(F2:F135))</f>
        <v>0.28674904899956449</v>
      </c>
    </row>
    <row r="137" spans="1:9" x14ac:dyDescent="0.45">
      <c r="B137">
        <f>MIN(B2:B135)</f>
        <v>1.8320330760000001</v>
      </c>
      <c r="C137">
        <f>MIN(C2:C135)</f>
        <v>1.891748797</v>
      </c>
    </row>
    <row r="138" spans="1:9" x14ac:dyDescent="0.45">
      <c r="B138">
        <f>MAX(B2:B135)</f>
        <v>2.6417735420000001</v>
      </c>
      <c r="C138">
        <f>MAX(C2:C135)</f>
        <v>5.3006383479999997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5FF7-7D6A-4A0C-8DCE-177359E61130}">
  <dimension ref="A1:AU137"/>
  <sheetViews>
    <sheetView workbookViewId="0">
      <selection activeCell="K8" sqref="K8"/>
    </sheetView>
  </sheetViews>
  <sheetFormatPr defaultRowHeight="14.25" x14ac:dyDescent="0.45"/>
  <cols>
    <col min="15" max="15" width="11.46484375" customWidth="1"/>
    <col min="16" max="16" width="11.1328125" customWidth="1"/>
  </cols>
  <sheetData>
    <row r="1" spans="1:47" s="2" customFormat="1" x14ac:dyDescent="0.45">
      <c r="A1" s="2" t="s">
        <v>6</v>
      </c>
      <c r="B1" s="2" t="s">
        <v>148</v>
      </c>
      <c r="C1" s="2" t="s">
        <v>149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143</v>
      </c>
    </row>
    <row r="2" spans="1:47" x14ac:dyDescent="0.45">
      <c r="A2" t="s">
        <v>113</v>
      </c>
      <c r="B2">
        <v>1.417921918</v>
      </c>
      <c r="C2">
        <v>1.426043204</v>
      </c>
      <c r="D2">
        <f>(C2-B2)</f>
        <v>8.1212859999999498E-3</v>
      </c>
      <c r="E2">
        <f>ABS(D2)</f>
        <v>8.1212859999999498E-3</v>
      </c>
      <c r="F2">
        <f>E2^2</f>
        <v>6.5955286293795191E-5</v>
      </c>
      <c r="G2">
        <f>CORREL(B2:B134,C2:C134)</f>
        <v>0.79585961402128103</v>
      </c>
      <c r="H2">
        <f>G2^2</f>
        <v>0.63339252523010237</v>
      </c>
      <c r="I2">
        <v>1.417921918</v>
      </c>
    </row>
    <row r="3" spans="1:47" x14ac:dyDescent="0.45">
      <c r="A3" t="s">
        <v>114</v>
      </c>
      <c r="B3">
        <v>1.4194838219999999</v>
      </c>
      <c r="C3">
        <v>1.4253369849999999</v>
      </c>
      <c r="D3">
        <f t="shared" ref="D3:D64" si="0">(C3-B3)</f>
        <v>5.8531630000000501E-3</v>
      </c>
      <c r="E3">
        <f t="shared" ref="E3:E64" si="1">ABS(D3)</f>
        <v>5.8531630000000501E-3</v>
      </c>
      <c r="F3">
        <f t="shared" ref="F3:F64" si="2">E3^2</f>
        <v>3.4259517104569585E-5</v>
      </c>
      <c r="I3">
        <v>1.4194838219999999</v>
      </c>
    </row>
    <row r="4" spans="1:47" x14ac:dyDescent="0.45">
      <c r="A4" t="s">
        <v>115</v>
      </c>
      <c r="B4">
        <v>1.415015712</v>
      </c>
      <c r="C4">
        <v>1.421914098</v>
      </c>
      <c r="D4">
        <f t="shared" si="0"/>
        <v>6.8983860000000341E-3</v>
      </c>
      <c r="E4">
        <f t="shared" si="1"/>
        <v>6.8983860000000341E-3</v>
      </c>
      <c r="F4">
        <f t="shared" si="2"/>
        <v>4.7587729404996469E-5</v>
      </c>
      <c r="I4">
        <v>1.415015712</v>
      </c>
    </row>
    <row r="5" spans="1:47" x14ac:dyDescent="0.45">
      <c r="A5" t="s">
        <v>116</v>
      </c>
      <c r="B5">
        <v>1.413509321</v>
      </c>
      <c r="C5">
        <v>1.424913128</v>
      </c>
      <c r="D5">
        <f t="shared" si="0"/>
        <v>1.1403806999999988E-2</v>
      </c>
      <c r="E5">
        <f t="shared" si="1"/>
        <v>1.1403806999999988E-2</v>
      </c>
      <c r="F5">
        <f t="shared" si="2"/>
        <v>1.3004681409324874E-4</v>
      </c>
      <c r="I5">
        <v>1.413509321</v>
      </c>
    </row>
    <row r="6" spans="1:47" x14ac:dyDescent="0.45">
      <c r="A6" t="s">
        <v>117</v>
      </c>
      <c r="B6">
        <v>1.4225022979999999</v>
      </c>
      <c r="C6">
        <v>1.423648335</v>
      </c>
      <c r="D6">
        <f t="shared" si="0"/>
        <v>1.1460370000000442E-3</v>
      </c>
      <c r="E6">
        <f t="shared" si="1"/>
        <v>1.1460370000000442E-3</v>
      </c>
      <c r="F6">
        <f t="shared" si="2"/>
        <v>1.3134008053691012E-6</v>
      </c>
      <c r="I6">
        <v>1.4225022979999999</v>
      </c>
    </row>
    <row r="7" spans="1:47" x14ac:dyDescent="0.45">
      <c r="A7" t="s">
        <v>118</v>
      </c>
      <c r="B7">
        <v>1.415468057</v>
      </c>
      <c r="C7">
        <v>1.4240206900000001</v>
      </c>
      <c r="D7">
        <f t="shared" si="0"/>
        <v>8.5526330000000872E-3</v>
      </c>
      <c r="E7">
        <f t="shared" si="1"/>
        <v>8.5526330000000872E-3</v>
      </c>
      <c r="F7">
        <f t="shared" si="2"/>
        <v>7.3147531232690497E-5</v>
      </c>
      <c r="I7">
        <v>1.415468057</v>
      </c>
    </row>
    <row r="8" spans="1:47" x14ac:dyDescent="0.45">
      <c r="A8" t="s">
        <v>7</v>
      </c>
      <c r="B8">
        <v>1.4193721770000001</v>
      </c>
      <c r="C8">
        <v>1.4271161800000001</v>
      </c>
      <c r="D8">
        <f t="shared" si="0"/>
        <v>7.7440029999999993E-3</v>
      </c>
      <c r="E8">
        <f t="shared" si="1"/>
        <v>7.7440029999999993E-3</v>
      </c>
      <c r="F8">
        <f t="shared" si="2"/>
        <v>5.9969582464008992E-5</v>
      </c>
      <c r="I8">
        <v>1.4193721770000001</v>
      </c>
    </row>
    <row r="9" spans="1:47" x14ac:dyDescent="0.45">
      <c r="A9" t="s">
        <v>8</v>
      </c>
      <c r="B9">
        <v>1.4185362960000001</v>
      </c>
      <c r="C9">
        <v>1.422061628</v>
      </c>
      <c r="D9">
        <f t="shared" si="0"/>
        <v>3.5253319999999366E-3</v>
      </c>
      <c r="E9">
        <f t="shared" si="1"/>
        <v>3.5253319999999366E-3</v>
      </c>
      <c r="F9">
        <f t="shared" si="2"/>
        <v>1.2427965710223553E-5</v>
      </c>
      <c r="I9">
        <v>1.4185362960000001</v>
      </c>
    </row>
    <row r="10" spans="1:47" x14ac:dyDescent="0.45">
      <c r="A10" t="s">
        <v>9</v>
      </c>
      <c r="B10">
        <v>1.4213791440000001</v>
      </c>
      <c r="C10">
        <v>1.425197577</v>
      </c>
      <c r="D10">
        <f t="shared" si="0"/>
        <v>3.8184329999999544E-3</v>
      </c>
      <c r="E10">
        <f t="shared" si="1"/>
        <v>3.8184329999999544E-3</v>
      </c>
      <c r="F10">
        <f t="shared" si="2"/>
        <v>1.4580430575488652E-5</v>
      </c>
      <c r="I10">
        <v>1.4213791440000001</v>
      </c>
    </row>
    <row r="11" spans="1:47" x14ac:dyDescent="0.45">
      <c r="A11" t="s">
        <v>10</v>
      </c>
      <c r="B11">
        <v>1.420657936</v>
      </c>
      <c r="C11">
        <v>1.42637445</v>
      </c>
      <c r="D11">
        <f t="shared" si="0"/>
        <v>5.7165139999999504E-3</v>
      </c>
      <c r="E11">
        <f t="shared" si="1"/>
        <v>5.7165139999999504E-3</v>
      </c>
      <c r="F11">
        <f t="shared" si="2"/>
        <v>3.2678532312195429E-5</v>
      </c>
      <c r="I11">
        <v>1.420657936</v>
      </c>
    </row>
    <row r="12" spans="1:47" x14ac:dyDescent="0.45">
      <c r="A12" t="s">
        <v>11</v>
      </c>
      <c r="B12">
        <v>1.418044673</v>
      </c>
      <c r="C12">
        <v>1.424425101</v>
      </c>
      <c r="D12">
        <f t="shared" si="0"/>
        <v>6.380427999999938E-3</v>
      </c>
      <c r="E12">
        <f t="shared" si="1"/>
        <v>6.380427999999938E-3</v>
      </c>
      <c r="F12">
        <f t="shared" si="2"/>
        <v>4.0709861463183211E-5</v>
      </c>
      <c r="I12">
        <v>1.418044673</v>
      </c>
    </row>
    <row r="13" spans="1:47" x14ac:dyDescent="0.45">
      <c r="A13" t="s">
        <v>12</v>
      </c>
      <c r="B13">
        <v>1.4206619110000001</v>
      </c>
      <c r="C13">
        <v>1.426213304</v>
      </c>
      <c r="D13">
        <f t="shared" si="0"/>
        <v>5.5513929999999601E-3</v>
      </c>
      <c r="E13">
        <f t="shared" si="1"/>
        <v>5.5513929999999601E-3</v>
      </c>
      <c r="F13">
        <f t="shared" si="2"/>
        <v>3.0817964240448554E-5</v>
      </c>
      <c r="I13">
        <v>1.4206619110000001</v>
      </c>
    </row>
    <row r="14" spans="1:47" x14ac:dyDescent="0.45">
      <c r="A14" t="s">
        <v>13</v>
      </c>
      <c r="B14">
        <v>1.4199857</v>
      </c>
      <c r="C14">
        <v>1.4255460790000001</v>
      </c>
      <c r="D14">
        <f t="shared" si="0"/>
        <v>5.5603790000000597E-3</v>
      </c>
      <c r="E14">
        <f t="shared" si="1"/>
        <v>5.5603790000000597E-3</v>
      </c>
      <c r="F14">
        <f t="shared" si="2"/>
        <v>3.0917814623641664E-5</v>
      </c>
      <c r="I14">
        <v>1.4199857</v>
      </c>
    </row>
    <row r="15" spans="1:47" x14ac:dyDescent="0.45">
      <c r="A15" t="s">
        <v>119</v>
      </c>
      <c r="B15">
        <v>1.416507755</v>
      </c>
      <c r="C15">
        <v>1.4230378210000001</v>
      </c>
      <c r="D15">
        <f t="shared" si="0"/>
        <v>6.5300660000000565E-3</v>
      </c>
      <c r="E15">
        <f t="shared" si="1"/>
        <v>6.5300660000000565E-3</v>
      </c>
      <c r="F15">
        <f t="shared" si="2"/>
        <v>4.2641761964356737E-5</v>
      </c>
      <c r="I15">
        <v>1.416507755</v>
      </c>
      <c r="AU15" s="1"/>
    </row>
    <row r="16" spans="1:47" x14ac:dyDescent="0.45">
      <c r="A16" t="s">
        <v>14</v>
      </c>
      <c r="B16">
        <v>1.4162680670000001</v>
      </c>
      <c r="C16">
        <v>1.423573306</v>
      </c>
      <c r="D16">
        <f t="shared" si="0"/>
        <v>7.3052389999999079E-3</v>
      </c>
      <c r="E16">
        <f t="shared" si="1"/>
        <v>7.3052389999999079E-3</v>
      </c>
      <c r="F16">
        <f t="shared" si="2"/>
        <v>5.3366516847119651E-5</v>
      </c>
      <c r="I16">
        <v>1.4162680670000001</v>
      </c>
      <c r="AU16" s="1"/>
    </row>
    <row r="17" spans="1:47" x14ac:dyDescent="0.45">
      <c r="A17" t="s">
        <v>120</v>
      </c>
      <c r="B17">
        <v>1.413587953</v>
      </c>
      <c r="C17">
        <v>1.4202384969999999</v>
      </c>
      <c r="D17">
        <f t="shared" si="0"/>
        <v>6.6505439999999805E-3</v>
      </c>
      <c r="E17">
        <f t="shared" si="1"/>
        <v>6.6505439999999805E-3</v>
      </c>
      <c r="F17">
        <f t="shared" si="2"/>
        <v>4.4229735495935741E-5</v>
      </c>
      <c r="I17">
        <v>1.413587953</v>
      </c>
      <c r="AU17" s="1"/>
    </row>
    <row r="18" spans="1:47" x14ac:dyDescent="0.45">
      <c r="A18" t="s">
        <v>121</v>
      </c>
      <c r="B18">
        <v>1.4178599030000001</v>
      </c>
      <c r="C18">
        <v>1.4246349279999999</v>
      </c>
      <c r="D18">
        <f t="shared" si="0"/>
        <v>6.7750249999998235E-3</v>
      </c>
      <c r="E18">
        <f t="shared" si="1"/>
        <v>6.7750249999998235E-3</v>
      </c>
      <c r="F18">
        <f t="shared" si="2"/>
        <v>4.5900963750622612E-5</v>
      </c>
      <c r="I18">
        <v>1.4178599030000001</v>
      </c>
      <c r="AU18" s="1"/>
    </row>
    <row r="19" spans="1:47" x14ac:dyDescent="0.45">
      <c r="A19" t="s">
        <v>122</v>
      </c>
      <c r="B19">
        <v>1.412060141</v>
      </c>
      <c r="C19">
        <v>1.4178292969999999</v>
      </c>
      <c r="D19">
        <f t="shared" si="0"/>
        <v>5.769155999999942E-3</v>
      </c>
      <c r="E19">
        <f t="shared" si="1"/>
        <v>5.769155999999942E-3</v>
      </c>
      <c r="F19">
        <f t="shared" si="2"/>
        <v>3.3283160952335328E-5</v>
      </c>
      <c r="I19">
        <v>1.412060141</v>
      </c>
      <c r="AU19" s="1"/>
    </row>
    <row r="20" spans="1:47" x14ac:dyDescent="0.45">
      <c r="A20" t="s">
        <v>123</v>
      </c>
      <c r="B20">
        <v>1.418396459</v>
      </c>
      <c r="C20">
        <v>1.4237691859999999</v>
      </c>
      <c r="D20">
        <f t="shared" si="0"/>
        <v>5.3727269999999105E-3</v>
      </c>
      <c r="E20">
        <f t="shared" si="1"/>
        <v>5.3727269999999105E-3</v>
      </c>
      <c r="F20">
        <f t="shared" si="2"/>
        <v>2.886619541652804E-5</v>
      </c>
      <c r="I20">
        <v>1.418396459</v>
      </c>
    </row>
    <row r="21" spans="1:47" x14ac:dyDescent="0.45">
      <c r="A21" t="s">
        <v>124</v>
      </c>
      <c r="B21">
        <v>1.4204586450000001</v>
      </c>
      <c r="C21">
        <v>1.4266412740000001</v>
      </c>
      <c r="D21">
        <f t="shared" si="0"/>
        <v>6.182628999999995E-3</v>
      </c>
      <c r="E21">
        <f t="shared" si="1"/>
        <v>6.182628999999995E-3</v>
      </c>
      <c r="F21">
        <f t="shared" si="2"/>
        <v>3.8224901351640941E-5</v>
      </c>
      <c r="I21">
        <v>1.4204586450000001</v>
      </c>
    </row>
    <row r="22" spans="1:47" x14ac:dyDescent="0.45">
      <c r="A22" t="s">
        <v>125</v>
      </c>
      <c r="B22">
        <v>1.4168877790000001</v>
      </c>
      <c r="C22">
        <v>1.422327855</v>
      </c>
      <c r="D22">
        <f t="shared" si="0"/>
        <v>5.4400759999999604E-3</v>
      </c>
      <c r="E22">
        <f t="shared" si="1"/>
        <v>5.4400759999999604E-3</v>
      </c>
      <c r="F22">
        <f t="shared" si="2"/>
        <v>2.959442688577557E-5</v>
      </c>
      <c r="I22">
        <v>1.4168877790000001</v>
      </c>
    </row>
    <row r="23" spans="1:47" x14ac:dyDescent="0.45">
      <c r="A23" t="s">
        <v>15</v>
      </c>
      <c r="B23">
        <v>1.4221383089999999</v>
      </c>
      <c r="C23">
        <v>1.429186158</v>
      </c>
      <c r="D23">
        <f t="shared" si="0"/>
        <v>7.0478490000001059E-3</v>
      </c>
      <c r="E23">
        <f t="shared" si="1"/>
        <v>7.0478490000001059E-3</v>
      </c>
      <c r="F23">
        <f t="shared" si="2"/>
        <v>4.9672175526802492E-5</v>
      </c>
      <c r="I23">
        <v>1.4221383089999999</v>
      </c>
    </row>
    <row r="24" spans="1:47" x14ac:dyDescent="0.45">
      <c r="A24" t="s">
        <v>16</v>
      </c>
      <c r="B24">
        <v>1.418020268</v>
      </c>
      <c r="C24">
        <v>1.424026217</v>
      </c>
      <c r="D24">
        <f t="shared" si="0"/>
        <v>6.0059489999999549E-3</v>
      </c>
      <c r="E24">
        <f t="shared" si="1"/>
        <v>6.0059489999999549E-3</v>
      </c>
      <c r="F24">
        <f t="shared" si="2"/>
        <v>3.6071423390600459E-5</v>
      </c>
      <c r="I24">
        <v>1.418020268</v>
      </c>
    </row>
    <row r="25" spans="1:47" x14ac:dyDescent="0.45">
      <c r="A25" t="s">
        <v>17</v>
      </c>
      <c r="B25">
        <v>1.419345335</v>
      </c>
      <c r="C25">
        <v>1.4245639189999999</v>
      </c>
      <c r="D25">
        <f t="shared" si="0"/>
        <v>5.2185839999998596E-3</v>
      </c>
      <c r="E25">
        <f t="shared" si="1"/>
        <v>5.2185839999998596E-3</v>
      </c>
      <c r="F25">
        <f t="shared" si="2"/>
        <v>2.7233618965054533E-5</v>
      </c>
      <c r="I25">
        <v>1.419345335</v>
      </c>
    </row>
    <row r="26" spans="1:47" x14ac:dyDescent="0.45">
      <c r="A26" t="s">
        <v>19</v>
      </c>
      <c r="B26">
        <v>1.4197568739999999</v>
      </c>
      <c r="C26">
        <v>1.425421214</v>
      </c>
      <c r="D26">
        <f t="shared" si="0"/>
        <v>5.6643400000000454E-3</v>
      </c>
      <c r="E26">
        <f t="shared" si="1"/>
        <v>5.6643400000000454E-3</v>
      </c>
      <c r="F26">
        <f t="shared" si="2"/>
        <v>3.2084747635600516E-5</v>
      </c>
      <c r="I26">
        <v>1.4197568739999999</v>
      </c>
    </row>
    <row r="27" spans="1:47" x14ac:dyDescent="0.45">
      <c r="A27" t="s">
        <v>20</v>
      </c>
      <c r="B27">
        <v>1.415785297</v>
      </c>
      <c r="C27">
        <v>1.4237883170000001</v>
      </c>
      <c r="D27">
        <f t="shared" si="0"/>
        <v>8.0030200000000828E-3</v>
      </c>
      <c r="E27">
        <f t="shared" si="1"/>
        <v>8.0030200000000828E-3</v>
      </c>
      <c r="F27">
        <f t="shared" si="2"/>
        <v>6.4048329120401323E-5</v>
      </c>
      <c r="I27">
        <v>1.415785297</v>
      </c>
    </row>
    <row r="28" spans="1:47" x14ac:dyDescent="0.45">
      <c r="A28" t="s">
        <v>21</v>
      </c>
      <c r="B28">
        <v>1.4177962559999999</v>
      </c>
      <c r="C28">
        <v>1.4231364259999999</v>
      </c>
      <c r="D28">
        <f t="shared" si="0"/>
        <v>5.3401699999999774E-3</v>
      </c>
      <c r="E28">
        <f t="shared" si="1"/>
        <v>5.3401699999999774E-3</v>
      </c>
      <c r="F28">
        <f t="shared" si="2"/>
        <v>2.8517415628899758E-5</v>
      </c>
      <c r="I28">
        <v>1.4177962559999999</v>
      </c>
    </row>
    <row r="29" spans="1:47" x14ac:dyDescent="0.45">
      <c r="A29" t="s">
        <v>22</v>
      </c>
      <c r="B29">
        <v>1.416511699</v>
      </c>
      <c r="C29">
        <v>1.4243196060000001</v>
      </c>
      <c r="D29">
        <f t="shared" si="0"/>
        <v>7.8079070000001138E-3</v>
      </c>
      <c r="E29">
        <f t="shared" si="1"/>
        <v>7.8079070000001138E-3</v>
      </c>
      <c r="F29">
        <f t="shared" si="2"/>
        <v>6.0963411720650776E-5</v>
      </c>
      <c r="I29">
        <v>1.416511699</v>
      </c>
    </row>
    <row r="30" spans="1:47" x14ac:dyDescent="0.45">
      <c r="A30" t="s">
        <v>23</v>
      </c>
      <c r="B30">
        <v>1.4365673240000001</v>
      </c>
      <c r="C30">
        <v>1.4335214169999999</v>
      </c>
      <c r="D30">
        <f t="shared" si="0"/>
        <v>-3.0459070000001809E-3</v>
      </c>
      <c r="E30">
        <f t="shared" si="1"/>
        <v>3.0459070000001809E-3</v>
      </c>
      <c r="F30">
        <f t="shared" si="2"/>
        <v>9.277549452650102E-6</v>
      </c>
      <c r="I30">
        <v>1.4365673240000001</v>
      </c>
    </row>
    <row r="31" spans="1:47" x14ac:dyDescent="0.45">
      <c r="A31" t="s">
        <v>24</v>
      </c>
      <c r="B31">
        <v>1.4124032070000001</v>
      </c>
      <c r="C31">
        <v>1.4265398170000001</v>
      </c>
      <c r="D31">
        <f t="shared" si="0"/>
        <v>1.4136609999999994E-2</v>
      </c>
      <c r="E31">
        <f t="shared" si="1"/>
        <v>1.4136609999999994E-2</v>
      </c>
      <c r="F31">
        <f t="shared" si="2"/>
        <v>1.9984374229209983E-4</v>
      </c>
      <c r="I31">
        <v>1.4124032070000001</v>
      </c>
    </row>
    <row r="32" spans="1:47" x14ac:dyDescent="0.45">
      <c r="A32" t="s">
        <v>25</v>
      </c>
      <c r="B32">
        <v>1.4056937890000001</v>
      </c>
      <c r="C32">
        <v>1.4132236199999999</v>
      </c>
      <c r="D32">
        <f t="shared" si="0"/>
        <v>7.5298309999998203E-3</v>
      </c>
      <c r="E32">
        <f t="shared" si="1"/>
        <v>7.5298309999998203E-3</v>
      </c>
      <c r="F32">
        <f t="shared" si="2"/>
        <v>5.6698354888558297E-5</v>
      </c>
      <c r="I32">
        <v>1.4056937890000001</v>
      </c>
    </row>
    <row r="33" spans="1:9" x14ac:dyDescent="0.45">
      <c r="A33" t="s">
        <v>26</v>
      </c>
      <c r="B33">
        <v>1.4140466970000001</v>
      </c>
      <c r="C33">
        <v>1.4208167549999999</v>
      </c>
      <c r="D33">
        <f t="shared" si="0"/>
        <v>6.7700579999998567E-3</v>
      </c>
      <c r="E33">
        <f t="shared" si="1"/>
        <v>6.7700579999998567E-3</v>
      </c>
      <c r="F33">
        <f t="shared" si="2"/>
        <v>4.5833685323362058E-5</v>
      </c>
      <c r="I33">
        <v>1.4140466970000001</v>
      </c>
    </row>
    <row r="34" spans="1:9" x14ac:dyDescent="0.45">
      <c r="A34" t="s">
        <v>27</v>
      </c>
      <c r="B34">
        <v>1.4151681780000001</v>
      </c>
      <c r="C34">
        <v>1.424547988</v>
      </c>
      <c r="D34">
        <f t="shared" si="0"/>
        <v>9.3798099999999884E-3</v>
      </c>
      <c r="E34">
        <f t="shared" si="1"/>
        <v>9.3798099999999884E-3</v>
      </c>
      <c r="F34">
        <f t="shared" si="2"/>
        <v>8.798083563609978E-5</v>
      </c>
      <c r="I34">
        <v>1.4151681780000001</v>
      </c>
    </row>
    <row r="35" spans="1:9" x14ac:dyDescent="0.45">
      <c r="A35" t="s">
        <v>28</v>
      </c>
      <c r="B35">
        <v>1.4109659489999999</v>
      </c>
      <c r="C35">
        <v>1.415760981</v>
      </c>
      <c r="D35">
        <f t="shared" si="0"/>
        <v>4.7950320000000879E-3</v>
      </c>
      <c r="E35">
        <f t="shared" si="1"/>
        <v>4.7950320000000879E-3</v>
      </c>
      <c r="F35">
        <f t="shared" si="2"/>
        <v>2.2992331881024842E-5</v>
      </c>
      <c r="I35">
        <v>1.4109659489999999</v>
      </c>
    </row>
    <row r="36" spans="1:9" x14ac:dyDescent="0.45">
      <c r="A36" t="s">
        <v>29</v>
      </c>
      <c r="B36">
        <v>1.4164165879999999</v>
      </c>
      <c r="C36">
        <v>1.428265288</v>
      </c>
      <c r="D36">
        <f t="shared" si="0"/>
        <v>1.1848700000000045E-2</v>
      </c>
      <c r="E36">
        <f t="shared" si="1"/>
        <v>1.1848700000000045E-2</v>
      </c>
      <c r="F36">
        <f t="shared" si="2"/>
        <v>1.4039169169000108E-4</v>
      </c>
      <c r="I36">
        <v>1.4164165879999999</v>
      </c>
    </row>
    <row r="37" spans="1:9" x14ac:dyDescent="0.45">
      <c r="A37" t="s">
        <v>30</v>
      </c>
      <c r="B37">
        <v>1.4206427070000001</v>
      </c>
      <c r="C37">
        <v>1.421905712</v>
      </c>
      <c r="D37">
        <f t="shared" si="0"/>
        <v>1.2630049999999837E-3</v>
      </c>
      <c r="E37">
        <f t="shared" si="1"/>
        <v>1.2630049999999837E-3</v>
      </c>
      <c r="F37">
        <f t="shared" si="2"/>
        <v>1.5951816300249589E-6</v>
      </c>
      <c r="I37">
        <v>1.4206427070000001</v>
      </c>
    </row>
    <row r="38" spans="1:9" x14ac:dyDescent="0.45">
      <c r="A38" t="s">
        <v>31</v>
      </c>
      <c r="B38">
        <v>1.4158095369999999</v>
      </c>
      <c r="C38">
        <v>1.4260527249999999</v>
      </c>
      <c r="D38">
        <f t="shared" si="0"/>
        <v>1.0243188000000014E-2</v>
      </c>
      <c r="E38">
        <f t="shared" si="1"/>
        <v>1.0243188000000014E-2</v>
      </c>
      <c r="F38">
        <f t="shared" si="2"/>
        <v>1.0492290040334429E-4</v>
      </c>
      <c r="I38">
        <v>1.4158095369999999</v>
      </c>
    </row>
    <row r="39" spans="1:9" x14ac:dyDescent="0.45">
      <c r="A39" t="s">
        <v>127</v>
      </c>
      <c r="B39">
        <v>1.4195065259999999</v>
      </c>
      <c r="C39">
        <v>1.424441589</v>
      </c>
      <c r="D39">
        <f t="shared" si="0"/>
        <v>4.9350630000000173E-3</v>
      </c>
      <c r="E39">
        <f t="shared" si="1"/>
        <v>4.9350630000000173E-3</v>
      </c>
      <c r="F39">
        <f t="shared" si="2"/>
        <v>2.435484681396917E-5</v>
      </c>
      <c r="I39">
        <v>1.4195065259999999</v>
      </c>
    </row>
    <row r="40" spans="1:9" x14ac:dyDescent="0.45">
      <c r="A40" t="s">
        <v>128</v>
      </c>
      <c r="B40">
        <v>1.422463708</v>
      </c>
      <c r="C40">
        <v>1.427646075</v>
      </c>
      <c r="D40">
        <f t="shared" si="0"/>
        <v>5.1823669999999655E-3</v>
      </c>
      <c r="E40">
        <f t="shared" si="1"/>
        <v>5.1823669999999655E-3</v>
      </c>
      <c r="F40">
        <f t="shared" si="2"/>
        <v>2.6856927722688644E-5</v>
      </c>
      <c r="I40">
        <v>1.422463708</v>
      </c>
    </row>
    <row r="41" spans="1:9" x14ac:dyDescent="0.45">
      <c r="A41" t="s">
        <v>32</v>
      </c>
      <c r="B41">
        <v>1.4168055429999999</v>
      </c>
      <c r="C41">
        <v>1.423116144</v>
      </c>
      <c r="D41">
        <f t="shared" si="0"/>
        <v>6.3106010000000268E-3</v>
      </c>
      <c r="E41">
        <f t="shared" si="1"/>
        <v>6.3106010000000268E-3</v>
      </c>
      <c r="F41">
        <f t="shared" si="2"/>
        <v>3.9823684981201339E-5</v>
      </c>
      <c r="I41">
        <v>1.4168055429999999</v>
      </c>
    </row>
    <row r="42" spans="1:9" x14ac:dyDescent="0.45">
      <c r="A42" t="s">
        <v>33</v>
      </c>
      <c r="B42">
        <v>1.4163268819999999</v>
      </c>
      <c r="C42">
        <v>1.425686834</v>
      </c>
      <c r="D42">
        <f t="shared" si="0"/>
        <v>9.3599520000000602E-3</v>
      </c>
      <c r="E42">
        <f t="shared" si="1"/>
        <v>9.3599520000000602E-3</v>
      </c>
      <c r="F42">
        <f t="shared" si="2"/>
        <v>8.7608701442305124E-5</v>
      </c>
      <c r="I42">
        <v>1.4163268819999999</v>
      </c>
    </row>
    <row r="43" spans="1:9" x14ac:dyDescent="0.45">
      <c r="A43" t="s">
        <v>34</v>
      </c>
      <c r="B43">
        <v>1.4258666149999999</v>
      </c>
      <c r="C43">
        <v>1.4243369749999999</v>
      </c>
      <c r="D43">
        <f t="shared" si="0"/>
        <v>-1.5296399999999988E-3</v>
      </c>
      <c r="E43">
        <f t="shared" si="1"/>
        <v>1.5296399999999988E-3</v>
      </c>
      <c r="F43">
        <f t="shared" si="2"/>
        <v>2.3397985295999963E-6</v>
      </c>
      <c r="I43">
        <v>1.4258666149999999</v>
      </c>
    </row>
    <row r="44" spans="1:9" x14ac:dyDescent="0.45">
      <c r="A44" t="s">
        <v>35</v>
      </c>
      <c r="B44">
        <v>1.4180345480000001</v>
      </c>
      <c r="C44">
        <v>1.4257926700000001</v>
      </c>
      <c r="D44">
        <f t="shared" si="0"/>
        <v>7.7581220000000339E-3</v>
      </c>
      <c r="E44">
        <f t="shared" si="1"/>
        <v>7.7581220000000339E-3</v>
      </c>
      <c r="F44">
        <f t="shared" si="2"/>
        <v>6.0188456966884526E-5</v>
      </c>
      <c r="I44">
        <v>1.4180345480000001</v>
      </c>
    </row>
    <row r="45" spans="1:9" x14ac:dyDescent="0.45">
      <c r="A45" t="s">
        <v>36</v>
      </c>
      <c r="B45">
        <v>1.415186072</v>
      </c>
      <c r="C45">
        <v>1.4215051599999999</v>
      </c>
      <c r="D45">
        <f t="shared" si="0"/>
        <v>6.3190879999999172E-3</v>
      </c>
      <c r="E45">
        <f t="shared" si="1"/>
        <v>6.3190879999999172E-3</v>
      </c>
      <c r="F45">
        <f t="shared" si="2"/>
        <v>3.9930873151742951E-5</v>
      </c>
      <c r="I45">
        <v>1.415186072</v>
      </c>
    </row>
    <row r="46" spans="1:9" x14ac:dyDescent="0.45">
      <c r="A46" t="s">
        <v>37</v>
      </c>
      <c r="B46">
        <v>1.409885297</v>
      </c>
      <c r="C46">
        <v>1.418948221</v>
      </c>
      <c r="D46">
        <f t="shared" si="0"/>
        <v>9.0629239999999722E-3</v>
      </c>
      <c r="E46">
        <f t="shared" si="1"/>
        <v>9.0629239999999722E-3</v>
      </c>
      <c r="F46">
        <f t="shared" si="2"/>
        <v>8.2136591429775503E-5</v>
      </c>
      <c r="I46">
        <v>1.409885297</v>
      </c>
    </row>
    <row r="47" spans="1:9" x14ac:dyDescent="0.45">
      <c r="A47" t="s">
        <v>38</v>
      </c>
      <c r="B47">
        <v>1.420739671</v>
      </c>
      <c r="C47">
        <v>1.4270848330000001</v>
      </c>
      <c r="D47">
        <f t="shared" si="0"/>
        <v>6.3451620000001263E-3</v>
      </c>
      <c r="E47">
        <f t="shared" si="1"/>
        <v>6.3451620000001263E-3</v>
      </c>
      <c r="F47">
        <f t="shared" si="2"/>
        <v>4.0261080806245606E-5</v>
      </c>
      <c r="I47">
        <v>1.420739671</v>
      </c>
    </row>
    <row r="48" spans="1:9" x14ac:dyDescent="0.45">
      <c r="A48" t="s">
        <v>39</v>
      </c>
      <c r="B48">
        <v>1.4174885370000001</v>
      </c>
      <c r="C48">
        <v>1.428003812</v>
      </c>
      <c r="D48">
        <f t="shared" si="0"/>
        <v>1.0515274999999935E-2</v>
      </c>
      <c r="E48">
        <f t="shared" si="1"/>
        <v>1.0515274999999935E-2</v>
      </c>
      <c r="F48">
        <f t="shared" si="2"/>
        <v>1.1057100832562363E-4</v>
      </c>
      <c r="I48">
        <v>1.4174885370000001</v>
      </c>
    </row>
    <row r="49" spans="1:9" x14ac:dyDescent="0.45">
      <c r="A49" t="s">
        <v>40</v>
      </c>
      <c r="B49">
        <v>1.4145346910000001</v>
      </c>
      <c r="C49">
        <v>1.4216822440000001</v>
      </c>
      <c r="D49">
        <f t="shared" si="0"/>
        <v>7.1475530000000287E-3</v>
      </c>
      <c r="E49">
        <f t="shared" si="1"/>
        <v>7.1475530000000287E-3</v>
      </c>
      <c r="F49">
        <f t="shared" si="2"/>
        <v>5.1087513887809409E-5</v>
      </c>
      <c r="I49">
        <v>1.4145346910000001</v>
      </c>
    </row>
    <row r="50" spans="1:9" x14ac:dyDescent="0.45">
      <c r="A50" t="s">
        <v>41</v>
      </c>
      <c r="B50">
        <v>1.4219179879999999</v>
      </c>
      <c r="C50">
        <v>1.42792567</v>
      </c>
      <c r="D50">
        <f t="shared" si="0"/>
        <v>6.0076820000001252E-3</v>
      </c>
      <c r="E50">
        <f t="shared" si="1"/>
        <v>6.0076820000001252E-3</v>
      </c>
      <c r="F50">
        <f t="shared" si="2"/>
        <v>3.6092243013125505E-5</v>
      </c>
      <c r="I50">
        <v>1.4219179879999999</v>
      </c>
    </row>
    <row r="51" spans="1:9" x14ac:dyDescent="0.45">
      <c r="A51" t="s">
        <v>42</v>
      </c>
      <c r="B51">
        <v>1.4189911479999999</v>
      </c>
      <c r="C51">
        <v>1.424880133</v>
      </c>
      <c r="D51">
        <f t="shared" si="0"/>
        <v>5.8889850000001243E-3</v>
      </c>
      <c r="E51">
        <f t="shared" si="1"/>
        <v>5.8889850000001243E-3</v>
      </c>
      <c r="F51">
        <f t="shared" si="2"/>
        <v>3.4680144330226461E-5</v>
      </c>
      <c r="I51">
        <v>1.4189911479999999</v>
      </c>
    </row>
    <row r="52" spans="1:9" x14ac:dyDescent="0.45">
      <c r="A52" t="s">
        <v>43</v>
      </c>
      <c r="B52">
        <v>1.4206275269999999</v>
      </c>
      <c r="C52">
        <v>1.427131565</v>
      </c>
      <c r="D52">
        <f t="shared" si="0"/>
        <v>6.5040380000001008E-3</v>
      </c>
      <c r="E52">
        <f t="shared" si="1"/>
        <v>6.5040380000001008E-3</v>
      </c>
      <c r="F52">
        <f t="shared" si="2"/>
        <v>4.230251030544531E-5</v>
      </c>
      <c r="I52">
        <v>1.4206275269999999</v>
      </c>
    </row>
    <row r="53" spans="1:9" x14ac:dyDescent="0.45">
      <c r="A53" t="s">
        <v>44</v>
      </c>
      <c r="B53">
        <v>1.417989535</v>
      </c>
      <c r="C53">
        <v>1.4241353969999999</v>
      </c>
      <c r="D53">
        <f t="shared" si="0"/>
        <v>6.1458619999998909E-3</v>
      </c>
      <c r="E53">
        <f t="shared" si="1"/>
        <v>6.1458619999998909E-3</v>
      </c>
      <c r="F53">
        <f t="shared" si="2"/>
        <v>3.777161972304266E-5</v>
      </c>
      <c r="I53">
        <v>1.417989535</v>
      </c>
    </row>
    <row r="54" spans="1:9" x14ac:dyDescent="0.45">
      <c r="A54" t="s">
        <v>45</v>
      </c>
      <c r="B54">
        <v>1.418492192</v>
      </c>
      <c r="C54">
        <v>1.4202336600000001</v>
      </c>
      <c r="D54">
        <f t="shared" si="0"/>
        <v>1.7414680000000793E-3</v>
      </c>
      <c r="E54">
        <f t="shared" si="1"/>
        <v>1.7414680000000793E-3</v>
      </c>
      <c r="F54">
        <f t="shared" si="2"/>
        <v>3.032710795024276E-6</v>
      </c>
      <c r="I54">
        <v>1.418492192</v>
      </c>
    </row>
    <row r="55" spans="1:9" x14ac:dyDescent="0.45">
      <c r="A55" t="s">
        <v>46</v>
      </c>
      <c r="B55">
        <v>1.411684003</v>
      </c>
      <c r="C55">
        <v>1.416277161</v>
      </c>
      <c r="D55">
        <f t="shared" si="0"/>
        <v>4.5931580000000416E-3</v>
      </c>
      <c r="E55">
        <f t="shared" si="1"/>
        <v>4.5931580000000416E-3</v>
      </c>
      <c r="F55">
        <f t="shared" si="2"/>
        <v>2.1097100412964383E-5</v>
      </c>
      <c r="I55">
        <v>1.411684003</v>
      </c>
    </row>
    <row r="56" spans="1:9" x14ac:dyDescent="0.45">
      <c r="A56" t="s">
        <v>47</v>
      </c>
      <c r="B56">
        <v>1.4158967</v>
      </c>
      <c r="C56">
        <v>1.4253804839999999</v>
      </c>
      <c r="D56">
        <f t="shared" si="0"/>
        <v>9.4837839999999396E-3</v>
      </c>
      <c r="E56">
        <f t="shared" si="1"/>
        <v>9.4837839999999396E-3</v>
      </c>
      <c r="F56">
        <f t="shared" si="2"/>
        <v>8.994215895865486E-5</v>
      </c>
      <c r="I56">
        <v>1.4158967</v>
      </c>
    </row>
    <row r="57" spans="1:9" x14ac:dyDescent="0.45">
      <c r="A57" t="s">
        <v>48</v>
      </c>
      <c r="B57">
        <v>1.4198682279999999</v>
      </c>
      <c r="C57">
        <v>1.4260073660000001</v>
      </c>
      <c r="D57">
        <f t="shared" si="0"/>
        <v>6.1391380000002105E-3</v>
      </c>
      <c r="E57">
        <f t="shared" si="1"/>
        <v>6.1391380000002105E-3</v>
      </c>
      <c r="F57">
        <f t="shared" si="2"/>
        <v>3.7689015383046587E-5</v>
      </c>
      <c r="I57">
        <v>1.4198682279999999</v>
      </c>
    </row>
    <row r="58" spans="1:9" x14ac:dyDescent="0.45">
      <c r="A58" t="s">
        <v>49</v>
      </c>
      <c r="B58">
        <v>1.4169854770000001</v>
      </c>
      <c r="C58">
        <v>1.425115315</v>
      </c>
      <c r="D58">
        <f t="shared" si="0"/>
        <v>8.1298379999998893E-3</v>
      </c>
      <c r="E58">
        <f t="shared" si="1"/>
        <v>8.1298379999998893E-3</v>
      </c>
      <c r="F58">
        <f t="shared" si="2"/>
        <v>6.6094265906242196E-5</v>
      </c>
      <c r="I58">
        <v>1.4169854770000001</v>
      </c>
    </row>
    <row r="59" spans="1:9" x14ac:dyDescent="0.45">
      <c r="A59" t="s">
        <v>50</v>
      </c>
      <c r="B59">
        <v>1.4129963759999999</v>
      </c>
      <c r="C59">
        <v>1.418817813</v>
      </c>
      <c r="D59">
        <f t="shared" si="0"/>
        <v>5.8214370000000404E-3</v>
      </c>
      <c r="E59">
        <f t="shared" si="1"/>
        <v>5.8214370000000404E-3</v>
      </c>
      <c r="F59">
        <f t="shared" si="2"/>
        <v>3.3889128744969472E-5</v>
      </c>
      <c r="I59">
        <v>1.4129963759999999</v>
      </c>
    </row>
    <row r="60" spans="1:9" x14ac:dyDescent="0.45">
      <c r="A60" t="s">
        <v>51</v>
      </c>
      <c r="B60">
        <v>1.41731969</v>
      </c>
      <c r="C60">
        <v>1.425152741</v>
      </c>
      <c r="D60">
        <f t="shared" si="0"/>
        <v>7.8330509999999798E-3</v>
      </c>
      <c r="E60">
        <f t="shared" si="1"/>
        <v>7.8330509999999798E-3</v>
      </c>
      <c r="F60">
        <f t="shared" si="2"/>
        <v>6.135668796860068E-5</v>
      </c>
      <c r="I60">
        <v>1.41731969</v>
      </c>
    </row>
    <row r="61" spans="1:9" x14ac:dyDescent="0.45">
      <c r="A61" t="s">
        <v>52</v>
      </c>
      <c r="B61">
        <v>1.420164328</v>
      </c>
      <c r="C61">
        <v>1.426308422</v>
      </c>
      <c r="D61">
        <f t="shared" si="0"/>
        <v>6.1440939999999333E-3</v>
      </c>
      <c r="E61">
        <f t="shared" si="1"/>
        <v>6.1440939999999333E-3</v>
      </c>
      <c r="F61">
        <f t="shared" si="2"/>
        <v>3.7749891080835178E-5</v>
      </c>
      <c r="I61">
        <v>1.420164328</v>
      </c>
    </row>
    <row r="62" spans="1:9" x14ac:dyDescent="0.45">
      <c r="A62" t="s">
        <v>53</v>
      </c>
      <c r="B62">
        <v>1.4222990360000001</v>
      </c>
      <c r="C62">
        <v>1.4287767920000001</v>
      </c>
      <c r="D62">
        <f t="shared" si="0"/>
        <v>6.4777560000000012E-3</v>
      </c>
      <c r="E62">
        <f t="shared" si="1"/>
        <v>6.4777560000000012E-3</v>
      </c>
      <c r="F62">
        <f t="shared" si="2"/>
        <v>4.1961322795536015E-5</v>
      </c>
      <c r="I62">
        <v>1.4222990360000001</v>
      </c>
    </row>
    <row r="63" spans="1:9" x14ac:dyDescent="0.45">
      <c r="A63" t="s">
        <v>129</v>
      </c>
      <c r="B63">
        <v>1.4138970230000001</v>
      </c>
      <c r="C63">
        <v>1.4220742879999999</v>
      </c>
      <c r="D63">
        <f t="shared" si="0"/>
        <v>8.1772649999998226E-3</v>
      </c>
      <c r="E63">
        <f t="shared" si="1"/>
        <v>8.1772649999998226E-3</v>
      </c>
      <c r="F63">
        <f t="shared" si="2"/>
        <v>6.6867662880222103E-5</v>
      </c>
      <c r="I63">
        <v>1.4138970230000001</v>
      </c>
    </row>
    <row r="64" spans="1:9" x14ac:dyDescent="0.45">
      <c r="A64" t="s">
        <v>130</v>
      </c>
      <c r="B64">
        <v>1.4241756430000001</v>
      </c>
      <c r="C64">
        <v>1.4289838669999999</v>
      </c>
      <c r="D64">
        <f t="shared" si="0"/>
        <v>4.8082239999998055E-3</v>
      </c>
      <c r="E64">
        <f t="shared" si="1"/>
        <v>4.8082239999998055E-3</v>
      </c>
      <c r="F64">
        <f t="shared" si="2"/>
        <v>2.311901803417413E-5</v>
      </c>
      <c r="I64">
        <v>1.4241756430000001</v>
      </c>
    </row>
    <row r="65" spans="1:9" x14ac:dyDescent="0.45">
      <c r="A65" t="s">
        <v>54</v>
      </c>
      <c r="B65">
        <v>1.4180700550000001</v>
      </c>
      <c r="C65">
        <v>1.425296576</v>
      </c>
      <c r="D65">
        <f t="shared" ref="D65:D127" si="3">(C65-B65)</f>
        <v>7.2265209999999858E-3</v>
      </c>
      <c r="E65">
        <f t="shared" ref="E65:E127" si="4">ABS(D65)</f>
        <v>7.2265209999999858E-3</v>
      </c>
      <c r="F65">
        <f t="shared" ref="F65:F127" si="5">E65^2</f>
        <v>5.2222605763440794E-5</v>
      </c>
      <c r="I65">
        <v>1.4180700550000001</v>
      </c>
    </row>
    <row r="66" spans="1:9" x14ac:dyDescent="0.45">
      <c r="A66" t="s">
        <v>55</v>
      </c>
      <c r="B66">
        <v>1.42091437</v>
      </c>
      <c r="C66">
        <v>1.425605668</v>
      </c>
      <c r="D66">
        <f t="shared" si="3"/>
        <v>4.6912980000000104E-3</v>
      </c>
      <c r="E66">
        <f t="shared" si="4"/>
        <v>4.6912980000000104E-3</v>
      </c>
      <c r="F66">
        <f t="shared" si="5"/>
        <v>2.2008276924804099E-5</v>
      </c>
      <c r="I66">
        <v>1.42091437</v>
      </c>
    </row>
    <row r="67" spans="1:9" x14ac:dyDescent="0.45">
      <c r="A67" t="s">
        <v>56</v>
      </c>
      <c r="B67">
        <v>1.420968483</v>
      </c>
      <c r="C67">
        <v>1.429706618</v>
      </c>
      <c r="D67">
        <f t="shared" si="3"/>
        <v>8.7381349999999802E-3</v>
      </c>
      <c r="E67">
        <f t="shared" si="4"/>
        <v>8.7381349999999802E-3</v>
      </c>
      <c r="F67">
        <f t="shared" si="5"/>
        <v>7.6355003278224653E-5</v>
      </c>
      <c r="I67">
        <v>1.420968483</v>
      </c>
    </row>
    <row r="68" spans="1:9" x14ac:dyDescent="0.45">
      <c r="A68" t="s">
        <v>57</v>
      </c>
      <c r="B68">
        <v>1.4157681660000001</v>
      </c>
      <c r="C68">
        <v>1.4240506770000001</v>
      </c>
      <c r="D68">
        <f t="shared" si="3"/>
        <v>8.2825109999999924E-3</v>
      </c>
      <c r="E68">
        <f t="shared" si="4"/>
        <v>8.2825109999999924E-3</v>
      </c>
      <c r="F68">
        <f t="shared" si="5"/>
        <v>6.859998846512087E-5</v>
      </c>
      <c r="I68">
        <v>1.4157681660000001</v>
      </c>
    </row>
    <row r="69" spans="1:9" x14ac:dyDescent="0.45">
      <c r="A69" t="s">
        <v>58</v>
      </c>
      <c r="B69">
        <v>1.419912474</v>
      </c>
      <c r="C69">
        <v>1.426118623</v>
      </c>
      <c r="D69">
        <f t="shared" si="3"/>
        <v>6.2061490000000497E-3</v>
      </c>
      <c r="E69">
        <f t="shared" si="4"/>
        <v>6.2061490000000497E-3</v>
      </c>
      <c r="F69">
        <f t="shared" si="5"/>
        <v>3.8516285410201619E-5</v>
      </c>
      <c r="I69">
        <v>1.419912474</v>
      </c>
    </row>
    <row r="70" spans="1:9" x14ac:dyDescent="0.45">
      <c r="A70" t="s">
        <v>131</v>
      </c>
      <c r="B70">
        <v>1.420321052</v>
      </c>
      <c r="C70">
        <v>1.425337402</v>
      </c>
      <c r="D70">
        <f t="shared" si="3"/>
        <v>5.0163500000000028E-3</v>
      </c>
      <c r="E70">
        <f t="shared" si="4"/>
        <v>5.0163500000000028E-3</v>
      </c>
      <c r="F70">
        <f t="shared" si="5"/>
        <v>2.5163767322500027E-5</v>
      </c>
      <c r="I70">
        <v>1.420321052</v>
      </c>
    </row>
    <row r="71" spans="1:9" x14ac:dyDescent="0.45">
      <c r="A71" t="s">
        <v>132</v>
      </c>
      <c r="B71">
        <v>1.415602681</v>
      </c>
      <c r="C71">
        <v>1.4214098449999999</v>
      </c>
      <c r="D71">
        <f t="shared" si="3"/>
        <v>5.8071639999999203E-3</v>
      </c>
      <c r="E71">
        <f t="shared" si="4"/>
        <v>5.8071639999999203E-3</v>
      </c>
      <c r="F71">
        <f t="shared" si="5"/>
        <v>3.3723153722895072E-5</v>
      </c>
      <c r="I71">
        <v>1.415602681</v>
      </c>
    </row>
    <row r="72" spans="1:9" x14ac:dyDescent="0.45">
      <c r="A72" t="s">
        <v>133</v>
      </c>
      <c r="B72">
        <v>1.4176213630000001</v>
      </c>
      <c r="C72">
        <v>1.4236442709999999</v>
      </c>
      <c r="D72">
        <f t="shared" si="3"/>
        <v>6.022907999999827E-3</v>
      </c>
      <c r="E72">
        <f t="shared" si="4"/>
        <v>6.022907999999827E-3</v>
      </c>
      <c r="F72">
        <f t="shared" si="5"/>
        <v>3.6275420776461912E-5</v>
      </c>
      <c r="I72">
        <v>1.4176213630000001</v>
      </c>
    </row>
    <row r="73" spans="1:9" x14ac:dyDescent="0.45">
      <c r="A73" t="s">
        <v>59</v>
      </c>
      <c r="B73">
        <v>1.423270244</v>
      </c>
      <c r="C73">
        <v>1.4214704220000001</v>
      </c>
      <c r="D73">
        <f t="shared" si="3"/>
        <v>-1.799821999999951E-3</v>
      </c>
      <c r="E73">
        <f t="shared" si="4"/>
        <v>1.799821999999951E-3</v>
      </c>
      <c r="F73">
        <f t="shared" si="5"/>
        <v>3.2393592316838235E-6</v>
      </c>
      <c r="I73">
        <v>1.423270244</v>
      </c>
    </row>
    <row r="74" spans="1:9" x14ac:dyDescent="0.45">
      <c r="A74" t="s">
        <v>60</v>
      </c>
      <c r="B74">
        <v>1.4187088299999999</v>
      </c>
      <c r="C74">
        <v>1.424325077</v>
      </c>
      <c r="D74">
        <f t="shared" si="3"/>
        <v>5.6162470000000742E-3</v>
      </c>
      <c r="E74">
        <f t="shared" si="4"/>
        <v>5.6162470000000742E-3</v>
      </c>
      <c r="F74">
        <f t="shared" si="5"/>
        <v>3.1542230365009834E-5</v>
      </c>
      <c r="I74">
        <v>1.4187088299999999</v>
      </c>
    </row>
    <row r="75" spans="1:9" x14ac:dyDescent="0.45">
      <c r="A75" t="s">
        <v>61</v>
      </c>
      <c r="B75">
        <v>1.4163085280000001</v>
      </c>
      <c r="C75">
        <v>1.422316658</v>
      </c>
      <c r="D75">
        <f t="shared" si="3"/>
        <v>6.0081299999998894E-3</v>
      </c>
      <c r="E75">
        <f t="shared" si="4"/>
        <v>6.0081299999998894E-3</v>
      </c>
      <c r="F75">
        <f t="shared" si="5"/>
        <v>3.6097626096898668E-5</v>
      </c>
      <c r="I75">
        <v>1.4163085280000001</v>
      </c>
    </row>
    <row r="76" spans="1:9" x14ac:dyDescent="0.45">
      <c r="A76" t="s">
        <v>62</v>
      </c>
      <c r="B76">
        <v>1.424850387</v>
      </c>
      <c r="C76">
        <v>1.4253633349999999</v>
      </c>
      <c r="D76">
        <f t="shared" si="3"/>
        <v>5.1294799999990204E-4</v>
      </c>
      <c r="E76">
        <f t="shared" si="4"/>
        <v>5.1294799999990204E-4</v>
      </c>
      <c r="F76">
        <f t="shared" si="5"/>
        <v>2.6311565070389951E-7</v>
      </c>
      <c r="I76">
        <v>1.424850387</v>
      </c>
    </row>
    <row r="77" spans="1:9" x14ac:dyDescent="0.45">
      <c r="A77" t="s">
        <v>63</v>
      </c>
      <c r="B77">
        <v>1.4206560100000001</v>
      </c>
      <c r="C77">
        <v>1.4282038560000001</v>
      </c>
      <c r="D77">
        <f t="shared" si="3"/>
        <v>7.5478460000000247E-3</v>
      </c>
      <c r="E77">
        <f t="shared" si="4"/>
        <v>7.5478460000000247E-3</v>
      </c>
      <c r="F77">
        <f t="shared" si="5"/>
        <v>5.6969979239716376E-5</v>
      </c>
      <c r="I77">
        <v>1.4206560100000001</v>
      </c>
    </row>
    <row r="78" spans="1:9" x14ac:dyDescent="0.45">
      <c r="A78" t="s">
        <v>64</v>
      </c>
      <c r="B78">
        <v>1.4254478180000001</v>
      </c>
      <c r="C78">
        <v>1.431057775</v>
      </c>
      <c r="D78">
        <f t="shared" si="3"/>
        <v>5.6099569999998877E-3</v>
      </c>
      <c r="E78">
        <f t="shared" si="4"/>
        <v>5.6099569999998877E-3</v>
      </c>
      <c r="F78">
        <f t="shared" si="5"/>
        <v>3.1471617541847741E-5</v>
      </c>
      <c r="I78">
        <v>1.4254478180000001</v>
      </c>
    </row>
    <row r="79" spans="1:9" x14ac:dyDescent="0.45">
      <c r="A79" t="s">
        <v>65</v>
      </c>
      <c r="B79">
        <v>1.416710876</v>
      </c>
      <c r="C79">
        <v>1.426213263</v>
      </c>
      <c r="D79">
        <f t="shared" si="3"/>
        <v>9.5023869999999455E-3</v>
      </c>
      <c r="E79">
        <f t="shared" si="4"/>
        <v>9.5023869999999455E-3</v>
      </c>
      <c r="F79">
        <f t="shared" si="5"/>
        <v>9.0295358697767969E-5</v>
      </c>
      <c r="I79">
        <v>1.416710876</v>
      </c>
    </row>
    <row r="80" spans="1:9" x14ac:dyDescent="0.45">
      <c r="A80" t="s">
        <v>66</v>
      </c>
      <c r="B80">
        <v>1.420143857</v>
      </c>
      <c r="C80">
        <v>1.4270062830000001</v>
      </c>
      <c r="D80">
        <f t="shared" si="3"/>
        <v>6.8624260000000881E-3</v>
      </c>
      <c r="E80">
        <f t="shared" si="4"/>
        <v>6.8624260000000881E-3</v>
      </c>
      <c r="F80">
        <f t="shared" si="5"/>
        <v>4.7092890605477206E-5</v>
      </c>
      <c r="I80">
        <v>1.420143857</v>
      </c>
    </row>
    <row r="81" spans="1:9" x14ac:dyDescent="0.45">
      <c r="A81" t="s">
        <v>67</v>
      </c>
      <c r="B81">
        <v>1.4161673669999999</v>
      </c>
      <c r="C81">
        <v>1.423585273</v>
      </c>
      <c r="D81">
        <f t="shared" si="3"/>
        <v>7.4179060000001407E-3</v>
      </c>
      <c r="E81">
        <f t="shared" si="4"/>
        <v>7.4179060000001407E-3</v>
      </c>
      <c r="F81">
        <f t="shared" si="5"/>
        <v>5.5025329424838085E-5</v>
      </c>
      <c r="I81">
        <v>1.4161673669999999</v>
      </c>
    </row>
    <row r="82" spans="1:9" x14ac:dyDescent="0.45">
      <c r="A82" t="s">
        <v>134</v>
      </c>
      <c r="B82">
        <v>1.4144401049999999</v>
      </c>
      <c r="C82">
        <v>1.4248757460000001</v>
      </c>
      <c r="D82">
        <f t="shared" si="3"/>
        <v>1.0435641000000162E-2</v>
      </c>
      <c r="E82">
        <f t="shared" si="4"/>
        <v>1.0435641000000162E-2</v>
      </c>
      <c r="F82">
        <f t="shared" si="5"/>
        <v>1.0890260308088438E-4</v>
      </c>
      <c r="I82">
        <v>1.4144401049999999</v>
      </c>
    </row>
    <row r="83" spans="1:9" x14ac:dyDescent="0.45">
      <c r="A83" t="s">
        <v>135</v>
      </c>
      <c r="B83">
        <v>1.4076584940000001</v>
      </c>
      <c r="C83">
        <v>1.415945265</v>
      </c>
      <c r="D83">
        <f t="shared" si="3"/>
        <v>8.2867709999998596E-3</v>
      </c>
      <c r="E83">
        <f t="shared" si="4"/>
        <v>8.2867709999998596E-3</v>
      </c>
      <c r="F83">
        <f t="shared" si="5"/>
        <v>6.8670573606438679E-5</v>
      </c>
      <c r="I83">
        <v>1.4076584940000001</v>
      </c>
    </row>
    <row r="84" spans="1:9" x14ac:dyDescent="0.45">
      <c r="A84" t="s">
        <v>136</v>
      </c>
      <c r="B84">
        <v>1.417730403</v>
      </c>
      <c r="C84">
        <v>1.4237905280000001</v>
      </c>
      <c r="D84">
        <f t="shared" si="3"/>
        <v>6.0601250000000828E-3</v>
      </c>
      <c r="E84">
        <f t="shared" si="4"/>
        <v>6.0601250000000828E-3</v>
      </c>
      <c r="F84">
        <f t="shared" si="5"/>
        <v>3.6725115015626002E-5</v>
      </c>
      <c r="I84">
        <v>1.417730403</v>
      </c>
    </row>
    <row r="85" spans="1:9" x14ac:dyDescent="0.45">
      <c r="A85" t="s">
        <v>137</v>
      </c>
      <c r="B85">
        <v>1.4172334579999999</v>
      </c>
      <c r="C85">
        <v>1.426810508</v>
      </c>
      <c r="D85">
        <f t="shared" si="3"/>
        <v>9.5770500000000869E-3</v>
      </c>
      <c r="E85">
        <f t="shared" si="4"/>
        <v>9.5770500000000869E-3</v>
      </c>
      <c r="F85">
        <f t="shared" si="5"/>
        <v>9.171988670250166E-5</v>
      </c>
      <c r="I85">
        <v>1.4172334579999999</v>
      </c>
    </row>
    <row r="86" spans="1:9" x14ac:dyDescent="0.45">
      <c r="A86" t="s">
        <v>138</v>
      </c>
      <c r="B86">
        <v>1.414121687</v>
      </c>
      <c r="C86">
        <v>1.419732819</v>
      </c>
      <c r="D86">
        <f t="shared" si="3"/>
        <v>5.6111320000000742E-3</v>
      </c>
      <c r="E86">
        <f t="shared" si="4"/>
        <v>5.6111320000000742E-3</v>
      </c>
      <c r="F86">
        <f t="shared" si="5"/>
        <v>3.1484802321424832E-5</v>
      </c>
      <c r="I86">
        <v>1.414121687</v>
      </c>
    </row>
    <row r="87" spans="1:9" x14ac:dyDescent="0.45">
      <c r="A87" t="s">
        <v>68</v>
      </c>
      <c r="B87">
        <v>1.4228371950000001</v>
      </c>
      <c r="C87">
        <v>1.4289345470000001</v>
      </c>
      <c r="D87">
        <f t="shared" si="3"/>
        <v>6.0973520000000558E-3</v>
      </c>
      <c r="E87">
        <f t="shared" si="4"/>
        <v>6.0973520000000558E-3</v>
      </c>
      <c r="F87">
        <f t="shared" si="5"/>
        <v>3.7177701411904679E-5</v>
      </c>
      <c r="I87">
        <v>1.4228371950000001</v>
      </c>
    </row>
    <row r="88" spans="1:9" x14ac:dyDescent="0.45">
      <c r="A88" t="s">
        <v>69</v>
      </c>
      <c r="B88">
        <v>1.41796744</v>
      </c>
      <c r="C88">
        <v>1.423726152</v>
      </c>
      <c r="D88">
        <f t="shared" si="3"/>
        <v>5.7587119999999992E-3</v>
      </c>
      <c r="E88">
        <f t="shared" si="4"/>
        <v>5.7587119999999992E-3</v>
      </c>
      <c r="F88">
        <f t="shared" si="5"/>
        <v>3.3162763898943991E-5</v>
      </c>
      <c r="I88">
        <v>1.41796744</v>
      </c>
    </row>
    <row r="89" spans="1:9" x14ac:dyDescent="0.45">
      <c r="A89" t="s">
        <v>71</v>
      </c>
      <c r="B89">
        <v>1.4189055800000001</v>
      </c>
      <c r="C89">
        <v>1.423347734</v>
      </c>
      <c r="D89">
        <f t="shared" si="3"/>
        <v>4.4421539999999204E-3</v>
      </c>
      <c r="E89">
        <f t="shared" si="4"/>
        <v>4.4421539999999204E-3</v>
      </c>
      <c r="F89">
        <f t="shared" si="5"/>
        <v>1.9732732159715292E-5</v>
      </c>
      <c r="I89">
        <v>1.4189055800000001</v>
      </c>
    </row>
    <row r="90" spans="1:9" x14ac:dyDescent="0.45">
      <c r="A90" t="s">
        <v>72</v>
      </c>
      <c r="B90">
        <v>1.419471508</v>
      </c>
      <c r="C90">
        <v>1.4261409570000001</v>
      </c>
      <c r="D90">
        <f t="shared" si="3"/>
        <v>6.669449000000105E-3</v>
      </c>
      <c r="E90">
        <f t="shared" si="4"/>
        <v>6.669449000000105E-3</v>
      </c>
      <c r="F90">
        <f t="shared" si="5"/>
        <v>4.4481549963602399E-5</v>
      </c>
      <c r="I90">
        <v>1.419471508</v>
      </c>
    </row>
    <row r="91" spans="1:9" x14ac:dyDescent="0.45">
      <c r="A91" t="s">
        <v>73</v>
      </c>
      <c r="B91">
        <v>1.4173114330000001</v>
      </c>
      <c r="C91">
        <v>1.424890175</v>
      </c>
      <c r="D91">
        <f t="shared" si="3"/>
        <v>7.5787419999999717E-3</v>
      </c>
      <c r="E91">
        <f t="shared" si="4"/>
        <v>7.5787419999999717E-3</v>
      </c>
      <c r="F91">
        <f t="shared" si="5"/>
        <v>5.7437330302563572E-5</v>
      </c>
      <c r="I91">
        <v>1.4173114330000001</v>
      </c>
    </row>
    <row r="92" spans="1:9" x14ac:dyDescent="0.45">
      <c r="A92" t="s">
        <v>74</v>
      </c>
      <c r="B92">
        <v>1.4166515399999999</v>
      </c>
      <c r="C92">
        <v>1.4232212710000001</v>
      </c>
      <c r="D92">
        <f t="shared" si="3"/>
        <v>6.5697310000001341E-3</v>
      </c>
      <c r="E92">
        <f t="shared" si="4"/>
        <v>6.5697310000001341E-3</v>
      </c>
      <c r="F92">
        <f t="shared" si="5"/>
        <v>4.3161365412362765E-5</v>
      </c>
      <c r="I92">
        <v>1.4166515399999999</v>
      </c>
    </row>
    <row r="93" spans="1:9" x14ac:dyDescent="0.45">
      <c r="A93" t="s">
        <v>75</v>
      </c>
      <c r="B93">
        <v>1.4129398289999999</v>
      </c>
      <c r="C93">
        <v>1.4193223370000001</v>
      </c>
      <c r="D93">
        <f t="shared" si="3"/>
        <v>6.3825080000001755E-3</v>
      </c>
      <c r="E93">
        <f t="shared" si="4"/>
        <v>6.3825080000001755E-3</v>
      </c>
      <c r="F93">
        <f t="shared" si="5"/>
        <v>4.0736408370066242E-5</v>
      </c>
      <c r="I93">
        <v>1.4129398289999999</v>
      </c>
    </row>
    <row r="94" spans="1:9" x14ac:dyDescent="0.45">
      <c r="A94" t="s">
        <v>76</v>
      </c>
      <c r="B94">
        <v>1.4145469690000001</v>
      </c>
      <c r="C94">
        <v>1.422910184</v>
      </c>
      <c r="D94">
        <f t="shared" si="3"/>
        <v>8.3632149999999239E-3</v>
      </c>
      <c r="E94">
        <f t="shared" si="4"/>
        <v>8.3632149999999239E-3</v>
      </c>
      <c r="F94">
        <f t="shared" si="5"/>
        <v>6.9943365136223724E-5</v>
      </c>
      <c r="I94">
        <v>1.4145469690000001</v>
      </c>
    </row>
    <row r="95" spans="1:9" x14ac:dyDescent="0.45">
      <c r="A95" t="s">
        <v>77</v>
      </c>
      <c r="B95">
        <v>1.4181098400000001</v>
      </c>
      <c r="C95">
        <v>1.4269103460000001</v>
      </c>
      <c r="D95">
        <f t="shared" si="3"/>
        <v>8.8005060000000412E-3</v>
      </c>
      <c r="E95">
        <f t="shared" si="4"/>
        <v>8.8005060000000412E-3</v>
      </c>
      <c r="F95">
        <f t="shared" si="5"/>
        <v>7.7448905856036728E-5</v>
      </c>
      <c r="I95">
        <v>1.4181098400000001</v>
      </c>
    </row>
    <row r="96" spans="1:9" x14ac:dyDescent="0.45">
      <c r="A96" t="s">
        <v>78</v>
      </c>
      <c r="B96">
        <v>1.405117204</v>
      </c>
      <c r="C96">
        <v>1.410392621</v>
      </c>
      <c r="D96">
        <f t="shared" si="3"/>
        <v>5.2754170000000045E-3</v>
      </c>
      <c r="E96">
        <f t="shared" si="4"/>
        <v>5.2754170000000045E-3</v>
      </c>
      <c r="F96">
        <f t="shared" si="5"/>
        <v>2.7830024523889046E-5</v>
      </c>
      <c r="I96">
        <v>1.405117204</v>
      </c>
    </row>
    <row r="97" spans="1:9" x14ac:dyDescent="0.45">
      <c r="A97" t="s">
        <v>79</v>
      </c>
      <c r="B97">
        <v>1.4106356179999999</v>
      </c>
      <c r="C97">
        <v>1.4158961999999999</v>
      </c>
      <c r="D97">
        <f t="shared" si="3"/>
        <v>5.2605820000000136E-3</v>
      </c>
      <c r="E97">
        <f t="shared" si="4"/>
        <v>5.2605820000000136E-3</v>
      </c>
      <c r="F97">
        <f t="shared" si="5"/>
        <v>2.7673722978724144E-5</v>
      </c>
      <c r="I97">
        <v>1.4106356179999999</v>
      </c>
    </row>
    <row r="98" spans="1:9" x14ac:dyDescent="0.45">
      <c r="A98" t="s">
        <v>80</v>
      </c>
      <c r="B98">
        <v>1.426287611</v>
      </c>
      <c r="C98">
        <v>1.4298803739999999</v>
      </c>
      <c r="D98">
        <f t="shared" si="3"/>
        <v>3.5927629999998878E-3</v>
      </c>
      <c r="E98">
        <f t="shared" si="4"/>
        <v>3.5927629999998878E-3</v>
      </c>
      <c r="F98">
        <f t="shared" si="5"/>
        <v>1.2907945974168193E-5</v>
      </c>
      <c r="I98">
        <v>1.426287611</v>
      </c>
    </row>
    <row r="99" spans="1:9" x14ac:dyDescent="0.45">
      <c r="A99" t="s">
        <v>81</v>
      </c>
      <c r="B99">
        <v>1.4069692899999999</v>
      </c>
      <c r="C99">
        <v>1.4155894849999999</v>
      </c>
      <c r="D99">
        <f t="shared" si="3"/>
        <v>8.6201949999999972E-3</v>
      </c>
      <c r="E99">
        <f t="shared" si="4"/>
        <v>8.6201949999999972E-3</v>
      </c>
      <c r="F99">
        <f t="shared" si="5"/>
        <v>7.4307761838024949E-5</v>
      </c>
      <c r="I99">
        <v>1.4069692899999999</v>
      </c>
    </row>
    <row r="100" spans="1:9" x14ac:dyDescent="0.45">
      <c r="A100" t="s">
        <v>82</v>
      </c>
      <c r="B100">
        <v>1.4078596560000001</v>
      </c>
      <c r="C100">
        <v>1.414360418</v>
      </c>
      <c r="D100">
        <f t="shared" si="3"/>
        <v>6.5007619999999378E-3</v>
      </c>
      <c r="E100">
        <f t="shared" si="4"/>
        <v>6.5007619999999378E-3</v>
      </c>
      <c r="F100">
        <f t="shared" si="5"/>
        <v>4.2259906580643187E-5</v>
      </c>
      <c r="I100">
        <v>1.4078596560000001</v>
      </c>
    </row>
    <row r="101" spans="1:9" x14ac:dyDescent="0.45">
      <c r="A101" t="s">
        <v>83</v>
      </c>
      <c r="B101">
        <v>1.418742309</v>
      </c>
      <c r="C101">
        <v>1.426529889</v>
      </c>
      <c r="D101">
        <f t="shared" si="3"/>
        <v>7.7875800000000162E-3</v>
      </c>
      <c r="E101">
        <f t="shared" si="4"/>
        <v>7.7875800000000162E-3</v>
      </c>
      <c r="F101">
        <f t="shared" si="5"/>
        <v>6.0646402256400249E-5</v>
      </c>
      <c r="I101">
        <v>1.418742309</v>
      </c>
    </row>
    <row r="102" spans="1:9" x14ac:dyDescent="0.45">
      <c r="A102" t="s">
        <v>84</v>
      </c>
      <c r="B102">
        <v>1.4188014040000001</v>
      </c>
      <c r="C102">
        <v>1.427144916</v>
      </c>
      <c r="D102">
        <f t="shared" si="3"/>
        <v>8.3435119999999419E-3</v>
      </c>
      <c r="E102">
        <f t="shared" si="4"/>
        <v>8.3435119999999419E-3</v>
      </c>
      <c r="F102">
        <f t="shared" si="5"/>
        <v>6.9614192494143036E-5</v>
      </c>
      <c r="I102">
        <v>1.4188014040000001</v>
      </c>
    </row>
    <row r="103" spans="1:9" x14ac:dyDescent="0.45">
      <c r="A103" t="s">
        <v>139</v>
      </c>
      <c r="B103">
        <v>1.4193310640000001</v>
      </c>
      <c r="C103">
        <v>1.4244482089999999</v>
      </c>
      <c r="D103">
        <f t="shared" si="3"/>
        <v>5.1171449999998231E-3</v>
      </c>
      <c r="E103">
        <f t="shared" si="4"/>
        <v>5.1171449999998231E-3</v>
      </c>
      <c r="F103">
        <f t="shared" si="5"/>
        <v>2.618517295102319E-5</v>
      </c>
      <c r="I103">
        <v>1.4193310640000001</v>
      </c>
    </row>
    <row r="104" spans="1:9" x14ac:dyDescent="0.45">
      <c r="A104" t="s">
        <v>140</v>
      </c>
      <c r="B104">
        <v>1.422923374</v>
      </c>
      <c r="C104">
        <v>1.427208614</v>
      </c>
      <c r="D104">
        <f t="shared" si="3"/>
        <v>4.285239999999968E-3</v>
      </c>
      <c r="E104">
        <f t="shared" si="4"/>
        <v>4.285239999999968E-3</v>
      </c>
      <c r="F104">
        <f t="shared" si="5"/>
        <v>1.8363281857599726E-5</v>
      </c>
      <c r="I104">
        <v>1.422923374</v>
      </c>
    </row>
    <row r="105" spans="1:9" x14ac:dyDescent="0.45">
      <c r="A105" t="s">
        <v>85</v>
      </c>
      <c r="B105">
        <v>1.418837964</v>
      </c>
      <c r="C105">
        <v>1.426930866</v>
      </c>
      <c r="D105">
        <f t="shared" si="3"/>
        <v>8.0929020000000129E-3</v>
      </c>
      <c r="E105">
        <f t="shared" si="4"/>
        <v>8.0929020000000129E-3</v>
      </c>
      <c r="F105">
        <f t="shared" si="5"/>
        <v>6.5495062781604211E-5</v>
      </c>
      <c r="I105">
        <v>1.418837964</v>
      </c>
    </row>
    <row r="106" spans="1:9" x14ac:dyDescent="0.45">
      <c r="A106" t="s">
        <v>86</v>
      </c>
      <c r="B106">
        <v>1.417127617</v>
      </c>
      <c r="C106">
        <v>1.425231283</v>
      </c>
      <c r="D106">
        <f t="shared" si="3"/>
        <v>8.1036660000000094E-3</v>
      </c>
      <c r="E106">
        <f t="shared" si="4"/>
        <v>8.1036660000000094E-3</v>
      </c>
      <c r="F106">
        <f t="shared" si="5"/>
        <v>6.5669402639556147E-5</v>
      </c>
      <c r="I106">
        <v>1.417127617</v>
      </c>
    </row>
    <row r="107" spans="1:9" x14ac:dyDescent="0.45">
      <c r="A107" t="s">
        <v>87</v>
      </c>
      <c r="B107">
        <v>1.4219013549999999</v>
      </c>
      <c r="C107">
        <v>1.4240736599999999</v>
      </c>
      <c r="D107">
        <f t="shared" si="3"/>
        <v>2.1723049999999855E-3</v>
      </c>
      <c r="E107">
        <f t="shared" si="4"/>
        <v>2.1723049999999855E-3</v>
      </c>
      <c r="F107">
        <f t="shared" si="5"/>
        <v>4.7189090130249369E-6</v>
      </c>
      <c r="I107">
        <v>1.4219013549999999</v>
      </c>
    </row>
    <row r="108" spans="1:9" x14ac:dyDescent="0.45">
      <c r="A108" t="s">
        <v>88</v>
      </c>
      <c r="B108">
        <v>1.4215265989999999</v>
      </c>
      <c r="C108">
        <v>1.4245910909999999</v>
      </c>
      <c r="D108">
        <f t="shared" si="3"/>
        <v>3.0644920000000297E-3</v>
      </c>
      <c r="E108">
        <f t="shared" si="4"/>
        <v>3.0644920000000297E-3</v>
      </c>
      <c r="F108">
        <f t="shared" si="5"/>
        <v>9.3911112180641827E-6</v>
      </c>
      <c r="I108">
        <v>1.4215265989999999</v>
      </c>
    </row>
    <row r="109" spans="1:9" x14ac:dyDescent="0.45">
      <c r="A109" t="s">
        <v>89</v>
      </c>
      <c r="B109">
        <v>1.4189457729999999</v>
      </c>
      <c r="C109">
        <v>1.4223588579999999</v>
      </c>
      <c r="D109">
        <f t="shared" si="3"/>
        <v>3.4130850000000379E-3</v>
      </c>
      <c r="E109">
        <f t="shared" si="4"/>
        <v>3.4130850000000379E-3</v>
      </c>
      <c r="F109">
        <f t="shared" si="5"/>
        <v>1.1649149217225259E-5</v>
      </c>
      <c r="I109">
        <v>1.4189457729999999</v>
      </c>
    </row>
    <row r="110" spans="1:9" x14ac:dyDescent="0.45">
      <c r="A110" t="s">
        <v>90</v>
      </c>
      <c r="B110">
        <v>1.4144017980000001</v>
      </c>
      <c r="C110">
        <v>1.421578507</v>
      </c>
      <c r="D110">
        <f t="shared" si="3"/>
        <v>7.1767089999998923E-3</v>
      </c>
      <c r="E110">
        <f t="shared" si="4"/>
        <v>7.1767089999998923E-3</v>
      </c>
      <c r="F110">
        <f t="shared" si="5"/>
        <v>5.1505152070679456E-5</v>
      </c>
      <c r="I110">
        <v>1.4144017980000001</v>
      </c>
    </row>
    <row r="111" spans="1:9" x14ac:dyDescent="0.45">
      <c r="A111" t="s">
        <v>91</v>
      </c>
      <c r="B111">
        <v>1.4094670119999999</v>
      </c>
      <c r="C111">
        <v>1.4188096750000001</v>
      </c>
      <c r="D111">
        <f t="shared" si="3"/>
        <v>9.3426630000001953E-3</v>
      </c>
      <c r="E111">
        <f t="shared" si="4"/>
        <v>9.3426630000001953E-3</v>
      </c>
      <c r="F111">
        <f t="shared" si="5"/>
        <v>8.7285351931572645E-5</v>
      </c>
      <c r="I111">
        <v>1.4094670119999999</v>
      </c>
    </row>
    <row r="112" spans="1:9" x14ac:dyDescent="0.45">
      <c r="A112" t="s">
        <v>92</v>
      </c>
      <c r="B112">
        <v>1.418652628</v>
      </c>
      <c r="C112">
        <v>1.425173359</v>
      </c>
      <c r="D112">
        <f t="shared" si="3"/>
        <v>6.5207309999999463E-3</v>
      </c>
      <c r="E112">
        <f t="shared" si="4"/>
        <v>6.5207309999999463E-3</v>
      </c>
      <c r="F112">
        <f t="shared" si="5"/>
        <v>4.2519932774360299E-5</v>
      </c>
      <c r="I112">
        <v>1.418652628</v>
      </c>
    </row>
    <row r="113" spans="1:9" x14ac:dyDescent="0.45">
      <c r="A113" t="s">
        <v>93</v>
      </c>
      <c r="B113">
        <v>1.4208847389999999</v>
      </c>
      <c r="C113">
        <v>1.427615533</v>
      </c>
      <c r="D113">
        <f t="shared" si="3"/>
        <v>6.7307940000000954E-3</v>
      </c>
      <c r="E113">
        <f t="shared" si="4"/>
        <v>6.7307940000000954E-3</v>
      </c>
      <c r="F113">
        <f t="shared" si="5"/>
        <v>4.5303587870437283E-5</v>
      </c>
      <c r="I113">
        <v>1.4208847389999999</v>
      </c>
    </row>
    <row r="114" spans="1:9" x14ac:dyDescent="0.45">
      <c r="A114" t="s">
        <v>94</v>
      </c>
      <c r="B114">
        <v>1.4181487749999999</v>
      </c>
      <c r="C114">
        <v>1.426907208</v>
      </c>
      <c r="D114">
        <f t="shared" si="3"/>
        <v>8.7584330000001209E-3</v>
      </c>
      <c r="E114">
        <f t="shared" si="4"/>
        <v>8.7584330000001209E-3</v>
      </c>
      <c r="F114">
        <f t="shared" si="5"/>
        <v>7.6710148615491118E-5</v>
      </c>
      <c r="I114">
        <v>1.4181487749999999</v>
      </c>
    </row>
    <row r="115" spans="1:9" x14ac:dyDescent="0.45">
      <c r="A115" t="s">
        <v>95</v>
      </c>
      <c r="B115">
        <v>1.419757004</v>
      </c>
      <c r="C115">
        <v>1.4268581629999999</v>
      </c>
      <c r="D115">
        <f t="shared" si="3"/>
        <v>7.101158999999857E-3</v>
      </c>
      <c r="E115">
        <f t="shared" si="4"/>
        <v>7.101158999999857E-3</v>
      </c>
      <c r="F115">
        <f t="shared" si="5"/>
        <v>5.0426459143278967E-5</v>
      </c>
      <c r="I115">
        <v>1.419757004</v>
      </c>
    </row>
    <row r="116" spans="1:9" x14ac:dyDescent="0.45">
      <c r="A116" t="s">
        <v>96</v>
      </c>
      <c r="B116">
        <v>1.419387621</v>
      </c>
      <c r="C116">
        <v>1.4258784120000001</v>
      </c>
      <c r="D116">
        <f t="shared" si="3"/>
        <v>6.4907910000000513E-3</v>
      </c>
      <c r="E116">
        <f t="shared" si="4"/>
        <v>6.4907910000000513E-3</v>
      </c>
      <c r="F116">
        <f t="shared" si="5"/>
        <v>4.2130367805681668E-5</v>
      </c>
      <c r="I116">
        <v>1.419387621</v>
      </c>
    </row>
    <row r="117" spans="1:9" x14ac:dyDescent="0.45">
      <c r="A117" t="s">
        <v>97</v>
      </c>
      <c r="B117">
        <v>1.411500228</v>
      </c>
      <c r="C117">
        <v>1.4255778910000001</v>
      </c>
      <c r="D117">
        <f t="shared" si="3"/>
        <v>1.4077663000000129E-2</v>
      </c>
      <c r="E117">
        <f t="shared" si="4"/>
        <v>1.4077663000000129E-2</v>
      </c>
      <c r="F117">
        <f t="shared" si="5"/>
        <v>1.9818059554157263E-4</v>
      </c>
      <c r="I117">
        <v>1.411500228</v>
      </c>
    </row>
    <row r="118" spans="1:9" x14ac:dyDescent="0.45">
      <c r="A118" t="s">
        <v>98</v>
      </c>
      <c r="B118">
        <v>1.418963548</v>
      </c>
      <c r="C118">
        <v>1.4208872320000001</v>
      </c>
      <c r="D118">
        <f t="shared" si="3"/>
        <v>1.9236840000000921E-3</v>
      </c>
      <c r="E118">
        <f t="shared" si="4"/>
        <v>1.9236840000000921E-3</v>
      </c>
      <c r="F118">
        <f t="shared" si="5"/>
        <v>3.7005601318563542E-6</v>
      </c>
      <c r="I118">
        <v>1.418963548</v>
      </c>
    </row>
    <row r="119" spans="1:9" x14ac:dyDescent="0.45">
      <c r="A119" t="s">
        <v>99</v>
      </c>
      <c r="B119">
        <v>1.420428244</v>
      </c>
      <c r="C119">
        <v>1.4258809269999999</v>
      </c>
      <c r="D119">
        <f t="shared" si="3"/>
        <v>5.4526829999999027E-3</v>
      </c>
      <c r="E119">
        <f t="shared" si="4"/>
        <v>5.4526829999999027E-3</v>
      </c>
      <c r="F119">
        <f t="shared" si="5"/>
        <v>2.973175189848794E-5</v>
      </c>
      <c r="I119">
        <v>1.420428244</v>
      </c>
    </row>
    <row r="120" spans="1:9" x14ac:dyDescent="0.45">
      <c r="A120" t="s">
        <v>100</v>
      </c>
      <c r="B120">
        <v>1.411890627</v>
      </c>
      <c r="C120">
        <v>1.4137664299999999</v>
      </c>
      <c r="D120">
        <f t="shared" si="3"/>
        <v>1.8758029999998982E-3</v>
      </c>
      <c r="E120">
        <f t="shared" si="4"/>
        <v>1.8758029999998982E-3</v>
      </c>
      <c r="F120">
        <f t="shared" si="5"/>
        <v>3.5186368948086182E-6</v>
      </c>
      <c r="I120">
        <v>1.411890627</v>
      </c>
    </row>
    <row r="121" spans="1:9" x14ac:dyDescent="0.45">
      <c r="A121" t="s">
        <v>101</v>
      </c>
      <c r="B121">
        <v>1.4209111539999999</v>
      </c>
      <c r="C121">
        <v>1.4233506010000001</v>
      </c>
      <c r="D121">
        <f t="shared" si="3"/>
        <v>2.4394470000002055E-3</v>
      </c>
      <c r="E121">
        <f t="shared" si="4"/>
        <v>2.4394470000002055E-3</v>
      </c>
      <c r="F121">
        <f t="shared" si="5"/>
        <v>5.9509016658100029E-6</v>
      </c>
      <c r="I121">
        <v>1.4209111539999999</v>
      </c>
    </row>
    <row r="122" spans="1:9" x14ac:dyDescent="0.45">
      <c r="A122" t="s">
        <v>102</v>
      </c>
      <c r="B122">
        <v>1.416661698</v>
      </c>
      <c r="C122">
        <v>1.4242458730000001</v>
      </c>
      <c r="D122">
        <f t="shared" si="3"/>
        <v>7.5841750000000818E-3</v>
      </c>
      <c r="E122">
        <f t="shared" si="4"/>
        <v>7.5841750000000818E-3</v>
      </c>
      <c r="F122">
        <f t="shared" si="5"/>
        <v>5.7519710430626243E-5</v>
      </c>
      <c r="I122">
        <v>1.416661698</v>
      </c>
    </row>
    <row r="123" spans="1:9" x14ac:dyDescent="0.45">
      <c r="A123" t="s">
        <v>103</v>
      </c>
      <c r="B123">
        <v>1.4192891599999999</v>
      </c>
      <c r="C123">
        <v>1.4259025729999999</v>
      </c>
      <c r="D123">
        <f t="shared" si="3"/>
        <v>6.6134129999999569E-3</v>
      </c>
      <c r="E123">
        <f t="shared" si="4"/>
        <v>6.6134129999999569E-3</v>
      </c>
      <c r="F123">
        <f t="shared" si="5"/>
        <v>4.3737231508568431E-5</v>
      </c>
      <c r="I123">
        <v>1.4192891599999999</v>
      </c>
    </row>
    <row r="124" spans="1:9" x14ac:dyDescent="0.45">
      <c r="A124" t="s">
        <v>104</v>
      </c>
      <c r="B124">
        <v>1.4147910020000001</v>
      </c>
      <c r="C124">
        <v>1.4208728530000001</v>
      </c>
      <c r="D124">
        <f t="shared" si="3"/>
        <v>6.081851000000027E-3</v>
      </c>
      <c r="E124">
        <f t="shared" si="4"/>
        <v>6.081851000000027E-3</v>
      </c>
      <c r="F124">
        <f t="shared" si="5"/>
        <v>3.6988911586201326E-5</v>
      </c>
      <c r="I124">
        <v>1.4147910020000001</v>
      </c>
    </row>
    <row r="125" spans="1:9" x14ac:dyDescent="0.45">
      <c r="A125" t="s">
        <v>105</v>
      </c>
      <c r="B125">
        <v>1.421969024</v>
      </c>
      <c r="C125">
        <v>1.4275134190000001</v>
      </c>
      <c r="D125">
        <f t="shared" si="3"/>
        <v>5.5443950000000353E-3</v>
      </c>
      <c r="E125">
        <f t="shared" si="4"/>
        <v>5.5443950000000353E-3</v>
      </c>
      <c r="F125">
        <f t="shared" si="5"/>
        <v>3.0740315916025389E-5</v>
      </c>
      <c r="I125">
        <v>1.421969024</v>
      </c>
    </row>
    <row r="126" spans="1:9" x14ac:dyDescent="0.45">
      <c r="A126" t="s">
        <v>106</v>
      </c>
      <c r="B126">
        <v>1.424523151</v>
      </c>
      <c r="C126">
        <v>1.4243677509999999</v>
      </c>
      <c r="D126">
        <f t="shared" si="3"/>
        <v>-1.5540000000013876E-4</v>
      </c>
      <c r="E126">
        <f t="shared" si="4"/>
        <v>1.5540000000013876E-4</v>
      </c>
      <c r="F126">
        <f t="shared" si="5"/>
        <v>2.4149160000043127E-8</v>
      </c>
      <c r="I126">
        <v>1.424523151</v>
      </c>
    </row>
    <row r="127" spans="1:9" x14ac:dyDescent="0.45">
      <c r="A127" t="s">
        <v>141</v>
      </c>
      <c r="B127">
        <v>1.414346173</v>
      </c>
      <c r="C127">
        <v>1.421420329</v>
      </c>
      <c r="D127">
        <f t="shared" si="3"/>
        <v>7.0741560000000536E-3</v>
      </c>
      <c r="E127">
        <f t="shared" si="4"/>
        <v>7.0741560000000536E-3</v>
      </c>
      <c r="F127">
        <f t="shared" si="5"/>
        <v>5.0043683112336759E-5</v>
      </c>
      <c r="I127">
        <v>1.414346173</v>
      </c>
    </row>
    <row r="128" spans="1:9" x14ac:dyDescent="0.45">
      <c r="A128" t="s">
        <v>142</v>
      </c>
      <c r="B128">
        <v>1.42160624</v>
      </c>
      <c r="C128">
        <v>1.4272622850000001</v>
      </c>
      <c r="D128">
        <f t="shared" ref="D128:D134" si="6">(C128-B128)</f>
        <v>5.6560450000000539E-3</v>
      </c>
      <c r="E128">
        <f t="shared" ref="E128:E134" si="7">ABS(D128)</f>
        <v>5.6560450000000539E-3</v>
      </c>
      <c r="F128">
        <f t="shared" ref="F128:F134" si="8">E128^2</f>
        <v>3.1990845042025609E-5</v>
      </c>
      <c r="I128">
        <v>1.42160624</v>
      </c>
    </row>
    <row r="129" spans="1:9" x14ac:dyDescent="0.45">
      <c r="A129" t="s">
        <v>107</v>
      </c>
      <c r="B129">
        <v>1.420314235</v>
      </c>
      <c r="C129">
        <v>1.4285666109999999</v>
      </c>
      <c r="D129">
        <f t="shared" si="6"/>
        <v>8.2523759999999502E-3</v>
      </c>
      <c r="E129">
        <f t="shared" si="7"/>
        <v>8.2523759999999502E-3</v>
      </c>
      <c r="F129">
        <f t="shared" si="8"/>
        <v>6.8101709645375182E-5</v>
      </c>
      <c r="I129">
        <v>1.420314235</v>
      </c>
    </row>
    <row r="130" spans="1:9" x14ac:dyDescent="0.45">
      <c r="A130" t="s">
        <v>108</v>
      </c>
      <c r="B130">
        <v>1.4223911140000001</v>
      </c>
      <c r="C130">
        <v>1.4275526119999999</v>
      </c>
      <c r="D130">
        <f t="shared" si="6"/>
        <v>5.1614979999998756E-3</v>
      </c>
      <c r="E130">
        <f t="shared" si="7"/>
        <v>5.1614979999998756E-3</v>
      </c>
      <c r="F130">
        <f t="shared" si="8"/>
        <v>2.6641061604002716E-5</v>
      </c>
      <c r="I130">
        <v>1.4223911140000001</v>
      </c>
    </row>
    <row r="131" spans="1:9" x14ac:dyDescent="0.45">
      <c r="A131" t="s">
        <v>109</v>
      </c>
      <c r="B131">
        <v>1.4174967629999999</v>
      </c>
      <c r="C131">
        <v>1.425239446</v>
      </c>
      <c r="D131">
        <f t="shared" si="6"/>
        <v>7.742683000000028E-3</v>
      </c>
      <c r="E131">
        <f t="shared" si="7"/>
        <v>7.742683000000028E-3</v>
      </c>
      <c r="F131">
        <f t="shared" si="8"/>
        <v>5.9949140038489436E-5</v>
      </c>
      <c r="I131">
        <v>1.4174967629999999</v>
      </c>
    </row>
    <row r="132" spans="1:9" x14ac:dyDescent="0.45">
      <c r="A132" t="s">
        <v>110</v>
      </c>
      <c r="B132">
        <v>1.419612479</v>
      </c>
      <c r="C132">
        <v>1.428800348</v>
      </c>
      <c r="D132">
        <f t="shared" si="6"/>
        <v>9.1878690000000152E-3</v>
      </c>
      <c r="E132">
        <f t="shared" si="7"/>
        <v>9.1878690000000152E-3</v>
      </c>
      <c r="F132">
        <f t="shared" si="8"/>
        <v>8.4416936761161276E-5</v>
      </c>
      <c r="I132">
        <v>1.419612479</v>
      </c>
    </row>
    <row r="133" spans="1:9" x14ac:dyDescent="0.45">
      <c r="A133" t="s">
        <v>111</v>
      </c>
      <c r="B133">
        <v>1.421097697</v>
      </c>
      <c r="C133">
        <v>1.427913319</v>
      </c>
      <c r="D133">
        <f t="shared" si="6"/>
        <v>6.8156219999999657E-3</v>
      </c>
      <c r="E133">
        <f t="shared" si="7"/>
        <v>6.8156219999999657E-3</v>
      </c>
      <c r="F133">
        <f t="shared" si="8"/>
        <v>4.6452703246883533E-5</v>
      </c>
      <c r="I133">
        <v>1.421097697</v>
      </c>
    </row>
    <row r="134" spans="1:9" x14ac:dyDescent="0.45">
      <c r="A134" t="s">
        <v>112</v>
      </c>
      <c r="B134">
        <v>1.4212430579999999</v>
      </c>
      <c r="C134">
        <v>1.4283112039999999</v>
      </c>
      <c r="D134">
        <f t="shared" si="6"/>
        <v>7.0681459999999419E-3</v>
      </c>
      <c r="E134">
        <f t="shared" si="7"/>
        <v>7.0681459999999419E-3</v>
      </c>
      <c r="F134">
        <f t="shared" si="8"/>
        <v>4.9958687877315179E-5</v>
      </c>
      <c r="I134">
        <v>1.4212430579999999</v>
      </c>
    </row>
    <row r="135" spans="1:9" x14ac:dyDescent="0.45">
      <c r="D135">
        <f>AVERAGE(D2:D134)</f>
        <v>6.343284458646614E-3</v>
      </c>
      <c r="E135">
        <f>AVERAGE(E2:E134)</f>
        <v>6.4414915112781966E-3</v>
      </c>
      <c r="F135">
        <f>SQRT(AVERAGE(F2:F134))</f>
        <v>6.8624181619488999E-3</v>
      </c>
    </row>
    <row r="136" spans="1:9" x14ac:dyDescent="0.45">
      <c r="B136">
        <f>MIN(B2:B134)</f>
        <v>1.405117204</v>
      </c>
      <c r="C136">
        <f>MIN(C2:C134)</f>
        <v>1.410392621</v>
      </c>
    </row>
    <row r="137" spans="1:9" x14ac:dyDescent="0.45">
      <c r="B137">
        <f>MAX(B2:B134)</f>
        <v>1.4365673240000001</v>
      </c>
      <c r="C137">
        <f>MAX(C2:C134)</f>
        <v>1.4335214169999999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Bond length a</vt:lpstr>
      <vt:lpstr>Bond length b1</vt:lpstr>
      <vt:lpstr>Bond length b2</vt:lpstr>
      <vt:lpstr>Bond length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Tyagi</cp:lastModifiedBy>
  <cp:lastPrinted>2026-04-24T10:18:01Z</cp:lastPrinted>
  <dcterms:created xsi:type="dcterms:W3CDTF">2026-01-23T16:01:03Z</dcterms:created>
  <dcterms:modified xsi:type="dcterms:W3CDTF">2026-06-08T12:03:11Z</dcterms:modified>
</cp:coreProperties>
</file>